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gaub_pfizer_com/Documents/Documents/Experiments/2022/Covid/RNAmap/00711527-0170/Tools/Tools_for_External/"/>
    </mc:Choice>
  </mc:AlternateContent>
  <xr:revisionPtr revIDLastSave="1977" documentId="8_{A844A695-BF4E-41C4-A123-FB5D3B09F849}" xr6:coauthVersionLast="47" xr6:coauthVersionMax="47" xr10:uidLastSave="{D3820A10-255F-4978-ADD6-C70E669793A2}"/>
  <bookViews>
    <workbookView xWindow="-108" yWindow="-108" windowWidth="23256" windowHeight="12576" xr2:uid="{54D3400F-005B-4D5F-B3F1-B3FEDB0C5033}"/>
  </bookViews>
  <sheets>
    <sheet name="Input" sheetId="1" r:id="rId1"/>
    <sheet name="IgnoreMe" sheetId="2" r:id="rId2"/>
    <sheet name="Match" sheetId="3" r:id="rId3"/>
  </sheets>
  <definedNames>
    <definedName name="_xlnm._FilterDatabase" localSheetId="2" hidden="1">Match!$A$1:$J$30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4" i="1" l="1"/>
  <c r="P4" i="1"/>
  <c r="Q3" i="1"/>
  <c r="P3" i="1"/>
  <c r="Q2" i="1"/>
  <c r="P2" i="1"/>
  <c r="U8" i="1" l="1"/>
</calcChain>
</file>

<file path=xl/sharedStrings.xml><?xml version="1.0" encoding="utf-8"?>
<sst xmlns="http://schemas.openxmlformats.org/spreadsheetml/2006/main" count="48" uniqueCount="42">
  <si>
    <t>Mass</t>
  </si>
  <si>
    <t>ppm threshold</t>
  </si>
  <si>
    <t>Monoisotopic or Average Mass?</t>
  </si>
  <si>
    <t>Monoisotopic</t>
  </si>
  <si>
    <t>Average</t>
  </si>
  <si>
    <t>Symbol</t>
  </si>
  <si>
    <t>Base/Nucleoside/Nucleotide</t>
  </si>
  <si>
    <t>Monoisotopic Mass</t>
  </si>
  <si>
    <t>Average Mass</t>
  </si>
  <si>
    <t>pA</t>
  </si>
  <si>
    <t>Adenosine monophosphate</t>
  </si>
  <si>
    <t>pG</t>
  </si>
  <si>
    <t>Guanosine monophosphate</t>
  </si>
  <si>
    <t>pC</t>
  </si>
  <si>
    <t>Cytidine monophosphate</t>
  </si>
  <si>
    <t>pV</t>
  </si>
  <si>
    <t>N1-Me-Pseudo-UMP</t>
  </si>
  <si>
    <t>Base table. Only 4 bases considered.</t>
  </si>
  <si>
    <t>5'</t>
  </si>
  <si>
    <t>C</t>
  </si>
  <si>
    <t>H</t>
  </si>
  <si>
    <t>N</t>
  </si>
  <si>
    <t>O</t>
  </si>
  <si>
    <t>P</t>
  </si>
  <si>
    <t>S</t>
  </si>
  <si>
    <t>Water</t>
  </si>
  <si>
    <t>Proton</t>
  </si>
  <si>
    <t>Element</t>
  </si>
  <si>
    <t>Cap</t>
  </si>
  <si>
    <t>Observed Mass</t>
  </si>
  <si>
    <t>Theoretical Mass</t>
  </si>
  <si>
    <t>Error (ppm)</t>
  </si>
  <si>
    <t># of pA</t>
  </si>
  <si>
    <t># of pG</t>
  </si>
  <si>
    <t># of pC</t>
  </si>
  <si>
    <t># of pV</t>
  </si>
  <si>
    <t># of Bases</t>
  </si>
  <si>
    <t>cp</t>
  </si>
  <si>
    <t>minus p</t>
  </si>
  <si>
    <t>Modification</t>
  </si>
  <si>
    <t>plus p</t>
  </si>
  <si>
    <t>"No Fill" cells are subject to user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</si>
</sst>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NumberFormat="1" applyFont="1" applyFill="1" applyBorder="1"/>
    <xf numFmtId="164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165" fontId="0" fillId="0" borderId="0" xfId="0" applyNumberFormat="1"/>
    <xf numFmtId="0" fontId="0" fillId="2" borderId="0" xfId="0" applyFill="1" applyBorder="1" applyAlignment="1">
      <alignment horizontal="left" vertical="center"/>
    </xf>
    <xf numFmtId="164" fontId="0" fillId="2" borderId="0" xfId="0" applyNumberFormat="1" applyFill="1" applyBorder="1" applyAlignment="1">
      <alignment horizontal="left" vertical="center"/>
    </xf>
    <xf numFmtId="0" fontId="0" fillId="2" borderId="0" xfId="0" quotePrefix="1" applyFill="1" applyAlignment="1">
      <alignment horizontal="left" vertical="center"/>
    </xf>
    <xf numFmtId="166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readingOrder="1"/>
    </xf>
    <xf numFmtId="0" fontId="3" fillId="2" borderId="0" xfId="0" applyFont="1" applyFill="1" applyAlignment="1">
      <alignment horizontal="left" vertical="center"/>
    </xf>
    <xf numFmtId="165" fontId="0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ont="1" applyFill="1" applyBorder="1"/>
    <xf numFmtId="166" fontId="0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</xdr:colOff>
          <xdr:row>9</xdr:row>
          <xdr:rowOff>38100</xdr:rowOff>
        </xdr:from>
        <xdr:to>
          <xdr:col>9</xdr:col>
          <xdr:colOff>7620</xdr:colOff>
          <xdr:row>18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Excecute the FindCompositions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95103-4E9C-4A74-90EF-3951C8222DC6}">
  <sheetPr codeName="Sheet1"/>
  <dimension ref="A1:AA13"/>
  <sheetViews>
    <sheetView tabSelected="1" zoomScale="130" zoomScaleNormal="130" workbookViewId="0">
      <selection activeCell="B9" sqref="B9"/>
    </sheetView>
  </sheetViews>
  <sheetFormatPr defaultColWidth="9.33203125" defaultRowHeight="14.4" x14ac:dyDescent="0.3"/>
  <cols>
    <col min="1" max="1" width="10.33203125" style="4" bestFit="1" customWidth="1"/>
    <col min="2" max="10" width="9.33203125" style="3"/>
    <col min="11" max="11" width="9.88671875" style="2" bestFit="1" customWidth="1"/>
    <col min="12" max="12" width="9.5546875" style="2" bestFit="1" customWidth="1"/>
    <col min="13" max="15" width="9.33203125" style="3"/>
    <col min="16" max="17" width="10.21875" style="2" customWidth="1"/>
    <col min="18" max="16384" width="9.33203125" style="3"/>
  </cols>
  <sheetData>
    <row r="1" spans="1:27" x14ac:dyDescent="0.3">
      <c r="A1" s="2" t="s">
        <v>0</v>
      </c>
      <c r="D1" s="3" t="s">
        <v>1</v>
      </c>
      <c r="F1" s="3" t="s">
        <v>2</v>
      </c>
      <c r="I1" s="3" t="s">
        <v>17</v>
      </c>
      <c r="O1" s="3" t="s">
        <v>39</v>
      </c>
      <c r="P1" s="2" t="s">
        <v>7</v>
      </c>
      <c r="Q1" s="2" t="s">
        <v>8</v>
      </c>
      <c r="S1" s="3" t="s">
        <v>27</v>
      </c>
      <c r="T1" s="2" t="s">
        <v>7</v>
      </c>
      <c r="U1" s="2" t="s">
        <v>8</v>
      </c>
      <c r="AA1" s="3" t="s">
        <v>3</v>
      </c>
    </row>
    <row r="2" spans="1:27" x14ac:dyDescent="0.3">
      <c r="A2" s="13">
        <v>2247.3163058664841</v>
      </c>
      <c r="B2" s="2"/>
      <c r="D2" s="5">
        <v>5</v>
      </c>
      <c r="F2" s="6" t="s">
        <v>3</v>
      </c>
      <c r="I2" s="3" t="s">
        <v>5</v>
      </c>
      <c r="J2" s="3" t="s">
        <v>6</v>
      </c>
      <c r="K2" s="2" t="s">
        <v>7</v>
      </c>
      <c r="L2" s="2" t="s">
        <v>8</v>
      </c>
      <c r="O2" s="6" t="s">
        <v>38</v>
      </c>
      <c r="P2" s="4">
        <f>-T6-T5*3-T3</f>
        <v>-79.966330889360009</v>
      </c>
      <c r="Q2" s="4">
        <f>-U6-U5*3-U3</f>
        <v>-79.979901999999996</v>
      </c>
      <c r="S2" s="3" t="s">
        <v>19</v>
      </c>
      <c r="T2" s="3">
        <v>12</v>
      </c>
      <c r="U2" s="3">
        <v>12.010999999999999</v>
      </c>
      <c r="W2" s="3" t="s">
        <v>18</v>
      </c>
      <c r="X2" s="3" t="s">
        <v>28</v>
      </c>
      <c r="Y2" s="3">
        <v>484.06345547885996</v>
      </c>
      <c r="Z2" s="3">
        <v>484.27642400000002</v>
      </c>
      <c r="AA2" s="3" t="s">
        <v>4</v>
      </c>
    </row>
    <row r="3" spans="1:27" x14ac:dyDescent="0.3">
      <c r="A3" s="7"/>
      <c r="I3" s="6" t="s">
        <v>9</v>
      </c>
      <c r="J3" s="6" t="s">
        <v>10</v>
      </c>
      <c r="K3" s="4">
        <v>329.05252012475</v>
      </c>
      <c r="L3" s="4">
        <v>329.20914199999999</v>
      </c>
      <c r="M3" s="2"/>
      <c r="O3" s="6" t="s">
        <v>40</v>
      </c>
      <c r="P3" s="4">
        <f>T6+T5*3+T3</f>
        <v>79.966330889360009</v>
      </c>
      <c r="Q3" s="4">
        <f>U6+U5*3+U3</f>
        <v>79.979901999999996</v>
      </c>
      <c r="S3" s="3" t="s">
        <v>20</v>
      </c>
      <c r="T3" s="3">
        <v>1.00782503223</v>
      </c>
      <c r="U3" s="3">
        <v>1.0079400000000001</v>
      </c>
    </row>
    <row r="4" spans="1:27" x14ac:dyDescent="0.3">
      <c r="A4" s="7"/>
      <c r="I4" s="6" t="s">
        <v>11</v>
      </c>
      <c r="J4" s="6" t="s">
        <v>12</v>
      </c>
      <c r="K4" s="4">
        <v>345.04743474432001</v>
      </c>
      <c r="L4" s="4">
        <v>345.20854200000002</v>
      </c>
      <c r="M4" s="2"/>
      <c r="O4" s="6" t="s">
        <v>37</v>
      </c>
      <c r="P4" s="4">
        <f>-T8</f>
        <v>-18.010564684030001</v>
      </c>
      <c r="Q4" s="4">
        <f>-U8</f>
        <v>-18.015280000000001</v>
      </c>
      <c r="S4" s="3" t="s">
        <v>21</v>
      </c>
      <c r="T4" s="3">
        <v>14.003074004429999</v>
      </c>
      <c r="U4" s="3">
        <v>14.006740000000001</v>
      </c>
    </row>
    <row r="5" spans="1:27" x14ac:dyDescent="0.3">
      <c r="A5" s="7"/>
      <c r="I5" s="6" t="s">
        <v>13</v>
      </c>
      <c r="J5" s="6" t="s">
        <v>14</v>
      </c>
      <c r="K5" s="4">
        <v>305.04128673546001</v>
      </c>
      <c r="L5" s="4">
        <v>305.18406199999998</v>
      </c>
      <c r="M5" s="2"/>
      <c r="O5" s="10"/>
      <c r="S5" s="3" t="s">
        <v>22</v>
      </c>
      <c r="T5" s="3">
        <v>15.99491461957</v>
      </c>
      <c r="U5" s="3">
        <v>15.9994</v>
      </c>
    </row>
    <row r="6" spans="1:27" x14ac:dyDescent="0.3">
      <c r="A6" s="7"/>
      <c r="E6" s="14" t="s">
        <v>41</v>
      </c>
      <c r="I6" s="6" t="s">
        <v>15</v>
      </c>
      <c r="J6" s="6" t="s">
        <v>16</v>
      </c>
      <c r="K6" s="4">
        <v>320.04095238282997</v>
      </c>
      <c r="L6" s="4">
        <v>320.19566200000003</v>
      </c>
      <c r="M6" s="2"/>
      <c r="N6" s="8"/>
      <c r="O6" s="8"/>
      <c r="P6" s="9"/>
      <c r="Q6" s="9"/>
      <c r="S6" s="3" t="s">
        <v>23</v>
      </c>
      <c r="T6" s="3">
        <v>30.973761998419999</v>
      </c>
      <c r="U6" s="3">
        <v>30.973762000000001</v>
      </c>
    </row>
    <row r="7" spans="1:27" x14ac:dyDescent="0.3">
      <c r="A7" s="7"/>
      <c r="S7" s="3" t="s">
        <v>24</v>
      </c>
      <c r="T7" s="3">
        <v>31.9720711744</v>
      </c>
      <c r="U7" s="3">
        <v>32.066000000000003</v>
      </c>
    </row>
    <row r="8" spans="1:27" x14ac:dyDescent="0.3">
      <c r="A8" s="7"/>
      <c r="S8" s="3" t="s">
        <v>25</v>
      </c>
      <c r="T8" s="3">
        <v>18.010564684030001</v>
      </c>
      <c r="U8" s="3">
        <f>U3*2+U5</f>
        <v>18.015280000000001</v>
      </c>
    </row>
    <row r="9" spans="1:27" x14ac:dyDescent="0.3">
      <c r="A9" s="7"/>
      <c r="S9" s="3" t="s">
        <v>26</v>
      </c>
      <c r="T9" s="3">
        <v>1.0072764666209999</v>
      </c>
    </row>
    <row r="10" spans="1:27" x14ac:dyDescent="0.3">
      <c r="A10" s="7"/>
    </row>
    <row r="11" spans="1:27" x14ac:dyDescent="0.3">
      <c r="A11" s="7"/>
    </row>
    <row r="12" spans="1:27" x14ac:dyDescent="0.3">
      <c r="A12" s="7"/>
    </row>
    <row r="13" spans="1:27" x14ac:dyDescent="0.3">
      <c r="A13" s="7"/>
    </row>
  </sheetData>
  <dataValidations count="1">
    <dataValidation type="list" allowBlank="1" showInputMessage="1" showErrorMessage="1" sqref="F2" xr:uid="{7E7A466D-7A56-4299-840B-2ABD469155BB}">
      <formula1>$AA$1:$AA$2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ndCompositions">
                <anchor moveWithCells="1" sizeWithCells="1">
                  <from>
                    <xdr:col>4</xdr:col>
                    <xdr:colOff>83820</xdr:colOff>
                    <xdr:row>9</xdr:row>
                    <xdr:rowOff>38100</xdr:rowOff>
                  </from>
                  <to>
                    <xdr:col>9</xdr:col>
                    <xdr:colOff>7620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2AF1F-8286-485B-9349-F0E468FA65A1}">
  <sheetPr codeName="Sheet2"/>
  <dimension ref="A1"/>
  <sheetViews>
    <sheetView workbookViewId="0">
      <selection sqref="A1:J1"/>
    </sheetView>
  </sheetViews>
  <sheetFormatPr defaultColWidth="8.88671875" defaultRowHeight="14.4" x14ac:dyDescent="0.3"/>
  <cols>
    <col min="1" max="16384" width="8.88671875" style="1"/>
  </cols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8FA0B-6966-4B4A-A078-7B11D58DD253}">
  <sheetPr codeName="Sheet3"/>
  <dimension ref="A1:J2"/>
  <sheetViews>
    <sheetView workbookViewId="0">
      <pane ySplit="1" topLeftCell="A2" activePane="bottomLeft" state="frozen"/>
      <selection activeCell="S1" sqref="S1"/>
      <selection pane="bottomLeft" activeCell="E15" sqref="E15"/>
    </sheetView>
  </sheetViews>
  <sheetFormatPr defaultColWidth="10.6640625" defaultRowHeight="14.4" x14ac:dyDescent="0.3"/>
  <cols>
    <col min="1" max="2" width="11.5546875" style="15" bestFit="1" customWidth="1"/>
    <col min="3" max="3" width="10.6640625" style="11"/>
    <col min="4" max="16384" width="10.6640625" style="12"/>
  </cols>
  <sheetData>
    <row r="1" spans="1:10" x14ac:dyDescent="0.3">
      <c r="A1" s="15" t="s">
        <v>29</v>
      </c>
      <c r="B1" s="15" t="s">
        <v>30</v>
      </c>
      <c r="C1" s="11" t="s">
        <v>31</v>
      </c>
      <c r="D1" s="12" t="s">
        <v>32</v>
      </c>
      <c r="E1" s="12" t="s">
        <v>33</v>
      </c>
      <c r="F1" s="12" t="s">
        <v>34</v>
      </c>
      <c r="G1" s="12" t="s">
        <v>35</v>
      </c>
      <c r="H1" s="12" t="s">
        <v>39</v>
      </c>
      <c r="J1" s="12" t="s">
        <v>36</v>
      </c>
    </row>
    <row r="2" spans="1:10" x14ac:dyDescent="0.3">
      <c r="A2" s="16">
        <v>2247.3163058664841</v>
      </c>
      <c r="B2" s="16">
        <v>2247.31628452514</v>
      </c>
      <c r="C2" s="17">
        <v>9.4963687380187813E-3</v>
      </c>
      <c r="D2" s="1">
        <v>1</v>
      </c>
      <c r="E2" s="1">
        <v>1</v>
      </c>
      <c r="F2" s="1">
        <v>3</v>
      </c>
      <c r="G2" s="1">
        <v>2</v>
      </c>
      <c r="H2" s="1"/>
      <c r="I2" s="1"/>
      <c r="J2" s="1">
        <v>7</v>
      </c>
    </row>
  </sheetData>
  <sortState xmlns:xlrd2="http://schemas.microsoft.com/office/spreadsheetml/2017/richdata2" ref="A2:J2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IgnoreMe</vt:lpstr>
      <vt:lpstr>Match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Gau, Brian</dc:creator>
  <cp:lastModifiedBy>Gau, Brian</cp:lastModifiedBy>
  <dcterms:created xsi:type="dcterms:W3CDTF">2020-07-01T01:40:23Z</dcterms:created>
  <dcterms:modified xsi:type="dcterms:W3CDTF">2022-12-09T17:13:22Z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da22f8-c169-4ff2-bd8c-c9797308d5a4_Enabled">
    <vt:lpwstr>true</vt:lpwstr>
  </property>
  <property fmtid="{D5CDD505-2E9C-101B-9397-08002B2CF9AE}" pid="3" name="MSIP_Label_98da22f8-c169-4ff2-bd8c-c9797308d5a4_SetDate">
    <vt:lpwstr>2022-11-18T19:55:52Z</vt:lpwstr>
  </property>
  <property fmtid="{D5CDD505-2E9C-101B-9397-08002B2CF9AE}" pid="4" name="MSIP_Label_98da22f8-c169-4ff2-bd8c-c9797308d5a4_Method">
    <vt:lpwstr>Privileged</vt:lpwstr>
  </property>
  <property fmtid="{D5CDD505-2E9C-101B-9397-08002B2CF9AE}" pid="5" name="MSIP_Label_98da22f8-c169-4ff2-bd8c-c9797308d5a4_Name">
    <vt:lpwstr>98da22f8-c169-4ff2-bd8c-c9797308d5a4</vt:lpwstr>
  </property>
  <property fmtid="{D5CDD505-2E9C-101B-9397-08002B2CF9AE}" pid="6" name="MSIP_Label_98da22f8-c169-4ff2-bd8c-c9797308d5a4_SiteId">
    <vt:lpwstr>7a916015-20ae-4ad1-9170-eefd915e9272</vt:lpwstr>
  </property>
  <property fmtid="{D5CDD505-2E9C-101B-9397-08002B2CF9AE}" pid="7" name="MSIP_Label_98da22f8-c169-4ff2-bd8c-c9797308d5a4_ActionId">
    <vt:lpwstr>bbc8eeec-47fa-4a90-bd31-d7a1aead0c90</vt:lpwstr>
  </property>
  <property fmtid="{D5CDD505-2E9C-101B-9397-08002B2CF9AE}" pid="8" name="MSIP_Label_98da22f8-c169-4ff2-bd8c-c9797308d5a4_ContentBits">
    <vt:lpwstr>0</vt:lpwstr>
  </property>
</Properties>
</file>