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gaub_pfizer_com/Documents/Documents/Experiments/2022/Covid/RNAmap/00711527-0170/Tools/Tools_for_External/"/>
    </mc:Choice>
  </mc:AlternateContent>
  <xr:revisionPtr revIDLastSave="16243" documentId="8_{BB1EDDDA-FBB3-4B47-BECD-A3F39C825211}" xr6:coauthVersionLast="47" xr6:coauthVersionMax="47" xr10:uidLastSave="{04052899-ACE9-4DE8-955A-CB5C5DBFE2C0}"/>
  <bookViews>
    <workbookView xWindow="-108" yWindow="-108" windowWidth="23256" windowHeight="12576" xr2:uid="{CF194AEE-2777-4AB0-9389-720BBE9A9D23}"/>
  </bookViews>
  <sheets>
    <sheet name="Input" sheetId="4" r:id="rId1"/>
    <sheet name="Choose Sequence" sheetId="1" r:id="rId2"/>
    <sheet name="Theoretical Masses" sheetId="2" r:id="rId3"/>
    <sheet name="Matches" sheetId="3" r:id="rId4"/>
    <sheet name="Matched Input List" sheetId="5" r:id="rId5"/>
    <sheet name="Sequence Coverage" sheetId="6" r:id="rId6"/>
  </sheets>
  <definedNames>
    <definedName name="_xlnm._FilterDatabase" localSheetId="3" hidden="1">Matches!$A$1:$M$6</definedName>
    <definedName name="_xlnm._FilterDatabase" localSheetId="2" hidden="1">'Theoretical Masses'!$A$1:$H$1065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C3" i="1"/>
  <c r="C2" i="1"/>
  <c r="N13" i="4" l="1"/>
  <c r="I96" i="1" l="1"/>
  <c r="I95" i="1" s="1"/>
  <c r="I94" i="1" s="1"/>
  <c r="I93" i="1" s="1"/>
  <c r="I92" i="1" s="1"/>
  <c r="I91" i="1" s="1"/>
  <c r="I90" i="1" s="1"/>
  <c r="I89" i="1" s="1"/>
  <c r="I88" i="1" s="1"/>
  <c r="I87" i="1" s="1"/>
  <c r="Q2" i="4" l="1"/>
  <c r="P2" i="4"/>
  <c r="T10" i="4" l="1"/>
  <c r="P5" i="4" l="1"/>
  <c r="U8" i="4" l="1"/>
  <c r="Q5" i="4"/>
  <c r="Q3" i="4"/>
  <c r="P3" i="4"/>
</calcChain>
</file>

<file path=xl/sharedStrings.xml><?xml version="1.0" encoding="utf-8"?>
<sst xmlns="http://schemas.openxmlformats.org/spreadsheetml/2006/main" count="8665" uniqueCount="1438">
  <si>
    <t>Mass</t>
  </si>
  <si>
    <t>ppm threshold</t>
  </si>
  <si>
    <t>Monoisotopic or Average Mass?</t>
  </si>
  <si>
    <t>Base table. Only 4 bases considered.</t>
  </si>
  <si>
    <t>5' and 3' end table</t>
  </si>
  <si>
    <t>Monoisotopic Mass</t>
  </si>
  <si>
    <t>Average Mass</t>
  </si>
  <si>
    <t>Element</t>
  </si>
  <si>
    <t>Monoisotopic</t>
  </si>
  <si>
    <t>Symbol</t>
  </si>
  <si>
    <t>Base/Nucleoside/Nucleotide</t>
  </si>
  <si>
    <t>5'</t>
  </si>
  <si>
    <t>C</t>
  </si>
  <si>
    <t>Average</t>
  </si>
  <si>
    <t>Adenosine monophosphate</t>
  </si>
  <si>
    <t>H</t>
  </si>
  <si>
    <t>Guanosine monophosphate</t>
  </si>
  <si>
    <t>N</t>
  </si>
  <si>
    <t>Cytidine monophosphate</t>
  </si>
  <si>
    <t>3'</t>
  </si>
  <si>
    <t>O</t>
  </si>
  <si>
    <t>N1-Me-Pseudo-UMP</t>
  </si>
  <si>
    <t>P</t>
  </si>
  <si>
    <t>S</t>
  </si>
  <si>
    <t>Water</t>
  </si>
  <si>
    <t>Proton</t>
  </si>
  <si>
    <t>A</t>
  </si>
  <si>
    <t>G</t>
  </si>
  <si>
    <t>Length</t>
  </si>
  <si>
    <t>Sequence</t>
  </si>
  <si>
    <t>x</t>
  </si>
  <si>
    <t>HO-</t>
  </si>
  <si>
    <t>Cap-</t>
  </si>
  <si>
    <t>-H</t>
  </si>
  <si>
    <t>Start</t>
  </si>
  <si>
    <t>End</t>
  </si>
  <si>
    <t>5' End</t>
  </si>
  <si>
    <t>3' End</t>
  </si>
  <si>
    <t>Theoretical Mass</t>
  </si>
  <si>
    <t>Observed Mass</t>
  </si>
  <si>
    <t>Adduct</t>
  </si>
  <si>
    <t>Error (ppm)</t>
  </si>
  <si>
    <t>Match</t>
  </si>
  <si>
    <t># Missed Cleavage Sites</t>
  </si>
  <si>
    <t>Coverage Color</t>
  </si>
  <si>
    <t>Sequence Coverage (%)</t>
  </si>
  <si>
    <t>Base cutsite</t>
  </si>
  <si>
    <t>Which side?</t>
  </si>
  <si>
    <t>5' of next base</t>
  </si>
  <si>
    <t>3' of previous base</t>
  </si>
  <si>
    <t>Where does phosphate go at cutsite?</t>
  </si>
  <si>
    <t>ACCAG</t>
  </si>
  <si>
    <t>AACCG</t>
  </si>
  <si>
    <t>Construct</t>
  </si>
  <si>
    <t>&gt;Exported (1bp - 4283bp, direct) 4283bp</t>
  </si>
  <si>
    <t>AKA</t>
  </si>
  <si>
    <t>Select with any character; first row with a character is selected</t>
  </si>
  <si>
    <t>T</t>
  </si>
  <si>
    <t>CACAG</t>
  </si>
  <si>
    <t>AGAATAAACTAGTATTCTTCTGGTCCCCACAGACTCAGAGAGAACCCGCCACCATGTTCGTGTTCCTGGTGCTGCTGCCTCTGGTGTCCAGCCAGTGTGTGAACCTGAGGACCAGAACACAGCTGCCTCCAGCCTACACCAACAGCTTTACCAGAGGCGTGTACTACCCCGACAAGGTGTTCAGATCCAGCGTGCTGCACTCTACCCAGGACCTGTTCCTGCCTTTCTTCAGCAACGTGACCTGGTTCCACGCCATCCACGTGTCCGGCACCAATGGCACCAAGAGATTCGACAACCCCGTGCTGCCCTTCAACGACGGGGTGTACTTTGCCAGCACCGAGAAGTCCAACATCATCAGAGGCTGGATCTTCGGCACCACACTGGACAGCAAGACCCAGAGCCTGCTGATCGTGAACAACGCCACCAACGTGGTCATCAAAGTGTGCGAGTTCCAGTTCTGCAACGACCCCTTCCTGGACGTCTACTACCACAAGAACAACAAGAGCTGGATGGAAAGCGGCGTGTACAGCAGCGCCAACAACTGCACCTTCGAGTACGTGTCCCAGCCTTTCCTGATGGACCTGGAAGGCAAGCAGGGCAACTTCAAGAACCTGCGCGAGTTCGTGTTTAAGAACATCGACGGCTACTTCAAGATCTACAGCAAGCACACCCCTATCAACCTCGTGCGGGATCTGCCTCAGGGCTTCTCTGCTCTGGAACCCCTGGTGGATCTGCCCATCGGCATCAACATCACCCGGTTTCAGACACTGCTGGCCCTGCACAGAAGCTACCTGACACCTGGCGATAGCAGCAGCGGATGGACAGCTGGTGCCGCCGCTTACTATGTGGGCTACCTGCAGCCTAGAACCTTCCTGCTGAAGTACAACGAGAACGGCACCATCACCGACGCCGTGGATTGTGCTCTGGATCCTCTGAGCGAGACAAAGTGCACCCTGAAGTCCTTCACCGTGGAAAAGGGCATCTACCAGACCAGCAACTTCCGGGTGCAGCCCACCGAATCCATCGTGCGGTTCCCCAATATCACCAATCTGTGCCCCTTCGGCGAGGTGTTCAATGCCACCAGATTCGCCTCTGTGTACGCCTGGAACCGGAAGCGGATCAGCAATTGCGTGGCCGACTACTCCGTGCTGTACAACTCCGCCAGCTTCAGCACCTTCAAGTGCTACGGCGTGTCCCCTACCAAGCTGAACGACCTGTGCTTCACAAACGTGTACGCCGACAGCTTCGTGATCCGGGGAGATGAAGTGCGGCAGATTGCCCCTGGACAGACAGGCAAGATCGCCGACTACAACTACAAGCTGCCCGACGACTTCACCGGCTGTGTGATTGCCTGGAACAGCAACAACCTGGACTCCAAAGTCGGCGGCAACTACAATTACAGGTACCGGCTGTTCCGGAAGTCCAATCTGAAGCCCTTCGAGCGGGACATCTCCACCGAGATCTATCAGGCCGGCAGCAAGCCTTGTAACGGCGTGGAAGGCTTCAACTGCTACTTCCCACTGCAGTCCTACGGCTTTCAGCCCACAAATGGCGTGGGCTATCAGCCCTACAGAGTGGTGGTGCTGAGCTTCGAACTGCTGCATGCCCCTGCCACAGTGTGCGGCCCTAAGAAAAGCACCAATCTCGTGAAGAACAAATGCGTGAACTTCAACTTCAACGGCCTGACCGGCACCGGCGTGCTGACAGAGAGCAACAAGAAGTTCCTGCCATTCCAGCAGTTTGGCCGGGATATCGCCGATACCACAGACGCCGTTAGAGATCCCCAGACACTGGAAATCCTGGACATCACCCCTTGCAGCTTCGGCGGAGTGTCTGTGATCACCCCTGGCACCAACACCAGCAATCAGGTGGCAGTGCTGTACCAGGGCGTGAACTGTACCGAAGTGCCCGTGGCCATTCACGCCGATCAGCTGACACCTACATGGCGGGTGTACTCCACCGGCAGCAATGTGTTTCAGACCAGAGCCGGCTGTCTGATCGGAGCCGAGCACGTGAACAATAGCTACGAGTGCGACATCCCCATCGGCGCTGGAATCTGCGCCAGCTACCAGACACAGACAAACAGCAGGCGGAGAGCCAGAAGCGTGGCCAGCCAGAGCATCATTGCCTACACAATGTCTCTGGGCGCCGAGAACAGCGTGGCCTACTCCAACAACTCTATCGCTATCCCCACCAACTTCACCATCAGCGTGACCACAGAGATCCTGCCTGTGTCCATGACCAAGACCAGCGTGGACTGCACCATGTACATCTGCGGCGATTCCACCGAGTGCTCCAACCTGCTGCTGCAGTACGGCAGCTTCTGCACCCAGCTGAATAGAGCCCTGACAGGGATCGCCGTGGAACAGGACAAGAACACCCAAGAGGTGTTCGCCCAAGTGAAGCAGATCTACAAGACCCCTCCTATCAAGGACTTCGGCGGCTTCAATTTCAGCCAGATTCTGCCCGATCCTAGCAAGCCCAGCAAGCGGAGCTTCATCGAGGACCTGCTGTTCAACAAAGTGACACTGGCCGACGCCGGCTTCATCAAGCAGTATGGCGATTGTCTGGGCGACATTGCCGCCAGGGATCTGATTTGCGCCCAGAAGTTTAACGGACTGACAGTGCTGCCTCCTCTGCTGACCGATGAGATGATCGCCCAGTACACATCTGCCCTGCTGGCCGGCACAATCACAAGCGGCTGGACATTTGGAGCAGGCGCCGCTCTGCAGATCCCCTTTGCTATGCAGATGGCCTACCGGTTCAACGGCATCGGAGTGACCCAGAATGTGCTGTACGAGAACCAGAAGCTGATCGCCAACCAGTTCAACAGCGCCATCGGCAAGATCCAGGACAGCCTGAGCAGCACAGCAAGCGCCCTGGGAAAGCTGCAGAACGTGGTCAACCAGAATGCCCAGGCACTGAACACCCTGGTCAAGCAGCTGTCCTCCAACTTCGGCGCCATCAGCTCTGTGCTGAACGATATCCTGAGCAGACTGGACCCTCCTGAGGCCGAGGTGCAGATCGACAGACTGATCACAGGCAGACTGCAGAGCCTCCAGACATACGTGACCCAGCAGCTGATCAGAGCCGCCGAGATTAGAGCCTCTGCCAATCTGGCCGCCACCAAGATGTCTGAGTGTGTGCTGGGCCAGAGCAAGAGAGTGGACTTTTGCGGCAAGGGCTACCACCTGATGAGCTTCCCTCAGTCTGCCCCTCACGGCGTGGTGTTTCTGCACGTGACATATGTGCCCGCTCAAGAGAAGAATTTCACCACCGCTCCAGCCATCTGCCACGACGGCAAAGCCCACTTTCCTAGAGAAGGCGTGTTCGTGTCCAACGGCACCCATTGGTTCGTGACACAGCGGAACTTCTACGAGCCCCAGATCATCACCACCGACAACACCTTCGTGTCTGGCAACTGCGACGTCGTGATCGGCATTGTGAACAATACCGTGTACGACCCTCTGCAGCCCGAGCTGGACAGCTTCAAAGAGGAACTGGACAAGTACTTTAAGAACCACACAAGCCCCGACGTGGACCTGGGCGATATCAGCGGAATCAATGCCAGCGTCGTGAACATCCAGAAAGAGATCGACCGGCTGAACGAGGTGGCCAAGAATCTGAACGAGAGCCTGATCGACCTGCAAGAACTGGGGAAGTACGAGCAGTACATCAAGTGGCCCTGGTACATCTGGCTGGGCTTTATCGCCGGACTGATTGCCATCGTGATGGTCACAATCATGCTGTGTTGCATGACCAGCTGCTGTAGCTGCCTGAAGGGCTGTTGTAGCTGTGGCAGCTGCTGCAAGTTCGACGAGGACGATTCTGAGCCCGTGCTGAAGGGCGTGAAACTGCACTACACATGATGACTCGAGCTGGTACTGCATGCACGCAATGCTAGCTGCCCCTTTCCCGTCCTGGGTACCCCGAGTCTCCCCCGACCTCGGGTCCCAGGTATGCTCCCACCTCCACCTGCCCCACTCACCACCTCTGCTAGTTCCAGACACCTCCCAAGCACGCAGCAATGCAGCTCAAAACGCTTAGCCTAGCCACACCCCCACGGGAAACAGCAGTGATTAACCTTTAGCAATAAACGAAAGTTTAACTAAGCTATACTAACCCCAGGGTTGGTCAATTTCGTGCCAGCCACACCCTGGAGCTAGCAAAAAAAAAAAAAAAAAAAAAAAAAAAAAAGCATATGACTAAAAAAAAAAAAAAAAAAAAAAAAAAAAAAAAAAAAAAAAAAAAAAAAAAAAAAAAAAAAAAAAAAAAAA</t>
  </si>
  <si>
    <t>&gt;pST4-mod_Vac_B.1.617.2_V2 (1bp - 4277bp, direct) 4277bp</t>
  </si>
  <si>
    <t>Mass From m/z Calc</t>
  </si>
  <si>
    <t>mz</t>
  </si>
  <si>
    <t>CS</t>
  </si>
  <si>
    <t>Phosphorylation</t>
  </si>
  <si>
    <t>Name</t>
  </si>
  <si>
    <t>R1</t>
  </si>
  <si>
    <t>R228</t>
  </si>
  <si>
    <t>R257</t>
  </si>
  <si>
    <t>R366</t>
  </si>
  <si>
    <t>R381</t>
  </si>
  <si>
    <t>R433</t>
  </si>
  <si>
    <t>R919</t>
  </si>
  <si>
    <t>R929</t>
  </si>
  <si>
    <t>R975</t>
  </si>
  <si>
    <t>R983</t>
  </si>
  <si>
    <t>Frequency</t>
  </si>
  <si>
    <t>1st Occurance</t>
  </si>
  <si>
    <t>p-</t>
  </si>
  <si>
    <t>&gt;pST4-mod_Vac_B.1.1.529 (1bp - 4274bp, direct) 4274bp</t>
  </si>
  <si>
    <t>AGAATAAACTAGTATTCTTCTGGTCCCCACAGACTCAGAGAGAACCCGCCACCATGTTCGTGTTCCTGGTGCTGCTGCCTCTGGTGTCCAGCCAGTGTGTGAACCTGACCACCAGAACACAGCTGCCTCCAGCCTACACCAACAGCTTTACCAGAGGCGTGTACTACCCCGACAAGGTGTTCAGATCCAGCGTGCTGCACTCTACCCAGGACCTGTTCCTGCCTTTCTTCAGCAACGTGACCTGGTTCCACGTGATCTCCGGCACCAATGGCACCAAGAGATTCGACAACCCCGTGCTGCCCTTCAACGACGGGGTGTACTTTGCCAGCATCGAGAAGTCCAACATCATCAGAGGCTGGATCTTCGGCACCACACTGGACAGCAAGACCCAGAGCCTGCTGATCGTGAACAACGCCACCAACGTGGTCATCAAAGTGTGCGAGTTCCAGTTCTGCAACGACCCCTTCCTGGACCACAAGAACAACAAGAGCTGGATGGAAAGCGAGTTCCGGGTGTACAGCAGCGCCAACAACTGCACCTTCGAGTACGTGTCCCAGCCTTTCCTGATGGACCTGGAAGGCAAGCAGGGCAACTTCAAGAACCTGCGCGAGTTCGTGTTTAAGAACATCGACGGCTACTTCAAGATCTACAGCAAGCACACCCCTATCATCGTGAGAGAGCCCGAGGATCTGCCTCAGGGCTTCTCTGCTCTGGAACCCCTGGTGGATCTGCCCATCGGCATCAACATCACCCGGTTTCAGACACTGCTGGCCCTGCACAGAAGCTACCTGACACCTGGCGATAGCAGCAGCGGATGGACAGCTGGTGCCGCCGCTTACTATGTGGGCTACCTGCAGCCTAGAACCTTCCTGCTGAAGTACAACGAGAACGGCACCATCACCGACGCCGTGGATTGTGCTCTGGATCCTCTGAGCGAGACAAAGTGCACCCTGAAGTCCTTCACCGTGGAAAAGGGCATCTACCAGACCAGCAACTTCCGGGTGCAGCCCACCGAATCCATCGTGCGGTTCCCCAATATCACCAATCTGTGCCCCTTCGACGAGGTGTTCAATGCCACCAGATTCGCCTCTGTGTACGCCTGGAACCGGAAGCGGATCAGCAATTGCGTGGCCGACTACTCCGTGCTGTACAACCTGGCCCCCTTCTTCACCTTCAAGTGCTACGGCGTGTCCCCTACCAAGCTGAACGACCTGTGCTTCACAAACGTGTACGCCGACAGCTTCGTGATCCGGGGAGATGAAGTGCGGCAGATTGCCCCTGGACAGACAGGCAACATCGCCGACTACAACTACAAGCTGCCCGACGACTTCACCGGCTGTGTGATTGCCTGGAACAGCAACAAGCTGGACTCCAAAGTCAGCGGCAACTACAATTACCTGTACCGGCTGTTCCGGAAGTCCAATCTGAAGCCCTTCGAGCGGGACATCTCCACCGAGATCTATCAGGCCGGCAACAAGCCTTGTAACGGCGTGGCCGGCTTCAACTGCTACTTCCCACTGCGGTCCTACAGCTTTAGGCCCACATACGGCGTGGGCCACCAGCCCTACAGAGTGGTGGTGCTGAGCTTCGAACTGCTGCATGCCCCTGCCACAGTGTGCGGCCCTAAGAAAAGCACCAATCTCGTGAAGAACAAATGCGTGAACTTCAACTTCAACGGCCTGAAGGGCACCGGCGTGCTGACAGAGAGCAACAAGAAGTTCCTGCCATTCCAGCAGTTTGGCCGGGATATCGCCGATACCACAGACGCCGTTAGAGATCCCCAGACACTGGAAATCCTGGACATCACCCCTTGCAGCTTCGGCGGAGTGTCTGTGATCACCCCTGGCACCAACACCAGCAATCAGGTGGCAGTGCTGTACCAGGGCGTGAACTGTACCGAAGTGCCCGTGGCCATTCACGCCGATCAGCTGACACCTACATGGCGGGTGTACTCCACCGGCAGCAATGTGTTTCAGACCAGAGCCGGCTGTCTGATCGGAGCCGAGTACGTGAACAATAGCTACGAGTGCGACATCCCCATCGGCGCTGGAATCTGCGCCAGCTACCAGACACAGACAAAGAGCCACCGGAGAGCCAGAAGCGTGGCCAGCCAGAGCATCATTGCCTACACAATGTCTCTGGGCGCCGAGAACAGCGTGGCCTACTCCAACAACTCTATCGCTATCCCCACCAACTTCACCATCAGCGTGACCACAGAGATCCTGCCTGTGTCCATGACCAAGACCAGCGTGGACTGCACCATGTACATCTGCGGCGATTCCACCGAGTGCTCCAACCTGCTGCTGCAGTACGGCAGCTTCTGCACCCAGCTGAAAAGAGCCCTGACAGGGATCGCCGTGGAACAGGACAAGAACACCCAAGAGGTGTTCGCCCAAGTGAAGCAGATCTACAAGACCCCTCCTATCAAGTACTTCGGCGGCTTCAATTTCAGCCAGATTCTGCCCGATCCTAGCAAGCCCAGCAAGCGGAGCTTCATCGAGGACCTGCTGTTCAACAAAGTGACACTGGCCGACGCCGGCTTCATCAAGCAGTATGGCGATTGTCTGGGCGACATTGCCGCCAGGGATCTGATTTGCGCCCAGAAGTTTAAGGGACTGACAGTGCTGCCTCCTCTGCTGACCGATGAGATGATCGCCCAGTACACATCTGCCCTGCTGGCCGGCACAATCACAAGCGGCTGGACATTTGGAGCAGGCGCCGCTCTGCAGATCCCCTTTGCTATGCAGATGGCCTACCGGTTCAACGGCATCGGAGTGACCCAGAATGTGCTGTACGAGAACCAGAAGCTGATCGCCAACCAGTTCAACAGCGCCATCGGCAAGATCCAGGACAGCCTGAGCAGCACAGCAAGCGCCCTGGGAAAGCTGCAGGACGTGGTCAACCACAATGCCCAGGCACTGAACACCCTGGTCAAGCAGCTGTCCTCCAAGTTCGGCGCCATCAGCTCTGTGCTGAACGATATCTTCAGCAGACTGGACCCTCCTGAGGCCGAGGTGCAGATCGACAGACTGATCACAGGCAGACTGCAGAGCCTCCAGACATACGTGACCCAGCAGCTGATCAGAGCCGCCGAGATTAGAGCCTCTGCCAATCTGGCCGCCACCAAGATGTCTGAGTGTGTGCTGGGCCAGAGCAAGAGAGTGGACTTTTGCGGCAAGGGCTACCACCTGATGAGCTTCCCTCAGTCTGCCCCTCACGGCGTGGTGTTTCTGCACGTGACATATGTGCCCGCTCAAGAGAAGAATTTCACCACCGCTCCAGCCATCTGCCACGACGGCAAAGCCCACTTTCCTAGAGAAGGCGTGTTCGTGTCCAACGGCACCCATTGGTTCGTGACACAGCGGAACTTCTACGAGCCCCAGATCATCACCACCGACAACACCTTCGTGTCTGGCAACTGCGACGTCGTGATCGGCATTGTGAACAATACCGTGTACGACCCTCTGCAGCCCGAGCTGGACAGCTTCAAAGAGGAACTGGACAAGTACTTTAAGAACCACACAAGCCCCGACGTGGACCTGGGCGATATCAGCGGAATCAATGCCAGCGTCGTGAACATCCAGAAAGAGATCGACCGGCTGAACGAGGTGGCCAAGAATCTGAACGAGAGCCTGATCGACCTGCAAGAACTGGGGAAGTACGAGCAGTACATCAAGTGGCCCTGGTACATCTGGCTGGGCTTTATCGCCGGACTGATTGCCATCGTGATGGTCACAATCATGCTGTGTTGCATGACCAGCTGCTGTAGCTGCCTGAAGGGCTGTTGTAGCTGTGGCAGCTGCTGCAAGTTCGACGAGGACGATTCTGAGCCCGTGCTGAAGGGCGTGAAACTGCACTACACATGATGACTCGAGCTGGTACTGCATGCACGCAATGCTAGCTGCCCCTTTCCCGTCCTGGGTACCCCGAGTCTCCCCCGACCTCGGGTCCCAGGTATGCTCCCACCTCCACCTGCCCCACTCACCACCTCTGCTAGTTCCAGACACCTCCCAAGCACGCAGCAATGCAGCTCAAAACGCTTAGCCTAGCCACACCCCCACGGGAAACAGCAGTGATTAACCTTTAGCAATAAACGAAAGTTTAACTAAGCTATACTAACCCCAGGGTTGGTCAATTTCGTGCCAGCCACACCCTGGAGCTAGCAAAAAAAAAAAAAAAAAAAAAAAAAAAAAAGCATATGACTAAAAAAAAAAAAAAAAAAAAAAAAAAAAAAAAAAAAAAAAAAAAAAAAAAAAAAAAAAAAAAAAAAAAAA</t>
  </si>
  <si>
    <t>AG</t>
  </si>
  <si>
    <t>AATAAACTAG</t>
  </si>
  <si>
    <t>R2</t>
  </si>
  <si>
    <t>TATTCTTCTG</t>
  </si>
  <si>
    <t>R3</t>
  </si>
  <si>
    <t>R4</t>
  </si>
  <si>
    <t>TCCCCACAG</t>
  </si>
  <si>
    <t>R5</t>
  </si>
  <si>
    <t>ACTCAG</t>
  </si>
  <si>
    <t>R6</t>
  </si>
  <si>
    <t>R7</t>
  </si>
  <si>
    <t>R8</t>
  </si>
  <si>
    <t>AACCCG</t>
  </si>
  <si>
    <t>R9</t>
  </si>
  <si>
    <t>CCACCATG</t>
  </si>
  <si>
    <t>R10</t>
  </si>
  <si>
    <t>TTCG</t>
  </si>
  <si>
    <t>R11</t>
  </si>
  <si>
    <t>TG</t>
  </si>
  <si>
    <t>R12</t>
  </si>
  <si>
    <t>TTCCTG</t>
  </si>
  <si>
    <t>R13</t>
  </si>
  <si>
    <t>R14</t>
  </si>
  <si>
    <t>R15</t>
  </si>
  <si>
    <t>CTG</t>
  </si>
  <si>
    <t>R16</t>
  </si>
  <si>
    <t>R17</t>
  </si>
  <si>
    <t>CCTCTG</t>
  </si>
  <si>
    <t>R18</t>
  </si>
  <si>
    <t>R19</t>
  </si>
  <si>
    <t>R20</t>
  </si>
  <si>
    <t>TCCAG</t>
  </si>
  <si>
    <t>R21</t>
  </si>
  <si>
    <t>CCAG</t>
  </si>
  <si>
    <t>R22</t>
  </si>
  <si>
    <t>R23</t>
  </si>
  <si>
    <t>R24</t>
  </si>
  <si>
    <t>R25</t>
  </si>
  <si>
    <t>AACCTG</t>
  </si>
  <si>
    <t>R26</t>
  </si>
  <si>
    <t>R27</t>
  </si>
  <si>
    <t>AACACAG</t>
  </si>
  <si>
    <t>R28</t>
  </si>
  <si>
    <t>R29</t>
  </si>
  <si>
    <t>CCTCCAG</t>
  </si>
  <si>
    <t>R30</t>
  </si>
  <si>
    <t>R31</t>
  </si>
  <si>
    <t>CTTTACCAG</t>
  </si>
  <si>
    <t>R32</t>
  </si>
  <si>
    <t>R33</t>
  </si>
  <si>
    <t>R34</t>
  </si>
  <si>
    <t>CG</t>
  </si>
  <si>
    <t>R35</t>
  </si>
  <si>
    <t>R36</t>
  </si>
  <si>
    <t>TACTACCCCG</t>
  </si>
  <si>
    <t>R37</t>
  </si>
  <si>
    <t>ACAAG</t>
  </si>
  <si>
    <t>R38</t>
  </si>
  <si>
    <t>R39</t>
  </si>
  <si>
    <t>R40</t>
  </si>
  <si>
    <t>TTCAG</t>
  </si>
  <si>
    <t>R41</t>
  </si>
  <si>
    <t>ATCCAG</t>
  </si>
  <si>
    <t>R42</t>
  </si>
  <si>
    <t>R43</t>
  </si>
  <si>
    <t>R44</t>
  </si>
  <si>
    <t>R45</t>
  </si>
  <si>
    <t>CACTCTACCCAG</t>
  </si>
  <si>
    <t>R46</t>
  </si>
  <si>
    <t>R47</t>
  </si>
  <si>
    <t>ACCTG</t>
  </si>
  <si>
    <t>R48</t>
  </si>
  <si>
    <t>R49</t>
  </si>
  <si>
    <t>CCTTTCTTCAG</t>
  </si>
  <si>
    <t>R50</t>
  </si>
  <si>
    <t>CAACG</t>
  </si>
  <si>
    <t>R51</t>
  </si>
  <si>
    <t>R52</t>
  </si>
  <si>
    <t>R53</t>
  </si>
  <si>
    <t>R54</t>
  </si>
  <si>
    <t>TTCCACG</t>
  </si>
  <si>
    <t>R55</t>
  </si>
  <si>
    <t>R56</t>
  </si>
  <si>
    <t>R57</t>
  </si>
  <si>
    <t>R58</t>
  </si>
  <si>
    <t>R59</t>
  </si>
  <si>
    <t>CACCAATG</t>
  </si>
  <si>
    <t>R60</t>
  </si>
  <si>
    <t>R61</t>
  </si>
  <si>
    <t>CACCAAG</t>
  </si>
  <si>
    <t>R62</t>
  </si>
  <si>
    <t>R63</t>
  </si>
  <si>
    <t>ATTCG</t>
  </si>
  <si>
    <t>R64</t>
  </si>
  <si>
    <t>ACAACCCCG</t>
  </si>
  <si>
    <t>R65</t>
  </si>
  <si>
    <t>R66</t>
  </si>
  <si>
    <t>R67</t>
  </si>
  <si>
    <t>CCCTTCAACG</t>
  </si>
  <si>
    <t>R68</t>
  </si>
  <si>
    <t>ACG</t>
  </si>
  <si>
    <t>R69</t>
  </si>
  <si>
    <t>R70</t>
  </si>
  <si>
    <t>R71</t>
  </si>
  <si>
    <t>R72</t>
  </si>
  <si>
    <t>R73</t>
  </si>
  <si>
    <t>TACTTTG</t>
  </si>
  <si>
    <t>R74</t>
  </si>
  <si>
    <t>R75</t>
  </si>
  <si>
    <t>CACCG</t>
  </si>
  <si>
    <t>R76</t>
  </si>
  <si>
    <t>R77</t>
  </si>
  <si>
    <t>AAG</t>
  </si>
  <si>
    <t>R78</t>
  </si>
  <si>
    <t>TCCAACATCATCAG</t>
  </si>
  <si>
    <t>R79</t>
  </si>
  <si>
    <t>R80</t>
  </si>
  <si>
    <t>R81</t>
  </si>
  <si>
    <t>R82</t>
  </si>
  <si>
    <t>R83</t>
  </si>
  <si>
    <t>ATCTTCG</t>
  </si>
  <si>
    <t>R84</t>
  </si>
  <si>
    <t>R85</t>
  </si>
  <si>
    <t>CACCACACTG</t>
  </si>
  <si>
    <t>R86</t>
  </si>
  <si>
    <t>R87</t>
  </si>
  <si>
    <t>ACAG</t>
  </si>
  <si>
    <t>R88</t>
  </si>
  <si>
    <t>CAAG</t>
  </si>
  <si>
    <t>R89</t>
  </si>
  <si>
    <t>ACCCAG</t>
  </si>
  <si>
    <t>R90</t>
  </si>
  <si>
    <t>R91</t>
  </si>
  <si>
    <t>CCTG</t>
  </si>
  <si>
    <t>R92</t>
  </si>
  <si>
    <t>R93</t>
  </si>
  <si>
    <t>ATCG</t>
  </si>
  <si>
    <t>R94</t>
  </si>
  <si>
    <t>R95</t>
  </si>
  <si>
    <t>AACAACG</t>
  </si>
  <si>
    <t>R96</t>
  </si>
  <si>
    <t>CCACCAACG</t>
  </si>
  <si>
    <t>R97</t>
  </si>
  <si>
    <t>R98</t>
  </si>
  <si>
    <t>R99</t>
  </si>
  <si>
    <t>TCATCAAAG</t>
  </si>
  <si>
    <t>R100</t>
  </si>
  <si>
    <t>R101</t>
  </si>
  <si>
    <t>R102</t>
  </si>
  <si>
    <t>R103</t>
  </si>
  <si>
    <t>R104</t>
  </si>
  <si>
    <t>TTCCAG</t>
  </si>
  <si>
    <t>R105</t>
  </si>
  <si>
    <t>TTCTG</t>
  </si>
  <si>
    <t>R106</t>
  </si>
  <si>
    <t>R107</t>
  </si>
  <si>
    <t>ACCCCTTCCTG</t>
  </si>
  <si>
    <t>R108</t>
  </si>
  <si>
    <t>R109</t>
  </si>
  <si>
    <t>R110</t>
  </si>
  <si>
    <t>R111</t>
  </si>
  <si>
    <t>TCTACTACCACAAG</t>
  </si>
  <si>
    <t>R112</t>
  </si>
  <si>
    <t>AACAACAAG</t>
  </si>
  <si>
    <t>R113</t>
  </si>
  <si>
    <t>R114</t>
  </si>
  <si>
    <t>R115</t>
  </si>
  <si>
    <t>R116</t>
  </si>
  <si>
    <t>ATG</t>
  </si>
  <si>
    <t>R117</t>
  </si>
  <si>
    <t>R118</t>
  </si>
  <si>
    <t>AAAG</t>
  </si>
  <si>
    <t>R119</t>
  </si>
  <si>
    <t>R120</t>
  </si>
  <si>
    <t>R121</t>
  </si>
  <si>
    <t>TTCCG</t>
  </si>
  <si>
    <t>R122</t>
  </si>
  <si>
    <t>R123</t>
  </si>
  <si>
    <t>R124</t>
  </si>
  <si>
    <t>R125</t>
  </si>
  <si>
    <t>TACAG</t>
  </si>
  <si>
    <t>R126</t>
  </si>
  <si>
    <t>CAG</t>
  </si>
  <si>
    <t>R127</t>
  </si>
  <si>
    <t>R128</t>
  </si>
  <si>
    <t>CCAACAACTG</t>
  </si>
  <si>
    <t>R129</t>
  </si>
  <si>
    <t>CACCTTCG</t>
  </si>
  <si>
    <t>R130</t>
  </si>
  <si>
    <t>R131</t>
  </si>
  <si>
    <t>TACG</t>
  </si>
  <si>
    <t>R132</t>
  </si>
  <si>
    <t>R133</t>
  </si>
  <si>
    <t>TCCCAG</t>
  </si>
  <si>
    <t>R134</t>
  </si>
  <si>
    <t>CCTTTCCTG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</si>
  <si>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</si>
  <si>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</si>
  <si>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</si>
  <si>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</si>
  <si>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</si>
  <si>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</si>
  <si>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</si>
  <si>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</si>
  <si>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</si>
  <si>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</si>
  <si>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R145</t>
  </si>
  <si>
    <t>CAACTTCAAG</t>
  </si>
  <si>
    <t>R146</t>
  </si>
  <si>
    <t>R147</t>
  </si>
  <si>
    <t>R148</t>
  </si>
  <si>
    <t>R149</t>
  </si>
  <si>
    <t>R150</t>
  </si>
  <si>
    <t>R151</t>
  </si>
  <si>
    <t>R152</t>
  </si>
  <si>
    <t>TTTAAG</t>
  </si>
  <si>
    <t>R153</t>
  </si>
  <si>
    <t>AACATCG</t>
  </si>
  <si>
    <t>R154</t>
  </si>
  <si>
    <t>R155</t>
  </si>
  <si>
    <t>R156</t>
  </si>
  <si>
    <t>CTACTTCAAG</t>
  </si>
  <si>
    <t>R157</t>
  </si>
  <si>
    <t>ATCTACAG</t>
  </si>
  <si>
    <t>R158</t>
  </si>
  <si>
    <t>R159</t>
  </si>
  <si>
    <t>CACACCCCTATCAACCTCG</t>
  </si>
  <si>
    <t>R160</t>
  </si>
  <si>
    <t>R161</t>
  </si>
  <si>
    <t>R162</t>
  </si>
  <si>
    <t>R163</t>
  </si>
  <si>
    <t>R164</t>
  </si>
  <si>
    <t>ATCTG</t>
  </si>
  <si>
    <t>R165</t>
  </si>
  <si>
    <t>CCTCAG</t>
  </si>
  <si>
    <t>R166</t>
  </si>
  <si>
    <t>R167</t>
  </si>
  <si>
    <t>R168</t>
  </si>
  <si>
    <t>CTTCTCTG</t>
  </si>
  <si>
    <t>R169</t>
  </si>
  <si>
    <t>CTCTG</t>
  </si>
  <si>
    <t>R170</t>
  </si>
  <si>
    <t>R171</t>
  </si>
  <si>
    <t>AACCCCTG</t>
  </si>
  <si>
    <t>R172</t>
  </si>
  <si>
    <t>R173</t>
  </si>
  <si>
    <t>R174</t>
  </si>
  <si>
    <t>R175</t>
  </si>
  <si>
    <t>R176</t>
  </si>
  <si>
    <t>CCCATCG</t>
  </si>
  <si>
    <t>R177</t>
  </si>
  <si>
    <t>R178</t>
  </si>
  <si>
    <t>CATCAACATCACCCG</t>
  </si>
  <si>
    <t>R179</t>
  </si>
  <si>
    <t>R180</t>
  </si>
  <si>
    <t>TTTCAG</t>
  </si>
  <si>
    <t>R181</t>
  </si>
  <si>
    <t>ACACTG</t>
  </si>
  <si>
    <t>R182</t>
  </si>
  <si>
    <t>R183</t>
  </si>
  <si>
    <t>R184</t>
  </si>
  <si>
    <t>CCCTG</t>
  </si>
  <si>
    <t>R185</t>
  </si>
  <si>
    <t>R186</t>
  </si>
  <si>
    <t>R187</t>
  </si>
  <si>
    <t>CTACCTG</t>
  </si>
  <si>
    <t>R188</t>
  </si>
  <si>
    <t>ACACCTG</t>
  </si>
  <si>
    <t>R189</t>
  </si>
  <si>
    <t>R190</t>
  </si>
  <si>
    <t>R191</t>
  </si>
  <si>
    <t>ATAG</t>
  </si>
  <si>
    <t>R192</t>
  </si>
  <si>
    <t>R193</t>
  </si>
  <si>
    <t>R194</t>
  </si>
  <si>
    <t>R195</t>
  </si>
  <si>
    <t>R196</t>
  </si>
  <si>
    <t>R197</t>
  </si>
  <si>
    <t>R198</t>
  </si>
  <si>
    <t>R199</t>
  </si>
  <si>
    <t>R200</t>
  </si>
  <si>
    <t>R201</t>
  </si>
  <si>
    <t>R202</t>
  </si>
  <si>
    <t>CCG</t>
  </si>
  <si>
    <t>R203</t>
  </si>
  <si>
    <t>R204</t>
  </si>
  <si>
    <t>CTTACTATG</t>
  </si>
  <si>
    <t>R205</t>
  </si>
  <si>
    <t>R206</t>
  </si>
  <si>
    <t>R207</t>
  </si>
  <si>
    <t>R208</t>
  </si>
  <si>
    <t>R209</t>
  </si>
  <si>
    <t>R210</t>
  </si>
  <si>
    <t>CCTAG</t>
  </si>
  <si>
    <t>R211</t>
  </si>
  <si>
    <t>AACCTTCCTG</t>
  </si>
  <si>
    <t>R212</t>
  </si>
  <si>
    <t>R213</t>
  </si>
  <si>
    <t>R214</t>
  </si>
  <si>
    <t>TACAACG</t>
  </si>
  <si>
    <t>R215</t>
  </si>
  <si>
    <t>R216</t>
  </si>
  <si>
    <t>AACG</t>
  </si>
  <si>
    <t>R217</t>
  </si>
  <si>
    <t>R218</t>
  </si>
  <si>
    <t>CACCATCACCG</t>
  </si>
  <si>
    <t>R219</t>
  </si>
  <si>
    <t>R220</t>
  </si>
  <si>
    <t>R221</t>
  </si>
  <si>
    <t>R222</t>
  </si>
  <si>
    <t>R223</t>
  </si>
  <si>
    <t>ATTG</t>
  </si>
  <si>
    <t>R224</t>
  </si>
  <si>
    <t>R225</t>
  </si>
  <si>
    <t>R226</t>
  </si>
  <si>
    <t>R227</t>
  </si>
  <si>
    <t>ATCCTCTG</t>
  </si>
  <si>
    <t>R229</t>
  </si>
  <si>
    <t>R230</t>
  </si>
  <si>
    <t>R231</t>
  </si>
  <si>
    <t>ACAAAG</t>
  </si>
  <si>
    <t>R232</t>
  </si>
  <si>
    <t>R233</t>
  </si>
  <si>
    <t>CACCCTG</t>
  </si>
  <si>
    <t>R234</t>
  </si>
  <si>
    <t>R235</t>
  </si>
  <si>
    <t>TCCTTCACCG</t>
  </si>
  <si>
    <t>R236</t>
  </si>
  <si>
    <t>R237</t>
  </si>
  <si>
    <t>R238</t>
  </si>
  <si>
    <t>AAAAG</t>
  </si>
  <si>
    <t>R239</t>
  </si>
  <si>
    <t>R240</t>
  </si>
  <si>
    <t>R241</t>
  </si>
  <si>
    <t>CATCTACCAG</t>
  </si>
  <si>
    <t>R242</t>
  </si>
  <si>
    <t>R243</t>
  </si>
  <si>
    <t>CAACTTCCG</t>
  </si>
  <si>
    <t>R244</t>
  </si>
  <si>
    <t>R245</t>
  </si>
  <si>
    <t>R246</t>
  </si>
  <si>
    <t>R247</t>
  </si>
  <si>
    <t>R248</t>
  </si>
  <si>
    <t>CCCACCG</t>
  </si>
  <si>
    <t>R249</t>
  </si>
  <si>
    <t>AATCCATCG</t>
  </si>
  <si>
    <t>R250</t>
  </si>
  <si>
    <t>R251</t>
  </si>
  <si>
    <t>R252</t>
  </si>
  <si>
    <t>R253</t>
  </si>
  <si>
    <t>TTCCCCAATATCACCAATCTG</t>
  </si>
  <si>
    <t>R254</t>
  </si>
  <si>
    <t>R255</t>
  </si>
  <si>
    <t>CCCCTTCG</t>
  </si>
  <si>
    <t>R256</t>
  </si>
  <si>
    <t>R258</t>
  </si>
  <si>
    <t>R259</t>
  </si>
  <si>
    <t>R260</t>
  </si>
  <si>
    <t>R261</t>
  </si>
  <si>
    <t>TTCAATG</t>
  </si>
  <si>
    <t>R262</t>
  </si>
  <si>
    <t>CCACCAG</t>
  </si>
  <si>
    <t>R263</t>
  </si>
  <si>
    <t>R264</t>
  </si>
  <si>
    <t>R265</t>
  </si>
  <si>
    <t>R266</t>
  </si>
  <si>
    <t>R267</t>
  </si>
  <si>
    <t>R268</t>
  </si>
  <si>
    <t>R269</t>
  </si>
  <si>
    <t>R270</t>
  </si>
  <si>
    <t>R271</t>
  </si>
  <si>
    <t>R272</t>
  </si>
  <si>
    <t>R273</t>
  </si>
  <si>
    <t>R274</t>
  </si>
  <si>
    <t>ATCAG</t>
  </si>
  <si>
    <t>R275</t>
  </si>
  <si>
    <t>CAATTG</t>
  </si>
  <si>
    <t>R276</t>
  </si>
  <si>
    <t>R277</t>
  </si>
  <si>
    <t>R278</t>
  </si>
  <si>
    <t>R279</t>
  </si>
  <si>
    <t>R280</t>
  </si>
  <si>
    <t>ACTACTCCG</t>
  </si>
  <si>
    <t>R281</t>
  </si>
  <si>
    <t>R282</t>
  </si>
  <si>
    <t>R283</t>
  </si>
  <si>
    <t>R284</t>
  </si>
  <si>
    <t>R285</t>
  </si>
  <si>
    <t>R286</t>
  </si>
  <si>
    <t>R287</t>
  </si>
  <si>
    <t>R288</t>
  </si>
  <si>
    <t>CTACG</t>
  </si>
  <si>
    <t>R289</t>
  </si>
  <si>
    <t>R290</t>
  </si>
  <si>
    <t>R291</t>
  </si>
  <si>
    <t>R292</t>
  </si>
  <si>
    <t>TCCCCTACCAAG</t>
  </si>
  <si>
    <t>R293</t>
  </si>
  <si>
    <t>R294</t>
  </si>
  <si>
    <t>R295</t>
  </si>
  <si>
    <t>R296</t>
  </si>
  <si>
    <t>R297</t>
  </si>
  <si>
    <t>CTTCACAAACG</t>
  </si>
  <si>
    <t>R298</t>
  </si>
  <si>
    <t>R299</t>
  </si>
  <si>
    <t>R300</t>
  </si>
  <si>
    <t>R301</t>
  </si>
  <si>
    <t>R302</t>
  </si>
  <si>
    <t>CTTCG</t>
  </si>
  <si>
    <t>R303</t>
  </si>
  <si>
    <t>R304</t>
  </si>
  <si>
    <t>ATCCG</t>
  </si>
  <si>
    <t>R305</t>
  </si>
  <si>
    <t>R306</t>
  </si>
  <si>
    <t>R307</t>
  </si>
  <si>
    <t>R308</t>
  </si>
  <si>
    <t>R309</t>
  </si>
  <si>
    <t>R310</t>
  </si>
  <si>
    <t>R311</t>
  </si>
  <si>
    <t>R312</t>
  </si>
  <si>
    <t>R313</t>
  </si>
  <si>
    <t>R314</t>
  </si>
  <si>
    <t>R315</t>
  </si>
  <si>
    <t>R316</t>
  </si>
  <si>
    <t>CCCCTG</t>
  </si>
  <si>
    <t>R317</t>
  </si>
  <si>
    <t>R318</t>
  </si>
  <si>
    <t>R319</t>
  </si>
  <si>
    <t>R320</t>
  </si>
  <si>
    <t>R321</t>
  </si>
  <si>
    <t>R322</t>
  </si>
  <si>
    <t>R323</t>
  </si>
  <si>
    <t>R324</t>
  </si>
  <si>
    <t>ACTACAACTACAAG</t>
  </si>
  <si>
    <t>R325</t>
  </si>
  <si>
    <t>R326</t>
  </si>
  <si>
    <t>CCCG</t>
  </si>
  <si>
    <t>R327</t>
  </si>
  <si>
    <t>R328</t>
  </si>
  <si>
    <t>ACTTCACCG</t>
  </si>
  <si>
    <t>R329</t>
  </si>
  <si>
    <t>R330</t>
  </si>
  <si>
    <t>R331</t>
  </si>
  <si>
    <t>R332</t>
  </si>
  <si>
    <t>R333</t>
  </si>
  <si>
    <t>R334</t>
  </si>
  <si>
    <t>R335</t>
  </si>
  <si>
    <t>R336</t>
  </si>
  <si>
    <t>AACAG</t>
  </si>
  <si>
    <t>R337</t>
  </si>
  <si>
    <t>R338</t>
  </si>
  <si>
    <t>R339</t>
  </si>
  <si>
    <t>ACTCCAAAG</t>
  </si>
  <si>
    <t>R340</t>
  </si>
  <si>
    <t>TCG</t>
  </si>
  <si>
    <t>R341</t>
  </si>
  <si>
    <t>R342</t>
  </si>
  <si>
    <t>R343</t>
  </si>
  <si>
    <t>R344</t>
  </si>
  <si>
    <t>R345</t>
  </si>
  <si>
    <t>TACCG</t>
  </si>
  <si>
    <t>R346</t>
  </si>
  <si>
    <t>R347</t>
  </si>
  <si>
    <t>R348</t>
  </si>
  <si>
    <t>R349</t>
  </si>
  <si>
    <t>R350</t>
  </si>
  <si>
    <t>R351</t>
  </si>
  <si>
    <t>TCCAATCTG</t>
  </si>
  <si>
    <t>R352</t>
  </si>
  <si>
    <t>R353</t>
  </si>
  <si>
    <t>CCCTTCG</t>
  </si>
  <si>
    <t>R354</t>
  </si>
  <si>
    <t>R355</t>
  </si>
  <si>
    <t>R356</t>
  </si>
  <si>
    <t>R357</t>
  </si>
  <si>
    <t>R358</t>
  </si>
  <si>
    <t>ACATCTCCACCG</t>
  </si>
  <si>
    <t>R359</t>
  </si>
  <si>
    <t>R360</t>
  </si>
  <si>
    <t>ATCTATCAG</t>
  </si>
  <si>
    <t>R361</t>
  </si>
  <si>
    <t>R362</t>
  </si>
  <si>
    <t>R363</t>
  </si>
  <si>
    <t>R364</t>
  </si>
  <si>
    <t>R365</t>
  </si>
  <si>
    <t>TAACG</t>
  </si>
  <si>
    <t>R367</t>
  </si>
  <si>
    <t>R368</t>
  </si>
  <si>
    <t>R369</t>
  </si>
  <si>
    <t>R370</t>
  </si>
  <si>
    <t>R371</t>
  </si>
  <si>
    <t>R372</t>
  </si>
  <si>
    <t>R373</t>
  </si>
  <si>
    <t>R374</t>
  </si>
  <si>
    <t>CTACTTCCCACTG</t>
  </si>
  <si>
    <t>R375</t>
  </si>
  <si>
    <t>R376</t>
  </si>
  <si>
    <t>TCCTACG</t>
  </si>
  <si>
    <t>R377</t>
  </si>
  <si>
    <t>R378</t>
  </si>
  <si>
    <t>R379</t>
  </si>
  <si>
    <t>R380</t>
  </si>
  <si>
    <t>R382</t>
  </si>
  <si>
    <t>R383</t>
  </si>
  <si>
    <t>R384</t>
  </si>
  <si>
    <t>R385</t>
  </si>
  <si>
    <t>R386</t>
  </si>
  <si>
    <t>CCCTACAG</t>
  </si>
  <si>
    <t>R387</t>
  </si>
  <si>
    <t>R388</t>
  </si>
  <si>
    <t>R389</t>
  </si>
  <si>
    <t>R390</t>
  </si>
  <si>
    <t>R391</t>
  </si>
  <si>
    <t>R392</t>
  </si>
  <si>
    <t>R393</t>
  </si>
  <si>
    <t>R394</t>
  </si>
  <si>
    <t>R395</t>
  </si>
  <si>
    <t>R396</t>
  </si>
  <si>
    <t>AACTG</t>
  </si>
  <si>
    <t>R397</t>
  </si>
  <si>
    <t>R398</t>
  </si>
  <si>
    <t>CATG</t>
  </si>
  <si>
    <t>R399</t>
  </si>
  <si>
    <t>R400</t>
  </si>
  <si>
    <t>CCACAG</t>
  </si>
  <si>
    <t>R401</t>
  </si>
  <si>
    <t>R402</t>
  </si>
  <si>
    <t>R403</t>
  </si>
  <si>
    <t>R404</t>
  </si>
  <si>
    <t>R405</t>
  </si>
  <si>
    <t>CCCTAAG</t>
  </si>
  <si>
    <t>R406</t>
  </si>
  <si>
    <t>R407</t>
  </si>
  <si>
    <t>CACCAATCTCG</t>
  </si>
  <si>
    <t>R408</t>
  </si>
  <si>
    <t>R409</t>
  </si>
  <si>
    <t>R410</t>
  </si>
  <si>
    <t>AACAAATG</t>
  </si>
  <si>
    <t>R411</t>
  </si>
  <si>
    <t>R412</t>
  </si>
  <si>
    <t>R413</t>
  </si>
  <si>
    <t>AACTTCAACTTCAACG</t>
  </si>
  <si>
    <t>R414</t>
  </si>
  <si>
    <t>R415</t>
  </si>
  <si>
    <t>R416</t>
  </si>
  <si>
    <t>ACCG</t>
  </si>
  <si>
    <t>R417</t>
  </si>
  <si>
    <t>R418</t>
  </si>
  <si>
    <t>R419</t>
  </si>
  <si>
    <t>R420</t>
  </si>
  <si>
    <t>R421</t>
  </si>
  <si>
    <t>R422</t>
  </si>
  <si>
    <t>R423</t>
  </si>
  <si>
    <t>R424</t>
  </si>
  <si>
    <t>R425</t>
  </si>
  <si>
    <t>R426</t>
  </si>
  <si>
    <t>CAACAAG</t>
  </si>
  <si>
    <t>R427</t>
  </si>
  <si>
    <t>R428</t>
  </si>
  <si>
    <t>R429</t>
  </si>
  <si>
    <t>CCATTCCAG</t>
  </si>
  <si>
    <t>R430</t>
  </si>
  <si>
    <t>R431</t>
  </si>
  <si>
    <t>TTTG</t>
  </si>
  <si>
    <t>R432</t>
  </si>
  <si>
    <t>R434</t>
  </si>
  <si>
    <t>R435</t>
  </si>
  <si>
    <t>R436</t>
  </si>
  <si>
    <t>ATATCG</t>
  </si>
  <si>
    <t>R437</t>
  </si>
  <si>
    <t>R438</t>
  </si>
  <si>
    <t>ATACCACAG</t>
  </si>
  <si>
    <t>R439</t>
  </si>
  <si>
    <t>R440</t>
  </si>
  <si>
    <t>R441</t>
  </si>
  <si>
    <t>TTAG</t>
  </si>
  <si>
    <t>R442</t>
  </si>
  <si>
    <t>R443</t>
  </si>
  <si>
    <t>ATCCCCAG</t>
  </si>
  <si>
    <t>R444</t>
  </si>
  <si>
    <t>R445</t>
  </si>
  <si>
    <t>R446</t>
  </si>
  <si>
    <t>AAATCCTG</t>
  </si>
  <si>
    <t>R447</t>
  </si>
  <si>
    <t>R448</t>
  </si>
  <si>
    <t>ACATCACCCCTTG</t>
  </si>
  <si>
    <t>R449</t>
  </si>
  <si>
    <t>R450</t>
  </si>
  <si>
    <t>R451</t>
  </si>
  <si>
    <t>R452</t>
  </si>
  <si>
    <t>R453</t>
  </si>
  <si>
    <t>R454</t>
  </si>
  <si>
    <t>R455</t>
  </si>
  <si>
    <t>R456</t>
  </si>
  <si>
    <t>TCTG</t>
  </si>
  <si>
    <t>R457</t>
  </si>
  <si>
    <t>R458</t>
  </si>
  <si>
    <t>ATCACCCCTG</t>
  </si>
  <si>
    <t>R459</t>
  </si>
  <si>
    <t>R460</t>
  </si>
  <si>
    <t>CACCAACACCAG</t>
  </si>
  <si>
    <t>R461</t>
  </si>
  <si>
    <t>CAATCAG</t>
  </si>
  <si>
    <t>R462</t>
  </si>
  <si>
    <t>R463</t>
  </si>
  <si>
    <t>R464</t>
  </si>
  <si>
    <t>R465</t>
  </si>
  <si>
    <t>R466</t>
  </si>
  <si>
    <t>R467</t>
  </si>
  <si>
    <t>R468</t>
  </si>
  <si>
    <t>TACCAG</t>
  </si>
  <si>
    <t>R469</t>
  </si>
  <si>
    <t>R470</t>
  </si>
  <si>
    <t>R471</t>
  </si>
  <si>
    <t>R472</t>
  </si>
  <si>
    <t>R473</t>
  </si>
  <si>
    <t>R474</t>
  </si>
  <si>
    <t>R475</t>
  </si>
  <si>
    <t>R476</t>
  </si>
  <si>
    <t>R477</t>
  </si>
  <si>
    <t>R478</t>
  </si>
  <si>
    <t>R479</t>
  </si>
  <si>
    <t>CCATTCACG</t>
  </si>
  <si>
    <t>R480</t>
  </si>
  <si>
    <t>R481</t>
  </si>
  <si>
    <t>R482</t>
  </si>
  <si>
    <t>R483</t>
  </si>
  <si>
    <t>ACACCTACATG</t>
  </si>
  <si>
    <t>R484</t>
  </si>
  <si>
    <t>R485</t>
  </si>
  <si>
    <t>R486</t>
  </si>
  <si>
    <t>R487</t>
  </si>
  <si>
    <t>R488</t>
  </si>
  <si>
    <t>R489</t>
  </si>
  <si>
    <t>TACTCCACCG</t>
  </si>
  <si>
    <t>R490</t>
  </si>
  <si>
    <t>R491</t>
  </si>
  <si>
    <t>R492</t>
  </si>
  <si>
    <t>CAATG</t>
  </si>
  <si>
    <t>R493</t>
  </si>
  <si>
    <t>R494</t>
  </si>
  <si>
    <t>R495</t>
  </si>
  <si>
    <t>R496</t>
  </si>
  <si>
    <t>R497</t>
  </si>
  <si>
    <t>R498</t>
  </si>
  <si>
    <t>R499</t>
  </si>
  <si>
    <t>R500</t>
  </si>
  <si>
    <t>R501</t>
  </si>
  <si>
    <t>R502</t>
  </si>
  <si>
    <t>R503</t>
  </si>
  <si>
    <t>R504</t>
  </si>
  <si>
    <t>R505</t>
  </si>
  <si>
    <t>R506</t>
  </si>
  <si>
    <t>CACG</t>
  </si>
  <si>
    <t>R507</t>
  </si>
  <si>
    <t>R508</t>
  </si>
  <si>
    <t>AACAATAG</t>
  </si>
  <si>
    <t>R509</t>
  </si>
  <si>
    <t>R510</t>
  </si>
  <si>
    <t>R511</t>
  </si>
  <si>
    <t>R512</t>
  </si>
  <si>
    <t>R513</t>
  </si>
  <si>
    <t>ACATCCCCATCG</t>
  </si>
  <si>
    <t>R514</t>
  </si>
  <si>
    <t>R515</t>
  </si>
  <si>
    <t>R516</t>
  </si>
  <si>
    <t>R517</t>
  </si>
  <si>
    <t>R518</t>
  </si>
  <si>
    <t>AATCTG</t>
  </si>
  <si>
    <t>R519</t>
  </si>
  <si>
    <t>R520</t>
  </si>
  <si>
    <t>R521</t>
  </si>
  <si>
    <t>CTACCAG</t>
  </si>
  <si>
    <t>R522</t>
  </si>
  <si>
    <t>ACACAG</t>
  </si>
  <si>
    <t>R523</t>
  </si>
  <si>
    <t>R524</t>
  </si>
  <si>
    <t>R525</t>
  </si>
  <si>
    <t>R526</t>
  </si>
  <si>
    <t>R527</t>
  </si>
  <si>
    <t>R528</t>
  </si>
  <si>
    <t>R529</t>
  </si>
  <si>
    <t>R530</t>
  </si>
  <si>
    <t>R531</t>
  </si>
  <si>
    <t>R532</t>
  </si>
  <si>
    <t>R533</t>
  </si>
  <si>
    <t>R534</t>
  </si>
  <si>
    <t>R535</t>
  </si>
  <si>
    <t>R536</t>
  </si>
  <si>
    <t>CATCATTG</t>
  </si>
  <si>
    <t>R537</t>
  </si>
  <si>
    <t>CCTACACAATG</t>
  </si>
  <si>
    <t>R538</t>
  </si>
  <si>
    <t>TCTCTG</t>
  </si>
  <si>
    <t>R539</t>
  </si>
  <si>
    <t>R540</t>
  </si>
  <si>
    <t>R541</t>
  </si>
  <si>
    <t>R542</t>
  </si>
  <si>
    <t>R543</t>
  </si>
  <si>
    <t>R544</t>
  </si>
  <si>
    <t>R545</t>
  </si>
  <si>
    <t>R546</t>
  </si>
  <si>
    <t>R547</t>
  </si>
  <si>
    <t>R548</t>
  </si>
  <si>
    <t>CCTACTCCAACAACTCTATCG</t>
  </si>
  <si>
    <t>R549</t>
  </si>
  <si>
    <t>CTATCCCCACCAACTTCACCATCAG</t>
  </si>
  <si>
    <t>R550</t>
  </si>
  <si>
    <t>R551</t>
  </si>
  <si>
    <t>R552</t>
  </si>
  <si>
    <t>ACCACAG</t>
  </si>
  <si>
    <t>R553</t>
  </si>
  <si>
    <t>R554</t>
  </si>
  <si>
    <t>ATCCTG</t>
  </si>
  <si>
    <t>R555</t>
  </si>
  <si>
    <t>R556</t>
  </si>
  <si>
    <t>R557</t>
  </si>
  <si>
    <t>TCCATG</t>
  </si>
  <si>
    <t>R558</t>
  </si>
  <si>
    <t>ACCAAG</t>
  </si>
  <si>
    <t>R559</t>
  </si>
  <si>
    <t>R560</t>
  </si>
  <si>
    <t>R561</t>
  </si>
  <si>
    <t>R562</t>
  </si>
  <si>
    <t>R563</t>
  </si>
  <si>
    <t>ACTG</t>
  </si>
  <si>
    <t>R564</t>
  </si>
  <si>
    <t>CACCATG</t>
  </si>
  <si>
    <t>R565</t>
  </si>
  <si>
    <t>TACATCTG</t>
  </si>
  <si>
    <t>R566</t>
  </si>
  <si>
    <t>R567</t>
  </si>
  <si>
    <t>R568</t>
  </si>
  <si>
    <t>R569</t>
  </si>
  <si>
    <t>ATTCCACCG</t>
  </si>
  <si>
    <t>R570</t>
  </si>
  <si>
    <t>R571</t>
  </si>
  <si>
    <t>R572</t>
  </si>
  <si>
    <t>CTCCAACCTG</t>
  </si>
  <si>
    <t>R573</t>
  </si>
  <si>
    <t>R574</t>
  </si>
  <si>
    <t>R575</t>
  </si>
  <si>
    <t>R576</t>
  </si>
  <si>
    <t>R577</t>
  </si>
  <si>
    <t>R578</t>
  </si>
  <si>
    <t>R579</t>
  </si>
  <si>
    <t>CTTCTG</t>
  </si>
  <si>
    <t>R580</t>
  </si>
  <si>
    <t>CACCCAG</t>
  </si>
  <si>
    <t>R581</t>
  </si>
  <si>
    <t>R582</t>
  </si>
  <si>
    <t>R583</t>
  </si>
  <si>
    <t>R584</t>
  </si>
  <si>
    <t>R585</t>
  </si>
  <si>
    <t>R586</t>
  </si>
  <si>
    <t>R587</t>
  </si>
  <si>
    <t>R588</t>
  </si>
  <si>
    <t>R589</t>
  </si>
  <si>
    <t>R590</t>
  </si>
  <si>
    <t>R591</t>
  </si>
  <si>
    <t>R592</t>
  </si>
  <si>
    <t>R593</t>
  </si>
  <si>
    <t>R594</t>
  </si>
  <si>
    <t>R595</t>
  </si>
  <si>
    <t>AACACCCAAG</t>
  </si>
  <si>
    <t>R596</t>
  </si>
  <si>
    <t>R597</t>
  </si>
  <si>
    <t>R598</t>
  </si>
  <si>
    <t>R599</t>
  </si>
  <si>
    <t>R600</t>
  </si>
  <si>
    <t>CCCAAG</t>
  </si>
  <si>
    <t>R601</t>
  </si>
  <si>
    <t>R602</t>
  </si>
  <si>
    <t>R603</t>
  </si>
  <si>
    <t>R604</t>
  </si>
  <si>
    <t>ATCTACAAG</t>
  </si>
  <si>
    <t>R605</t>
  </si>
  <si>
    <t>ACCCCTCCTATCAAG</t>
  </si>
  <si>
    <t>R606</t>
  </si>
  <si>
    <t>R607</t>
  </si>
  <si>
    <t>R608</t>
  </si>
  <si>
    <t>R609</t>
  </si>
  <si>
    <t>R610</t>
  </si>
  <si>
    <t>R611</t>
  </si>
  <si>
    <t>CTTCAATTTCAG</t>
  </si>
  <si>
    <t>R612</t>
  </si>
  <si>
    <t>R613</t>
  </si>
  <si>
    <t>ATTCTG</t>
  </si>
  <si>
    <t>R614</t>
  </si>
  <si>
    <t>R615</t>
  </si>
  <si>
    <t>ATCCTAG</t>
  </si>
  <si>
    <t>R616</t>
  </si>
  <si>
    <t>R617</t>
  </si>
  <si>
    <t>CCCAG</t>
  </si>
  <si>
    <t>R618</t>
  </si>
  <si>
    <t>R619</t>
  </si>
  <si>
    <t>R620</t>
  </si>
  <si>
    <t>R621</t>
  </si>
  <si>
    <t>R622</t>
  </si>
  <si>
    <t>CTTCATCG</t>
  </si>
  <si>
    <t>R623</t>
  </si>
  <si>
    <t>R624</t>
  </si>
  <si>
    <t>R625</t>
  </si>
  <si>
    <t>R626</t>
  </si>
  <si>
    <t>R627</t>
  </si>
  <si>
    <t>TTCAACAAAG</t>
  </si>
  <si>
    <t>R628</t>
  </si>
  <si>
    <t>R629</t>
  </si>
  <si>
    <t>R630</t>
  </si>
  <si>
    <t>R631</t>
  </si>
  <si>
    <t>R632</t>
  </si>
  <si>
    <t>R633</t>
  </si>
  <si>
    <t>R634</t>
  </si>
  <si>
    <t>R635</t>
  </si>
  <si>
    <t>CTTCATCAAG</t>
  </si>
  <si>
    <t>R636</t>
  </si>
  <si>
    <t>R637</t>
  </si>
  <si>
    <t>TATG</t>
  </si>
  <si>
    <t>R638</t>
  </si>
  <si>
    <t>R639</t>
  </si>
  <si>
    <t>R640</t>
  </si>
  <si>
    <t>R641</t>
  </si>
  <si>
    <t>R642</t>
  </si>
  <si>
    <t>R643</t>
  </si>
  <si>
    <t>R644</t>
  </si>
  <si>
    <t>R645</t>
  </si>
  <si>
    <t>ACATTG</t>
  </si>
  <si>
    <t>R646</t>
  </si>
  <si>
    <t>R647</t>
  </si>
  <si>
    <t>R648</t>
  </si>
  <si>
    <t>R649</t>
  </si>
  <si>
    <t>R650</t>
  </si>
  <si>
    <t>R651</t>
  </si>
  <si>
    <t>ATTTG</t>
  </si>
  <si>
    <t>R652</t>
  </si>
  <si>
    <t>R653</t>
  </si>
  <si>
    <t>R654</t>
  </si>
  <si>
    <t>R655</t>
  </si>
  <si>
    <t>TTTAACG</t>
  </si>
  <si>
    <t>R656</t>
  </si>
  <si>
    <t>R657</t>
  </si>
  <si>
    <t>R658</t>
  </si>
  <si>
    <t>R659</t>
  </si>
  <si>
    <t>R660</t>
  </si>
  <si>
    <t>R661</t>
  </si>
  <si>
    <t>CCTCCTCTG</t>
  </si>
  <si>
    <t>R662</t>
  </si>
  <si>
    <t>R663</t>
  </si>
  <si>
    <t>R664</t>
  </si>
  <si>
    <t>R665</t>
  </si>
  <si>
    <t>R666</t>
  </si>
  <si>
    <t>R667</t>
  </si>
  <si>
    <t>R668</t>
  </si>
  <si>
    <t>R669</t>
  </si>
  <si>
    <t>TACACATCTG</t>
  </si>
  <si>
    <t>R670</t>
  </si>
  <si>
    <t>R671</t>
  </si>
  <si>
    <t>R672</t>
  </si>
  <si>
    <t>R673</t>
  </si>
  <si>
    <t>R674</t>
  </si>
  <si>
    <t>R675</t>
  </si>
  <si>
    <t>CACAATCACAAG</t>
  </si>
  <si>
    <t>R676</t>
  </si>
  <si>
    <t>R677</t>
  </si>
  <si>
    <t>R678</t>
  </si>
  <si>
    <t>R679</t>
  </si>
  <si>
    <t>R680</t>
  </si>
  <si>
    <t>ACATTTG</t>
  </si>
  <si>
    <t>R681</t>
  </si>
  <si>
    <t>R682</t>
  </si>
  <si>
    <t>R683</t>
  </si>
  <si>
    <t>R684</t>
  </si>
  <si>
    <t>R685</t>
  </si>
  <si>
    <t>R686</t>
  </si>
  <si>
    <t>R687</t>
  </si>
  <si>
    <t>R688</t>
  </si>
  <si>
    <t>R689</t>
  </si>
  <si>
    <t>ATCCCCTTTG</t>
  </si>
  <si>
    <t>R690</t>
  </si>
  <si>
    <t>CTATG</t>
  </si>
  <si>
    <t>R691</t>
  </si>
  <si>
    <t>R692</t>
  </si>
  <si>
    <t>R693</t>
  </si>
  <si>
    <t>R694</t>
  </si>
  <si>
    <t>CCTACCG</t>
  </si>
  <si>
    <t>R695</t>
  </si>
  <si>
    <t>R696</t>
  </si>
  <si>
    <t>TTCAACG</t>
  </si>
  <si>
    <t>R697</t>
  </si>
  <si>
    <t>R698</t>
  </si>
  <si>
    <t>CATCG</t>
  </si>
  <si>
    <t>R699</t>
  </si>
  <si>
    <t>R700</t>
  </si>
  <si>
    <t>R701</t>
  </si>
  <si>
    <t>R702</t>
  </si>
  <si>
    <t>R703</t>
  </si>
  <si>
    <t>AATG</t>
  </si>
  <si>
    <t>R704</t>
  </si>
  <si>
    <t>R705</t>
  </si>
  <si>
    <t>R706</t>
  </si>
  <si>
    <t>R707</t>
  </si>
  <si>
    <t>R708</t>
  </si>
  <si>
    <t>AACCAG</t>
  </si>
  <si>
    <t>R709</t>
  </si>
  <si>
    <t>R710</t>
  </si>
  <si>
    <t>R711</t>
  </si>
  <si>
    <t>R712</t>
  </si>
  <si>
    <t>CCAACCAG</t>
  </si>
  <si>
    <t>R713</t>
  </si>
  <si>
    <t>TTCAACAG</t>
  </si>
  <si>
    <t>R714</t>
  </si>
  <si>
    <t>R715</t>
  </si>
  <si>
    <t>CCATCG</t>
  </si>
  <si>
    <t>R716</t>
  </si>
  <si>
    <t>R717</t>
  </si>
  <si>
    <t>R718</t>
  </si>
  <si>
    <t>R719</t>
  </si>
  <si>
    <t>R720</t>
  </si>
  <si>
    <t>R721</t>
  </si>
  <si>
    <t>R722</t>
  </si>
  <si>
    <t>R723</t>
  </si>
  <si>
    <t>R724</t>
  </si>
  <si>
    <t>R725</t>
  </si>
  <si>
    <t>R726</t>
  </si>
  <si>
    <t>R727</t>
  </si>
  <si>
    <t>R728</t>
  </si>
  <si>
    <t>R729</t>
  </si>
  <si>
    <t>R730</t>
  </si>
  <si>
    <t>R731</t>
  </si>
  <si>
    <t>R732</t>
  </si>
  <si>
    <t>R733</t>
  </si>
  <si>
    <t>R734</t>
  </si>
  <si>
    <t>R735</t>
  </si>
  <si>
    <t>R736</t>
  </si>
  <si>
    <t>R737</t>
  </si>
  <si>
    <t>R738</t>
  </si>
  <si>
    <t>R739</t>
  </si>
  <si>
    <t>R740</t>
  </si>
  <si>
    <t>R741</t>
  </si>
  <si>
    <t>CACTG</t>
  </si>
  <si>
    <t>R742</t>
  </si>
  <si>
    <t>AACACCCTG</t>
  </si>
  <si>
    <t>R743</t>
  </si>
  <si>
    <t>R744</t>
  </si>
  <si>
    <t>TCAAG</t>
  </si>
  <si>
    <t>R745</t>
  </si>
  <si>
    <t>R746</t>
  </si>
  <si>
    <t>R747</t>
  </si>
  <si>
    <t>R748</t>
  </si>
  <si>
    <t>R749</t>
  </si>
  <si>
    <t>R750</t>
  </si>
  <si>
    <t>CCATCAG</t>
  </si>
  <si>
    <t>R751</t>
  </si>
  <si>
    <t>R752</t>
  </si>
  <si>
    <t>R753</t>
  </si>
  <si>
    <t>R754</t>
  </si>
  <si>
    <t>R755</t>
  </si>
  <si>
    <t>ATATCCTG</t>
  </si>
  <si>
    <t>R756</t>
  </si>
  <si>
    <t>R757</t>
  </si>
  <si>
    <t>R758</t>
  </si>
  <si>
    <t>R759</t>
  </si>
  <si>
    <t>R760</t>
  </si>
  <si>
    <t>ACCCTCCTG</t>
  </si>
  <si>
    <t>R761</t>
  </si>
  <si>
    <t>R762</t>
  </si>
  <si>
    <t>R763</t>
  </si>
  <si>
    <t>R764</t>
  </si>
  <si>
    <t>R765</t>
  </si>
  <si>
    <t>R766</t>
  </si>
  <si>
    <t>R767</t>
  </si>
  <si>
    <t>R768</t>
  </si>
  <si>
    <t>R769</t>
  </si>
  <si>
    <t>R770</t>
  </si>
  <si>
    <t>R771</t>
  </si>
  <si>
    <t>ATCACAG</t>
  </si>
  <si>
    <t>R772</t>
  </si>
  <si>
    <t>R773</t>
  </si>
  <si>
    <t>R774</t>
  </si>
  <si>
    <t>R775</t>
  </si>
  <si>
    <t>R776</t>
  </si>
  <si>
    <t>R777</t>
  </si>
  <si>
    <t>R778</t>
  </si>
  <si>
    <t>ACATACG</t>
  </si>
  <si>
    <t>R779</t>
  </si>
  <si>
    <t>R780</t>
  </si>
  <si>
    <t>R781</t>
  </si>
  <si>
    <t>R782</t>
  </si>
  <si>
    <t>R783</t>
  </si>
  <si>
    <t>R784</t>
  </si>
  <si>
    <t>R785</t>
  </si>
  <si>
    <t>R786</t>
  </si>
  <si>
    <t>R787</t>
  </si>
  <si>
    <t>R788</t>
  </si>
  <si>
    <t>ATTAG</t>
  </si>
  <si>
    <t>R789</t>
  </si>
  <si>
    <t>R790</t>
  </si>
  <si>
    <t>R791</t>
  </si>
  <si>
    <t>CCAATCTG</t>
  </si>
  <si>
    <t>R792</t>
  </si>
  <si>
    <t>R793</t>
  </si>
  <si>
    <t>R794</t>
  </si>
  <si>
    <t>CCACCAAG</t>
  </si>
  <si>
    <t>R795</t>
  </si>
  <si>
    <t>R796</t>
  </si>
  <si>
    <t>R797</t>
  </si>
  <si>
    <t>R798</t>
  </si>
  <si>
    <t>R799</t>
  </si>
  <si>
    <t>R800</t>
  </si>
  <si>
    <t>R801</t>
  </si>
  <si>
    <t>R802</t>
  </si>
  <si>
    <t>R803</t>
  </si>
  <si>
    <t>R804</t>
  </si>
  <si>
    <t>R805</t>
  </si>
  <si>
    <t>R806</t>
  </si>
  <si>
    <t>R807</t>
  </si>
  <si>
    <t>R808</t>
  </si>
  <si>
    <t>R809</t>
  </si>
  <si>
    <t>R810</t>
  </si>
  <si>
    <t>R811</t>
  </si>
  <si>
    <t>ACTTTTG</t>
  </si>
  <si>
    <t>R812</t>
  </si>
  <si>
    <t>R813</t>
  </si>
  <si>
    <t>R814</t>
  </si>
  <si>
    <t>R815</t>
  </si>
  <si>
    <t>R816</t>
  </si>
  <si>
    <t>R817</t>
  </si>
  <si>
    <t>CTACCACCTG</t>
  </si>
  <si>
    <t>R818</t>
  </si>
  <si>
    <t>R819</t>
  </si>
  <si>
    <t>R820</t>
  </si>
  <si>
    <t>CTTCCCTCAG</t>
  </si>
  <si>
    <t>R821</t>
  </si>
  <si>
    <t>R822</t>
  </si>
  <si>
    <t>CCCCTCACG</t>
  </si>
  <si>
    <t>R823</t>
  </si>
  <si>
    <t>R824</t>
  </si>
  <si>
    <t>R825</t>
  </si>
  <si>
    <t>R826</t>
  </si>
  <si>
    <t>R827</t>
  </si>
  <si>
    <t>R828</t>
  </si>
  <si>
    <t>TTTCTG</t>
  </si>
  <si>
    <t>R829</t>
  </si>
  <si>
    <t>R830</t>
  </si>
  <si>
    <t>R831</t>
  </si>
  <si>
    <t>ACATATG</t>
  </si>
  <si>
    <t>R832</t>
  </si>
  <si>
    <t>R833</t>
  </si>
  <si>
    <t>R834</t>
  </si>
  <si>
    <t>CTCAAG</t>
  </si>
  <si>
    <t>R835</t>
  </si>
  <si>
    <t>R836</t>
  </si>
  <si>
    <t>R837</t>
  </si>
  <si>
    <t>AATTTCACCACCG</t>
  </si>
  <si>
    <t>R838</t>
  </si>
  <si>
    <t>CTCCAG</t>
  </si>
  <si>
    <t>R839</t>
  </si>
  <si>
    <t>CCATCTG</t>
  </si>
  <si>
    <t>R840</t>
  </si>
  <si>
    <t>CCACG</t>
  </si>
  <si>
    <t>R841</t>
  </si>
  <si>
    <t>R842</t>
  </si>
  <si>
    <t>R843</t>
  </si>
  <si>
    <t>CAAAG</t>
  </si>
  <si>
    <t>R844</t>
  </si>
  <si>
    <t>CCCACTTTCCTAG</t>
  </si>
  <si>
    <t>R845</t>
  </si>
  <si>
    <t>R846</t>
  </si>
  <si>
    <t>R847</t>
  </si>
  <si>
    <t>R848</t>
  </si>
  <si>
    <t>R849</t>
  </si>
  <si>
    <t>R850</t>
  </si>
  <si>
    <t>R851</t>
  </si>
  <si>
    <t>R852</t>
  </si>
  <si>
    <t>TCCAACG</t>
  </si>
  <si>
    <t>R853</t>
  </si>
  <si>
    <t>R854</t>
  </si>
  <si>
    <t>CACCCATTG</t>
  </si>
  <si>
    <t>R855</t>
  </si>
  <si>
    <t>R856</t>
  </si>
  <si>
    <t>R857</t>
  </si>
  <si>
    <t>R858</t>
  </si>
  <si>
    <t>R859</t>
  </si>
  <si>
    <t>R860</t>
  </si>
  <si>
    <t>R861</t>
  </si>
  <si>
    <t>AACTTCTACG</t>
  </si>
  <si>
    <t>R862</t>
  </si>
  <si>
    <t>R863</t>
  </si>
  <si>
    <t>CCCCAG</t>
  </si>
  <si>
    <t>R864</t>
  </si>
  <si>
    <t>ATCATCACCACCG</t>
  </si>
  <si>
    <t>R865</t>
  </si>
  <si>
    <t>ACAACACCTTCG</t>
  </si>
  <si>
    <t>R866</t>
  </si>
  <si>
    <t>R867</t>
  </si>
  <si>
    <t>R868</t>
  </si>
  <si>
    <t>R869</t>
  </si>
  <si>
    <t>CAACTG</t>
  </si>
  <si>
    <t>R870</t>
  </si>
  <si>
    <t>R871</t>
  </si>
  <si>
    <t>R872</t>
  </si>
  <si>
    <t>R873</t>
  </si>
  <si>
    <t>R874</t>
  </si>
  <si>
    <t>R875</t>
  </si>
  <si>
    <t>R876</t>
  </si>
  <si>
    <t>CATTG</t>
  </si>
  <si>
    <t>R877</t>
  </si>
  <si>
    <t>R878</t>
  </si>
  <si>
    <t>AACAATACCG</t>
  </si>
  <si>
    <t>R879</t>
  </si>
  <si>
    <t>R880</t>
  </si>
  <si>
    <t>R881</t>
  </si>
  <si>
    <t>ACCCTCTG</t>
  </si>
  <si>
    <t>R882</t>
  </si>
  <si>
    <t>R883</t>
  </si>
  <si>
    <t>R884</t>
  </si>
  <si>
    <t>R885</t>
  </si>
  <si>
    <t>R886</t>
  </si>
  <si>
    <t>R887</t>
  </si>
  <si>
    <t>R888</t>
  </si>
  <si>
    <t>CTTCAAAG</t>
  </si>
  <si>
    <t>R889</t>
  </si>
  <si>
    <t>R890</t>
  </si>
  <si>
    <t>R891</t>
  </si>
  <si>
    <t>R892</t>
  </si>
  <si>
    <t>R893</t>
  </si>
  <si>
    <t>R894</t>
  </si>
  <si>
    <t>TACTTTAAG</t>
  </si>
  <si>
    <t>R895</t>
  </si>
  <si>
    <t>AACCACACAAG</t>
  </si>
  <si>
    <t>R896</t>
  </si>
  <si>
    <t>CCCCG</t>
  </si>
  <si>
    <t>R897</t>
  </si>
  <si>
    <t>R898</t>
  </si>
  <si>
    <t>R899</t>
  </si>
  <si>
    <t>R900</t>
  </si>
  <si>
    <t>R901</t>
  </si>
  <si>
    <t>R902</t>
  </si>
  <si>
    <t>R903</t>
  </si>
  <si>
    <t>R904</t>
  </si>
  <si>
    <t>ATATCAG</t>
  </si>
  <si>
    <t>R905</t>
  </si>
  <si>
    <t>R906</t>
  </si>
  <si>
    <t>R907</t>
  </si>
  <si>
    <t>AATCAATG</t>
  </si>
  <si>
    <t>R908</t>
  </si>
  <si>
    <t>R909</t>
  </si>
  <si>
    <t>R910</t>
  </si>
  <si>
    <t>R911</t>
  </si>
  <si>
    <t>R912</t>
  </si>
  <si>
    <t>AACATCCAG</t>
  </si>
  <si>
    <t>R913</t>
  </si>
  <si>
    <t>R914</t>
  </si>
  <si>
    <t>R915</t>
  </si>
  <si>
    <t>R916</t>
  </si>
  <si>
    <t>R917</t>
  </si>
  <si>
    <t>R918</t>
  </si>
  <si>
    <t>R920</t>
  </si>
  <si>
    <t>R921</t>
  </si>
  <si>
    <t>R922</t>
  </si>
  <si>
    <t>R923</t>
  </si>
  <si>
    <t>R924</t>
  </si>
  <si>
    <t>CCAAG</t>
  </si>
  <si>
    <t>R925</t>
  </si>
  <si>
    <t>R926</t>
  </si>
  <si>
    <t>R927</t>
  </si>
  <si>
    <t>R928</t>
  </si>
  <si>
    <t>R930</t>
  </si>
  <si>
    <t>R931</t>
  </si>
  <si>
    <t>R932</t>
  </si>
  <si>
    <t>R933</t>
  </si>
  <si>
    <t>R934</t>
  </si>
  <si>
    <t>R935</t>
  </si>
  <si>
    <t>R936</t>
  </si>
  <si>
    <t>R937</t>
  </si>
  <si>
    <t>R938</t>
  </si>
  <si>
    <t>R939</t>
  </si>
  <si>
    <t>R940</t>
  </si>
  <si>
    <t>R941</t>
  </si>
  <si>
    <t>TACATCAAG</t>
  </si>
  <si>
    <t>R942</t>
  </si>
  <si>
    <t>R943</t>
  </si>
  <si>
    <t>R944</t>
  </si>
  <si>
    <t>R945</t>
  </si>
  <si>
    <t>R946</t>
  </si>
  <si>
    <t>R947</t>
  </si>
  <si>
    <t>R948</t>
  </si>
  <si>
    <t>R949</t>
  </si>
  <si>
    <t>R950</t>
  </si>
  <si>
    <t>R951</t>
  </si>
  <si>
    <t>CTTTATCG</t>
  </si>
  <si>
    <t>R952</t>
  </si>
  <si>
    <t>R953</t>
  </si>
  <si>
    <t>R954</t>
  </si>
  <si>
    <t>R955</t>
  </si>
  <si>
    <t>R956</t>
  </si>
  <si>
    <t>R957</t>
  </si>
  <si>
    <t>R958</t>
  </si>
  <si>
    <t>R959</t>
  </si>
  <si>
    <t>R960</t>
  </si>
  <si>
    <t>TCACAATCATG</t>
  </si>
  <si>
    <t>R961</t>
  </si>
  <si>
    <t>R962</t>
  </si>
  <si>
    <t>R963</t>
  </si>
  <si>
    <t>TTG</t>
  </si>
  <si>
    <t>R964</t>
  </si>
  <si>
    <t>R965</t>
  </si>
  <si>
    <t>R966</t>
  </si>
  <si>
    <t>R967</t>
  </si>
  <si>
    <t>R968</t>
  </si>
  <si>
    <t>TAG</t>
  </si>
  <si>
    <t>R969</t>
  </si>
  <si>
    <t>R970</t>
  </si>
  <si>
    <t>R971</t>
  </si>
  <si>
    <t>R972</t>
  </si>
  <si>
    <t>R973</t>
  </si>
  <si>
    <t>R974</t>
  </si>
  <si>
    <t>R976</t>
  </si>
  <si>
    <t>R977</t>
  </si>
  <si>
    <t>R978</t>
  </si>
  <si>
    <t>R979</t>
  </si>
  <si>
    <t>R980</t>
  </si>
  <si>
    <t>R981</t>
  </si>
  <si>
    <t>R982</t>
  </si>
  <si>
    <t>R984</t>
  </si>
  <si>
    <t>R985</t>
  </si>
  <si>
    <t>R986</t>
  </si>
  <si>
    <t>R987</t>
  </si>
  <si>
    <t>R988</t>
  </si>
  <si>
    <t>R989</t>
  </si>
  <si>
    <t>R990</t>
  </si>
  <si>
    <t>R991</t>
  </si>
  <si>
    <t>R992</t>
  </si>
  <si>
    <t>R993</t>
  </si>
  <si>
    <t>R994</t>
  </si>
  <si>
    <t>R995</t>
  </si>
  <si>
    <t>R996</t>
  </si>
  <si>
    <t>R997</t>
  </si>
  <si>
    <t>R998</t>
  </si>
  <si>
    <t>R999</t>
  </si>
  <si>
    <t>AAACTG</t>
  </si>
  <si>
    <t>R1000</t>
  </si>
  <si>
    <t>CACTACACATG</t>
  </si>
  <si>
    <t>R1001</t>
  </si>
  <si>
    <t>R1002</t>
  </si>
  <si>
    <t>ACTCG</t>
  </si>
  <si>
    <t>R1003</t>
  </si>
  <si>
    <t>R1004</t>
  </si>
  <si>
    <t>R1005</t>
  </si>
  <si>
    <t>R1006</t>
  </si>
  <si>
    <t>TACTG</t>
  </si>
  <si>
    <t>R1007</t>
  </si>
  <si>
    <t>R1008</t>
  </si>
  <si>
    <t>R1009</t>
  </si>
  <si>
    <t>R1010</t>
  </si>
  <si>
    <t>CTAG</t>
  </si>
  <si>
    <t>R1011</t>
  </si>
  <si>
    <t>R1012</t>
  </si>
  <si>
    <t>CCCCTTTCCCG</t>
  </si>
  <si>
    <t>R1013</t>
  </si>
  <si>
    <t>TCCTG</t>
  </si>
  <si>
    <t>R1014</t>
  </si>
  <si>
    <t>R1015</t>
  </si>
  <si>
    <t>R1016</t>
  </si>
  <si>
    <t>TACCCCG</t>
  </si>
  <si>
    <t>R1017</t>
  </si>
  <si>
    <t>R1018</t>
  </si>
  <si>
    <t>TCTCCCCCG</t>
  </si>
  <si>
    <t>R1019</t>
  </si>
  <si>
    <t>ACCTCG</t>
  </si>
  <si>
    <t>R1020</t>
  </si>
  <si>
    <t>R1021</t>
  </si>
  <si>
    <t>R1022</t>
  </si>
  <si>
    <t>R1023</t>
  </si>
  <si>
    <t>R1024</t>
  </si>
  <si>
    <t>R1025</t>
  </si>
  <si>
    <t>CTCCCACCTCCACCTG</t>
  </si>
  <si>
    <t>R1026</t>
  </si>
  <si>
    <t>CCCCACTCACCACCTCTG</t>
  </si>
  <si>
    <t>R1027</t>
  </si>
  <si>
    <t>R1028</t>
  </si>
  <si>
    <t>R1029</t>
  </si>
  <si>
    <t>ACACCTCCCAAG</t>
  </si>
  <si>
    <t>R1030</t>
  </si>
  <si>
    <t>R1031</t>
  </si>
  <si>
    <t>R1032</t>
  </si>
  <si>
    <t>R1033</t>
  </si>
  <si>
    <t>R1034</t>
  </si>
  <si>
    <t>CTCAAAACG</t>
  </si>
  <si>
    <t>R1035</t>
  </si>
  <si>
    <t>CTTAG</t>
  </si>
  <si>
    <t>R1036</t>
  </si>
  <si>
    <t>R1037</t>
  </si>
  <si>
    <t>CCACACCCCCACG</t>
  </si>
  <si>
    <t>R1038</t>
  </si>
  <si>
    <t>R1039</t>
  </si>
  <si>
    <t>R1040</t>
  </si>
  <si>
    <t>AAACAG</t>
  </si>
  <si>
    <t>R1041</t>
  </si>
  <si>
    <t>R1042</t>
  </si>
  <si>
    <t>R1043</t>
  </si>
  <si>
    <t>ATTAACCTTTAG</t>
  </si>
  <si>
    <t>R1044</t>
  </si>
  <si>
    <t>CAATAAACG</t>
  </si>
  <si>
    <t>R1045</t>
  </si>
  <si>
    <t>R1046</t>
  </si>
  <si>
    <t>TTTAACTAAG</t>
  </si>
  <si>
    <t>R1047</t>
  </si>
  <si>
    <t>CTATACTAACCCCAG</t>
  </si>
  <si>
    <t>R1048</t>
  </si>
  <si>
    <t>R1049</t>
  </si>
  <si>
    <t>R1050</t>
  </si>
  <si>
    <t>R1051</t>
  </si>
  <si>
    <t>R1052</t>
  </si>
  <si>
    <t>TCAATTTCG</t>
  </si>
  <si>
    <t>R1053</t>
  </si>
  <si>
    <t>R1054</t>
  </si>
  <si>
    <t>R1055</t>
  </si>
  <si>
    <t>CCACACCCTG</t>
  </si>
  <si>
    <t>R1056</t>
  </si>
  <si>
    <t>R1057</t>
  </si>
  <si>
    <t>R1058</t>
  </si>
  <si>
    <t>R1059</t>
  </si>
  <si>
    <t>CAAAAAAAAAAAAAAAAAAAAAAAAAAAAAAG</t>
  </si>
  <si>
    <t>CATATG</t>
  </si>
  <si>
    <t>ACCACCAG</t>
  </si>
  <si>
    <t>CCTACACCAACAG</t>
  </si>
  <si>
    <t>CCATCCACG</t>
  </si>
  <si>
    <t>TCCG</t>
  </si>
  <si>
    <t>TACAACTCCG</t>
  </si>
  <si>
    <t>CTTCAG</t>
  </si>
  <si>
    <t>CACCTTCAAG</t>
  </si>
  <si>
    <t>CAACAACCTG</t>
  </si>
  <si>
    <t>CAACTACAATTACCTG</t>
  </si>
  <si>
    <t>CACCCCTTG</t>
  </si>
  <si>
    <t>CTTCAACTG</t>
  </si>
  <si>
    <t>CTTTCAG</t>
  </si>
  <si>
    <t>CCCACAAATG</t>
  </si>
  <si>
    <t>CTATCAG</t>
  </si>
  <si>
    <t>ACAAACAG</t>
  </si>
  <si>
    <t>CCCTCG</t>
  </si>
  <si>
    <t>AATAG</t>
  </si>
  <si>
    <t>ACTTCG</t>
  </si>
  <si>
    <t>TCAACCAG</t>
  </si>
  <si>
    <t>TCCTCCAACTTCG</t>
  </si>
  <si>
    <t>R1060</t>
  </si>
  <si>
    <t>R1061</t>
  </si>
  <si>
    <t>R1062</t>
  </si>
  <si>
    <t>AGAATAAACTAGTATTCTTCTGGTCCCCACAGACTCAGAGAGAACCCGCCACCATGTTCGTGTTCCTGGTGCTGCTGCCTCTGGTGTCCAGCCAGTGTGTGAACCTGACCACCAGAACACAGCTGCCTCCAGCCTACACCAACAGCTTTACCAGAGGCGTGTACTACCCCGACAAGGTGTTCAGATCCAGCGTGCTGCACTCTACCCAGGACCTGTTCCTGCCTTTCTTCAGCAACGTGACCTGGTTCCACGCCATCCACGTGTCCGGCACCAATGGCACCAAGAGATTCGACAACCCCGTGCTGCCCTTCAACGACGGGGTGTACTTTGCCAGCACCGAGAAGTCCAACATCATCAGAGGCTGGATCTTCGGCACCACACTGGACAGCAAGACCCAGAGCCTGCTGATCGTGAACAACGCCACCAACGTGGTCATCAAAGTGTGCGAGTTCCAGTTCTGCAACGACCCCTTCCTGGGCGTCTACTACCACAAGAACAACAAGAGCTGGATGGAAAGCGAGTTCCGGGTGTACAGCAGCGCCAACAACTGCACCTTCGAGTACGTGTCCCAGCCTTTCCTGATGGACCTGGAAGGCAAGCAGGGCAACTTCAAGAACCTGCGCGAGTTCGTGTTTAAGAACATCGACGGCTACTTCAAGATCTACAGCAAGCACACCCCTATCAACCTCGTGCGGGATCTGCCTCAGGGCTTCTCTGCTCTGGAACCCCTGGTGGATCTGCCCATCGGCATCAACATCACCCGGTTTCAGACACTGCTGGCCCTGCACAGAAGCTACCTGACACCTGGCGATAGCAGCAGCGGATGGACAGCTGGTGCCGCCGCTTACTATGTGGGCTACCTGCAGCCTAGAACCTTCCTGCTGAAGTACAACGAGAACGGCACCATCACCGACGCCGTGGATTGTGCTCTGGATCCTCTGAGCGAGACAAAGTGCACCCTGAAGTCCTTCACCGTGGAAAAGGGCATCTACCAGACCAGCAACTTCCGGGTGCAGCCCACCGAATCCATCGTGCGGTTCCCCAATATCACCAATCTGTGCCCCTTCGGCGAGGTGTTCAATGCCACCAGATTCGCCTCTGTGTACGCCTGGAACCGGAAGCGGATCAGCAATTGCGTGGCCGACTACTCCGTGCTGTACAACTCCGCCAGCTTCAGCACCTTCAAGTGCTACGGCGTGTCCCCTACCAAGCTGAACGACCTGTGCTTCACAAACGTGTACGCCGACAGCTTCGTGATCCGGGGAGATGAAGTGCGGCAGATTGCCCCTGGACAGACAGGCAAGATCGCCGACTACAACTACAAGCTGCCCGACGACTTCACCGGCTGTGTGATTGCCTGGAACAGCAACAACCTGGACTCCAAAGTCGGCGGCAACTACAATTACCTGTACCGGCTGTTCCGGAAGTCCAATCTGAAGCCCTTCGAGCGGGACATCTCCACCGAGATCTATCAGGCCGGCAGCACCCCTTGTAACGGCGTGGAAGGCTTCAACTGCTACTTCCCACTGCAGTCCTACGGCTTTCAGCCCACAAATGGCGTGGGCTATCAGCCCTACAGAGTGGTGGTGCTGAGCTTCGAACTGCTGCATGCCCCTGCCACAGTGTGCGGCCCTAAGAAAAGCACCAATCTCGTGAAGAACAAATGCGTGAACTTCAACTTCAACGGCCTGACCGGCACCGGCGTGCTGACAGAGAGCAACAAGAAGTTCCTGCCATTCCAGCAGTTTGGCCGGGATATCGCCGATACCACAGACGCCGTTAGAGATCCCCAGACACTGGAAATCCTGGACATCACCCCTTGCAGCTTCGGCGGAGTGTCTGTGATCACCCCTGGCACCAACACCAGCAATCAGGTGGCAGTGCTGTACCAGGACGTGAACTGTACCGAAGTGCCCGTGGCCATTCACGCCGATCAGCTGACACCTACATGGCGGGTGTACTCCACCGGCAGCAATGTGTTTCAGACCAGAGCCGGCTGTCTGATCGGAGCCGAGCACGTGAACAATAGCTACGAGTGCGACATCCCCATCGGCGCTGGAATCTGCGCCAGCTACCAGACACAGACAAACAGCCCTCGGAGAGCCAGAAGCGTGGCCAGCCAGAGCATCATTGCCTACACAATGTCTCTGGGCGCCGAGAACAGCGTGGCCTACTCCAACAACTCTATCGCTATCCCCACCAACTTCACCATCAGCGTGACCACAGAGATCCTGCCTGTGTCCATGACCAAGACCAGCGTGGACTGCACCATGTACATCTGCGGCGATTCCACCGAGTGCTCCAACCTGCTGCTGCAGTACGGCAGCTTCTGCACCCAGCTGAATAGAGCCCTGACAGGGATCGCCGTGGAACAGGACAAGAACACCCAAGAGGTGTTCGCCCAAGTGAAGCAGATCTACAAGACCCCTCCTATCAAGGACTTCGGCGGCTTCAATTTCAGCCAGATTCTGCCCGATCCTAGCAAGCCCAGCAAGCGGAGCTTCATCGAGGACCTGCTGTTCAACAAAGTGACACTGGCCGACGCCGGCTTCATCAAGCAGTATGGCGATTGTCTGGGCGACATTGCCGCCAGGGATCTGATTTGCGCCCAGAAGTTTAACGGACTGACAGTGCTGCCTCCTCTGCTGACCGATGAGATGATCGCCCAGTACACATCTGCCCTGCTGGCCGGCACAATCACAAGCGGCTGGACATTTGGAGCAGGCGCCGCTCTGCAGATCCCCTTTGCTATGCAGATGGCCTACCGGTTCAACGGCATCGGAGTGACCCAGAATGTGCTGTACGAGAACCAGAAGCTGATCGCCAACCAGTTCAACAGCGCCATCGGCAAGATCCAGGACAGCCTGAGCAGCACAGCAAGCGCCCTGGGAAAGCTGCAGGACGTGGTCAACCAGAATGCCCAGGCACTGAACACCCTGGTCAAGCAGCTGTCCTCCAACTTCGGCGCCATCAGCTCTGTGCTGAACGATATCCTGAGCAGACTGGACCCTCCTGAGGCCGAGGTGCAGATCGACAGACTGATCACAGGCAGACTGCAGAGCCTCCAGACATACGTGACCCAGCAGCTGATCAGAGCCGCCGAGATTAGAGCCTCTGCCAATCTGGCCGCCACCAAGATGTCTGAGTGTGTGCTGGGCCAGAGCAAGAGAGTGGACTTTTGCGGCAAGGGCTACCACCTGATGAGCTTCCCTCAGTCTGCCCCTCACGGCGTGGTGTTTCTGCACGTGACATATGTGCCCGCTCAAGAGAAGAATTTCACCACCGCTCCAGCCATCTGCCACGACGGCAAAGCCCACTTTCCTAGAGAAGGCGTGTTCGTGTCCAACGGCACCCATTGGTTCGTGACACAGCGGAACTTCTACGAGCCCCAGATCATCACCACCGACAACACCTTCGTGTCTGGCAACTGCGACGTCGTGATCGGCATTGTGAACAATACCGTGTACGACCCTCTGCAGCCCGAGCTGGACAGCTTCAAAGAGGAACTGGACAAGTACTTTAAGAACCACACAAGCCCCGACGTGGACCTGGGCGATATCAGCGGAATCAATGCCAGCGTCGTGAACATCCAGAAAGAGATCGACCGGCTGAACGAGGTGGCCAAGAATCTGAACGAGAGCCTGATCGACCTGCAAGAACTGGGGAAGTACGAGCAGTACATCAAGTGGCCCTGGTACATCTGGCTGGGCTTTATCGCCGGACTGATTGCCATCGTGATGGTCACAATCATGCTGTGTTGCATGACCAGCTGCTGTAGCTGCCTGAAGGGCTGTTGTAGCTGTGGCAGCTGCTGCAAGTTCGACGAGGACGATTCTGAGCCCGTGCTGAAGGGCGTGAAACTGCACTACACATGATGACTCGAGCTGGTACTGCATGCACGCAATGCTAGCTGCCCCTTTCCCGTCCTGGGTACCCCGAGTCTCCCCCGACCTCGGGTCCCAGGTATGCTCCCACCTCCACCTGCCCCACTCACCACCTCTGCTAGTTCCAGACACCTCCCAAGCACGCAGCAATGCAGCTCAAAACGCTTAGCCTAGCCACACCCCCACGGGAAACAGCAGTGATTAACCTTTAGCAATAAACGAAAGTTTAACTAAGCTATACTAACCCCAGGGTTGGTCAATTTCGTGCCAGCCACACCCTGGAGCTAGCAAAAAAAAAAAAAAAAAAAAAAAAAAAAAAGCATATGACTAAAAAAAAAAAAAAAAAAAAAAAAAAAAAAAAAAAAAAAAAAAAAAAAAAAAAAAAAAAAAAAAAAAAAA</t>
  </si>
  <si>
    <t>ACTAAAAAAAAAAAAAAAAAAAAAAAAAAAAAAAAAAAAAAAAAAAAAAAAAAAAAAAAAAAAAAAAAAAAAA</t>
  </si>
  <si>
    <t>m/z --&gt; Mass calculation</t>
  </si>
  <si>
    <t>Copy &amp; paste this mass to cell A2</t>
  </si>
  <si>
    <t>"No Fill" cells are subject to user input</t>
  </si>
  <si>
    <t>Omicron Variant</t>
  </si>
  <si>
    <t>Delta Variant</t>
  </si>
  <si>
    <t>Original</t>
  </si>
  <si>
    <t>246TTCCACG252, 794CTACCTG800, 857CTACCTG863, 1533TCCTACG1539, 3292CCATCTG3298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</si>
</sst>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164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NumberFormat="1" applyFont="1" applyFill="1" applyBorder="1"/>
    <xf numFmtId="0" fontId="0" fillId="0" borderId="0" xfId="0" quotePrefix="1" applyAlignment="1">
      <alignment horizontal="left" vertical="center"/>
    </xf>
    <xf numFmtId="164" fontId="0" fillId="0" borderId="0" xfId="0" applyNumberFormat="1" applyFont="1" applyFill="1" applyBorder="1"/>
    <xf numFmtId="0" fontId="0" fillId="5" borderId="0" xfId="0" applyFill="1" applyAlignment="1">
      <alignment horizontal="left" vertical="center"/>
    </xf>
    <xf numFmtId="0" fontId="2" fillId="4" borderId="0" xfId="0" applyFont="1" applyFill="1" applyBorder="1"/>
    <xf numFmtId="2" fontId="2" fillId="4" borderId="0" xfId="0" applyNumberFormat="1" applyFont="1" applyFill="1" applyBorder="1"/>
    <xf numFmtId="0" fontId="0" fillId="2" borderId="0" xfId="0" quotePrefix="1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6" borderId="0" xfId="0" applyFont="1" applyFill="1" applyBorder="1"/>
    <xf numFmtId="0" fontId="0" fillId="2" borderId="0" xfId="0" applyFill="1" applyAlignment="1">
      <alignment horizontal="right" vertical="center"/>
    </xf>
    <xf numFmtId="0" fontId="0" fillId="0" borderId="0" xfId="0" applyNumberFormat="1" applyFont="1" applyFill="1" applyBorder="1" applyAlignment="1">
      <alignment horizontal="left" vertical="center"/>
    </xf>
    <xf numFmtId="164" fontId="0" fillId="0" borderId="0" xfId="0" applyNumberFormat="1" applyFont="1" applyFill="1" applyBorder="1" applyAlignment="1">
      <alignment horizontal="left" vertical="center"/>
    </xf>
    <xf numFmtId="164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164" fontId="0" fillId="2" borderId="5" xfId="0" applyNumberFormat="1" applyFill="1" applyBorder="1" applyAlignment="1">
      <alignment horizontal="left" vertical="center"/>
    </xf>
    <xf numFmtId="164" fontId="0" fillId="2" borderId="4" xfId="0" applyNumberFormat="1" applyFill="1" applyBorder="1" applyAlignment="1">
      <alignment horizontal="left" vertical="center"/>
    </xf>
    <xf numFmtId="164" fontId="0" fillId="0" borderId="0" xfId="0" applyNumberFormat="1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64" fontId="0" fillId="2" borderId="0" xfId="0" applyNumberFormat="1" applyFill="1" applyBorder="1" applyAlignment="1">
      <alignment horizontal="left" vertical="center"/>
    </xf>
    <xf numFmtId="0" fontId="0" fillId="2" borderId="6" xfId="0" applyFill="1" applyBorder="1" applyAlignment="1">
      <alignment horizontal="left" vertical="center"/>
    </xf>
    <xf numFmtId="164" fontId="0" fillId="2" borderId="7" xfId="0" applyNumberFormat="1" applyFill="1" applyBorder="1" applyAlignment="1">
      <alignment horizontal="left" vertical="center"/>
    </xf>
    <xf numFmtId="0" fontId="0" fillId="2" borderId="8" xfId="0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0" fillId="0" borderId="0" xfId="0" applyFill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601980</xdr:colOff>
          <xdr:row>12</xdr:row>
          <xdr:rowOff>30480</xdr:rowOff>
        </xdr:from>
        <xdr:to>
          <xdr:col>6</xdr:col>
          <xdr:colOff>312420</xdr:colOff>
          <xdr:row>20</xdr:row>
          <xdr:rowOff>83820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 Mass Match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594360</xdr:colOff>
          <xdr:row>25</xdr:row>
          <xdr:rowOff>30480</xdr:rowOff>
        </xdr:from>
        <xdr:to>
          <xdr:col>6</xdr:col>
          <xdr:colOff>274320</xdr:colOff>
          <xdr:row>33</xdr:row>
          <xdr:rowOff>45720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If you've edited the Matches worksheet, click here to re-calculate seqeunce coverage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11</xdr:col>
          <xdr:colOff>259080</xdr:colOff>
          <xdr:row>20</xdr:row>
          <xdr:rowOff>106680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Theoretical Digest Only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928EF-9126-442C-8B06-675B87FD5254}">
  <sheetPr codeName="Sheet1"/>
  <dimension ref="A1:AA23"/>
  <sheetViews>
    <sheetView tabSelected="1" zoomScale="80" zoomScaleNormal="80" workbookViewId="0">
      <selection activeCell="A5" sqref="A5"/>
    </sheetView>
  </sheetViews>
  <sheetFormatPr defaultColWidth="9.33203125" defaultRowHeight="14.4" x14ac:dyDescent="0.3"/>
  <cols>
    <col min="1" max="1" width="11.5546875" style="3" bestFit="1" customWidth="1"/>
    <col min="2" max="10" width="9.33203125" style="2"/>
    <col min="11" max="12" width="9.33203125" style="1"/>
    <col min="13" max="13" width="9.33203125" style="2"/>
    <col min="14" max="14" width="11.33203125" style="2" customWidth="1"/>
    <col min="15" max="18" width="9.33203125" style="2"/>
    <col min="19" max="27" width="0" style="2" hidden="1" customWidth="1"/>
    <col min="28" max="16384" width="9.33203125" style="2"/>
  </cols>
  <sheetData>
    <row r="1" spans="1:27" x14ac:dyDescent="0.3">
      <c r="A1" s="1" t="s">
        <v>0</v>
      </c>
      <c r="D1" s="2" t="s">
        <v>1</v>
      </c>
      <c r="F1" s="2" t="s">
        <v>2</v>
      </c>
      <c r="I1" s="2" t="s">
        <v>3</v>
      </c>
      <c r="N1" s="2" t="s">
        <v>4</v>
      </c>
      <c r="P1" s="1" t="s">
        <v>5</v>
      </c>
      <c r="Q1" s="1" t="s">
        <v>6</v>
      </c>
      <c r="S1" s="2" t="s">
        <v>7</v>
      </c>
      <c r="T1" s="1" t="s">
        <v>5</v>
      </c>
      <c r="U1" s="1" t="s">
        <v>6</v>
      </c>
      <c r="W1" s="2" t="s">
        <v>11</v>
      </c>
      <c r="AA1" s="2" t="s">
        <v>8</v>
      </c>
    </row>
    <row r="2" spans="1:27" x14ac:dyDescent="0.3">
      <c r="A2" s="3">
        <v>2247.3163058664841</v>
      </c>
      <c r="D2" s="4">
        <v>5</v>
      </c>
      <c r="F2" s="5" t="s">
        <v>8</v>
      </c>
      <c r="I2" s="2" t="s">
        <v>9</v>
      </c>
      <c r="J2" s="2" t="s">
        <v>10</v>
      </c>
      <c r="K2" s="1" t="s">
        <v>5</v>
      </c>
      <c r="L2" s="1" t="s">
        <v>6</v>
      </c>
      <c r="N2" s="5" t="s">
        <v>11</v>
      </c>
      <c r="O2" s="5" t="s">
        <v>78</v>
      </c>
      <c r="P2" s="5">
        <f>T6+T5*3+T3</f>
        <v>79.966330889360009</v>
      </c>
      <c r="Q2" s="5">
        <f>U6+U5*3+U3</f>
        <v>79.979901999999996</v>
      </c>
      <c r="S2" s="2" t="s">
        <v>12</v>
      </c>
      <c r="T2" s="2">
        <v>12</v>
      </c>
      <c r="U2" s="2">
        <v>12.010999999999999</v>
      </c>
      <c r="W2" s="2" t="s">
        <v>19</v>
      </c>
      <c r="AA2" s="2" t="s">
        <v>13</v>
      </c>
    </row>
    <row r="3" spans="1:27" x14ac:dyDescent="0.3">
      <c r="D3" s="2" t="s">
        <v>46</v>
      </c>
      <c r="I3" s="5" t="s">
        <v>26</v>
      </c>
      <c r="J3" s="5" t="s">
        <v>14</v>
      </c>
      <c r="K3" s="3">
        <v>329.05252012475</v>
      </c>
      <c r="L3" s="3">
        <v>329.20914199999999</v>
      </c>
      <c r="M3" s="1"/>
      <c r="N3" s="5" t="s">
        <v>11</v>
      </c>
      <c r="O3" s="5" t="s">
        <v>31</v>
      </c>
      <c r="P3" s="5">
        <f>T5+T3</f>
        <v>17.002739651799999</v>
      </c>
      <c r="Q3" s="5">
        <f>U5+U3</f>
        <v>17.007339999999999</v>
      </c>
      <c r="S3" s="2" t="s">
        <v>15</v>
      </c>
      <c r="T3" s="2">
        <v>1.00782503223</v>
      </c>
      <c r="U3" s="2">
        <v>1.0079400000000001</v>
      </c>
      <c r="W3" s="2" t="s">
        <v>48</v>
      </c>
    </row>
    <row r="4" spans="1:27" x14ac:dyDescent="0.3">
      <c r="D4" s="6" t="s">
        <v>27</v>
      </c>
      <c r="I4" s="5" t="s">
        <v>27</v>
      </c>
      <c r="J4" s="5" t="s">
        <v>16</v>
      </c>
      <c r="K4" s="3">
        <v>345.04743474432001</v>
      </c>
      <c r="L4" s="3">
        <v>345.20854200000002</v>
      </c>
      <c r="M4" s="1"/>
      <c r="N4" s="5" t="s">
        <v>11</v>
      </c>
      <c r="O4" s="5" t="s">
        <v>32</v>
      </c>
      <c r="P4" s="3">
        <v>484.06345547885996</v>
      </c>
      <c r="Q4" s="3">
        <v>484.27642400000002</v>
      </c>
      <c r="S4" s="2" t="s">
        <v>17</v>
      </c>
      <c r="T4" s="2">
        <v>14.003074004429999</v>
      </c>
      <c r="U4" s="2">
        <v>14.006740000000001</v>
      </c>
      <c r="W4" s="2" t="s">
        <v>49</v>
      </c>
    </row>
    <row r="5" spans="1:27" x14ac:dyDescent="0.3">
      <c r="D5" s="2" t="s">
        <v>47</v>
      </c>
      <c r="I5" s="5" t="s">
        <v>12</v>
      </c>
      <c r="J5" s="5" t="s">
        <v>18</v>
      </c>
      <c r="K5" s="3">
        <v>305.04128673546001</v>
      </c>
      <c r="L5" s="3">
        <v>305.18406199999998</v>
      </c>
      <c r="M5" s="1"/>
      <c r="N5" s="5" t="s">
        <v>19</v>
      </c>
      <c r="O5" s="8" t="s">
        <v>33</v>
      </c>
      <c r="P5" s="5">
        <f>T3</f>
        <v>1.00782503223</v>
      </c>
      <c r="Q5" s="5">
        <f>U3</f>
        <v>1.0079400000000001</v>
      </c>
      <c r="S5" s="2" t="s">
        <v>20</v>
      </c>
      <c r="T5" s="2">
        <v>15.99491461957</v>
      </c>
      <c r="U5" s="2">
        <v>15.9994</v>
      </c>
    </row>
    <row r="6" spans="1:27" x14ac:dyDescent="0.3">
      <c r="D6" s="6" t="s">
        <v>19</v>
      </c>
      <c r="I6" s="5" t="s">
        <v>57</v>
      </c>
      <c r="J6" s="5" t="s">
        <v>21</v>
      </c>
      <c r="K6" s="3">
        <v>320.04095238282997</v>
      </c>
      <c r="L6" s="3">
        <v>320.19566200000003</v>
      </c>
      <c r="M6" s="1"/>
      <c r="O6" s="13"/>
      <c r="S6" s="2" t="s">
        <v>22</v>
      </c>
      <c r="T6" s="2">
        <v>30.973761998419999</v>
      </c>
      <c r="U6" s="2">
        <v>30.973762000000001</v>
      </c>
    </row>
    <row r="7" spans="1:27" x14ac:dyDescent="0.3">
      <c r="D7" s="2" t="s">
        <v>50</v>
      </c>
      <c r="S7" s="2" t="s">
        <v>23</v>
      </c>
      <c r="T7" s="2">
        <v>31.9720711744</v>
      </c>
      <c r="U7" s="2">
        <v>32.066000000000003</v>
      </c>
    </row>
    <row r="8" spans="1:27" ht="15" thickBot="1" x14ac:dyDescent="0.35">
      <c r="D8" s="6" t="s">
        <v>49</v>
      </c>
      <c r="S8" s="2" t="s">
        <v>24</v>
      </c>
      <c r="T8" s="2">
        <v>18.010564684030001</v>
      </c>
      <c r="U8" s="2">
        <f>U3*2+U5</f>
        <v>18.015280000000001</v>
      </c>
    </row>
    <row r="9" spans="1:27" x14ac:dyDescent="0.3">
      <c r="D9" s="2" t="s">
        <v>43</v>
      </c>
      <c r="H9" s="1"/>
      <c r="I9" s="37" t="s">
        <v>1433</v>
      </c>
      <c r="M9" s="23" t="s">
        <v>1431</v>
      </c>
      <c r="N9" s="24"/>
      <c r="O9" s="25"/>
      <c r="S9" s="2" t="s">
        <v>25</v>
      </c>
      <c r="T9" s="2">
        <v>1.0072764666209999</v>
      </c>
    </row>
    <row r="10" spans="1:27" x14ac:dyDescent="0.3">
      <c r="D10" s="6">
        <v>0</v>
      </c>
      <c r="M10" s="26"/>
      <c r="N10" s="27" t="s">
        <v>61</v>
      </c>
      <c r="O10" s="28"/>
      <c r="S10" s="2" t="s">
        <v>64</v>
      </c>
      <c r="T10" s="2">
        <f>T6+T5*3+T3</f>
        <v>79.966330889360009</v>
      </c>
    </row>
    <row r="11" spans="1:27" x14ac:dyDescent="0.3">
      <c r="M11" s="29" t="s">
        <v>62</v>
      </c>
      <c r="N11" s="30">
        <v>560.82180000000005</v>
      </c>
      <c r="O11" s="31"/>
    </row>
    <row r="12" spans="1:27" x14ac:dyDescent="0.3">
      <c r="M12" s="29" t="s">
        <v>63</v>
      </c>
      <c r="N12" s="32">
        <v>4</v>
      </c>
      <c r="O12" s="31"/>
    </row>
    <row r="13" spans="1:27" x14ac:dyDescent="0.3">
      <c r="I13" s="14"/>
      <c r="M13" s="29" t="s">
        <v>0</v>
      </c>
      <c r="N13" s="33">
        <f>N11*N12+N12*T9</f>
        <v>2247.3163058664841</v>
      </c>
      <c r="O13" s="31"/>
    </row>
    <row r="14" spans="1:27" x14ac:dyDescent="0.3">
      <c r="I14" s="14"/>
      <c r="M14" s="29" t="s">
        <v>1432</v>
      </c>
      <c r="N14" s="27"/>
      <c r="O14" s="31"/>
    </row>
    <row r="15" spans="1:27" ht="15" thickBot="1" x14ac:dyDescent="0.35">
      <c r="I15" s="14"/>
      <c r="M15" s="34"/>
      <c r="N15" s="35"/>
      <c r="O15" s="36"/>
    </row>
    <row r="16" spans="1:27" x14ac:dyDescent="0.3">
      <c r="I16" s="1"/>
    </row>
    <row r="17" spans="4:14" x14ac:dyDescent="0.3">
      <c r="I17" s="1"/>
      <c r="N17" s="1"/>
    </row>
    <row r="18" spans="4:14" x14ac:dyDescent="0.3">
      <c r="I18" s="1"/>
      <c r="N18" s="1"/>
    </row>
    <row r="19" spans="4:14" x14ac:dyDescent="0.3">
      <c r="I19" s="1"/>
      <c r="N19" s="1"/>
    </row>
    <row r="20" spans="4:14" x14ac:dyDescent="0.3">
      <c r="N20" s="1"/>
    </row>
    <row r="22" spans="4:14" x14ac:dyDescent="0.3">
      <c r="D22" s="2" t="s">
        <v>44</v>
      </c>
    </row>
    <row r="23" spans="4:14" x14ac:dyDescent="0.3">
      <c r="D23" s="10"/>
    </row>
  </sheetData>
  <sortState xmlns:xlrd2="http://schemas.microsoft.com/office/spreadsheetml/2017/richdata2" ref="A2:A90">
    <sortCondition ref="A2:A90"/>
  </sortState>
  <dataValidations count="4">
    <dataValidation type="list" allowBlank="1" showInputMessage="1" showErrorMessage="1" sqref="F2" xr:uid="{C24A56EF-89AF-4C99-AD1E-EB5829896CB1}">
      <formula1>$AA$1:$AA$2</formula1>
    </dataValidation>
    <dataValidation type="list" showInputMessage="1" showErrorMessage="1" sqref="D4" xr:uid="{F8EC9DA2-025C-4DE0-9D52-5D6F4DAE4116}">
      <formula1>$I$3:$I$6</formula1>
    </dataValidation>
    <dataValidation type="list" allowBlank="1" showInputMessage="1" showErrorMessage="1" sqref="D6" xr:uid="{62908A67-698D-4653-A8D7-41D8C33C8687}">
      <formula1>$W$1:$W$2</formula1>
    </dataValidation>
    <dataValidation type="list" allowBlank="1" showInputMessage="1" showErrorMessage="1" sqref="D8" xr:uid="{E61D0B1B-3263-4349-B079-74E1522B6A8D}">
      <formula1>$W$3:$W$4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MatchMassesToOligoSequence">
                <anchor moveWithCells="1" sizeWithCells="1">
                  <from>
                    <xdr:col>2</xdr:col>
                    <xdr:colOff>601980</xdr:colOff>
                    <xdr:row>12</xdr:row>
                    <xdr:rowOff>30480</xdr:rowOff>
                  </from>
                  <to>
                    <xdr:col>6</xdr:col>
                    <xdr:colOff>312420</xdr:colOff>
                    <xdr:row>20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getcoverage">
                <anchor moveWithCells="1" sizeWithCells="1">
                  <from>
                    <xdr:col>2</xdr:col>
                    <xdr:colOff>594360</xdr:colOff>
                    <xdr:row>25</xdr:row>
                    <xdr:rowOff>30480</xdr:rowOff>
                  </from>
                  <to>
                    <xdr:col>6</xdr:col>
                    <xdr:colOff>274320</xdr:colOff>
                    <xdr:row>33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maketheorylist">
                <anchor moveWithCells="1" siz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11</xdr:col>
                    <xdr:colOff>259080</xdr:colOff>
                    <xdr:row>20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DAFAA-0388-4515-9A2D-32737A0C1737}">
  <sheetPr codeName="Sheet2"/>
  <dimension ref="A1:I96"/>
  <sheetViews>
    <sheetView workbookViewId="0">
      <selection activeCell="D17" sqref="D17"/>
    </sheetView>
  </sheetViews>
  <sheetFormatPr defaultColWidth="9.33203125" defaultRowHeight="14.4" x14ac:dyDescent="0.3"/>
  <cols>
    <col min="1" max="1" width="51.33203125" style="6" bestFit="1" customWidth="1"/>
    <col min="2" max="2" width="14.44140625" style="6" bestFit="1" customWidth="1"/>
    <col min="3" max="3" width="9.33203125" style="2"/>
    <col min="4" max="4" width="15.6640625" style="38" customWidth="1"/>
    <col min="5" max="5" width="9.33203125" style="6"/>
    <col min="6" max="16384" width="9.33203125" style="2"/>
  </cols>
  <sheetData>
    <row r="1" spans="1:7" x14ac:dyDescent="0.3">
      <c r="A1" s="2" t="s">
        <v>53</v>
      </c>
      <c r="B1" s="2" t="s">
        <v>55</v>
      </c>
      <c r="C1" s="2" t="s">
        <v>28</v>
      </c>
      <c r="D1" s="16" t="s">
        <v>29</v>
      </c>
      <c r="E1" s="2" t="s">
        <v>56</v>
      </c>
    </row>
    <row r="2" spans="1:7" x14ac:dyDescent="0.3">
      <c r="A2" s="6" t="s">
        <v>54</v>
      </c>
      <c r="B2" s="6" t="s">
        <v>1436</v>
      </c>
      <c r="C2" s="2">
        <f t="shared" ref="C2:C4" si="0">LEN(D2)</f>
        <v>4283</v>
      </c>
      <c r="D2" s="38" t="s">
        <v>1429</v>
      </c>
      <c r="E2" s="6" t="s">
        <v>30</v>
      </c>
    </row>
    <row r="3" spans="1:7" x14ac:dyDescent="0.3">
      <c r="A3" s="6" t="s">
        <v>60</v>
      </c>
      <c r="B3" s="6" t="s">
        <v>1435</v>
      </c>
      <c r="C3" s="2">
        <f t="shared" si="0"/>
        <v>4277</v>
      </c>
      <c r="D3" s="38" t="s">
        <v>59</v>
      </c>
      <c r="G3" s="37" t="s">
        <v>1433</v>
      </c>
    </row>
    <row r="4" spans="1:7" x14ac:dyDescent="0.3">
      <c r="A4" s="6" t="s">
        <v>79</v>
      </c>
      <c r="B4" s="6" t="s">
        <v>1434</v>
      </c>
      <c r="C4" s="2">
        <f t="shared" si="0"/>
        <v>4274</v>
      </c>
      <c r="D4" s="38" t="s">
        <v>80</v>
      </c>
    </row>
    <row r="87" spans="9:9" x14ac:dyDescent="0.3">
      <c r="I87" s="2" t="str">
        <f t="shared" ref="I87:I96" si="1">CONCATENATE(H87,I88)</f>
        <v/>
      </c>
    </row>
    <row r="88" spans="9:9" x14ac:dyDescent="0.3">
      <c r="I88" s="2" t="str">
        <f t="shared" si="1"/>
        <v/>
      </c>
    </row>
    <row r="89" spans="9:9" x14ac:dyDescent="0.3">
      <c r="I89" s="2" t="str">
        <f t="shared" si="1"/>
        <v/>
      </c>
    </row>
    <row r="90" spans="9:9" x14ac:dyDescent="0.3">
      <c r="I90" s="2" t="str">
        <f t="shared" si="1"/>
        <v/>
      </c>
    </row>
    <row r="91" spans="9:9" x14ac:dyDescent="0.3">
      <c r="I91" s="2" t="str">
        <f t="shared" si="1"/>
        <v/>
      </c>
    </row>
    <row r="92" spans="9:9" x14ac:dyDescent="0.3">
      <c r="I92" s="2" t="str">
        <f t="shared" si="1"/>
        <v/>
      </c>
    </row>
    <row r="93" spans="9:9" x14ac:dyDescent="0.3">
      <c r="I93" s="2" t="str">
        <f t="shared" si="1"/>
        <v/>
      </c>
    </row>
    <row r="94" spans="9:9" x14ac:dyDescent="0.3">
      <c r="I94" s="2" t="str">
        <f t="shared" si="1"/>
        <v/>
      </c>
    </row>
    <row r="95" spans="9:9" x14ac:dyDescent="0.3">
      <c r="I95" s="2" t="str">
        <f t="shared" si="1"/>
        <v/>
      </c>
    </row>
    <row r="96" spans="9:9" x14ac:dyDescent="0.3">
      <c r="I96" s="2" t="str">
        <f t="shared" si="1"/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B669B-1238-4BC7-9CC7-A8C2C21B00AC}">
  <sheetPr codeName="Sheet3"/>
  <dimension ref="A1:H1065"/>
  <sheetViews>
    <sheetView workbookViewId="0">
      <selection sqref="A1:XFD1048576"/>
    </sheetView>
  </sheetViews>
  <sheetFormatPr defaultColWidth="9.33203125" defaultRowHeight="14.4" x14ac:dyDescent="0.3"/>
  <cols>
    <col min="1" max="1" width="17.109375" style="17" customWidth="1"/>
    <col min="2" max="3" width="4.88671875" style="17" bestFit="1" customWidth="1"/>
    <col min="4" max="4" width="6.33203125" style="17" bestFit="1" customWidth="1"/>
    <col min="5" max="6" width="9.33203125" style="17"/>
    <col min="7" max="7" width="10.5546875" style="18" bestFit="1" customWidth="1"/>
    <col min="8" max="8" width="9.33203125" style="17"/>
    <col min="9" max="9" width="9.5546875" style="17" bestFit="1" customWidth="1"/>
    <col min="10" max="16384" width="9.33203125" style="17"/>
  </cols>
  <sheetData>
    <row r="1" spans="1:8" x14ac:dyDescent="0.3">
      <c r="A1" s="17" t="s">
        <v>29</v>
      </c>
      <c r="B1" s="17" t="s">
        <v>34</v>
      </c>
      <c r="C1" s="17" t="s">
        <v>35</v>
      </c>
      <c r="D1" s="17" t="s">
        <v>28</v>
      </c>
      <c r="E1" s="17" t="s">
        <v>36</v>
      </c>
      <c r="F1" s="17" t="s">
        <v>37</v>
      </c>
      <c r="G1" s="18" t="s">
        <v>38</v>
      </c>
      <c r="H1" s="17" t="s">
        <v>65</v>
      </c>
    </row>
    <row r="2" spans="1:8" x14ac:dyDescent="0.3">
      <c r="A2" s="17" t="s">
        <v>81</v>
      </c>
      <c r="B2" s="17">
        <v>1</v>
      </c>
      <c r="C2" s="17">
        <v>2</v>
      </c>
      <c r="D2" s="17">
        <v>2</v>
      </c>
      <c r="E2" s="17" t="s">
        <v>78</v>
      </c>
      <c r="F2" s="17" t="s">
        <v>33</v>
      </c>
      <c r="G2" s="18">
        <v>835.04044168043004</v>
      </c>
      <c r="H2" s="17" t="s">
        <v>66</v>
      </c>
    </row>
    <row r="3" spans="1:8" x14ac:dyDescent="0.3">
      <c r="A3" s="17" t="s">
        <v>82</v>
      </c>
      <c r="B3" s="17">
        <v>3</v>
      </c>
      <c r="C3" s="17">
        <v>12</v>
      </c>
      <c r="D3" s="17">
        <v>10</v>
      </c>
      <c r="E3" s="17" t="s">
        <v>31</v>
      </c>
      <c r="F3" s="17" t="s">
        <v>33</v>
      </c>
      <c r="G3" s="18">
        <v>3282.49631167594</v>
      </c>
      <c r="H3" s="17" t="s">
        <v>83</v>
      </c>
    </row>
    <row r="4" spans="1:8" x14ac:dyDescent="0.3">
      <c r="A4" s="17" t="s">
        <v>84</v>
      </c>
      <c r="B4" s="17">
        <v>13</v>
      </c>
      <c r="C4" s="17">
        <v>22</v>
      </c>
      <c r="D4" s="17">
        <v>10</v>
      </c>
      <c r="E4" s="17" t="s">
        <v>31</v>
      </c>
      <c r="F4" s="17" t="s">
        <v>33</v>
      </c>
      <c r="G4" s="18">
        <v>3222.4388073189698</v>
      </c>
      <c r="H4" s="17" t="s">
        <v>85</v>
      </c>
    </row>
    <row r="5" spans="1:8" x14ac:dyDescent="0.3">
      <c r="A5" s="17" t="s">
        <v>27</v>
      </c>
      <c r="B5" s="17">
        <v>23</v>
      </c>
      <c r="C5" s="17">
        <v>23</v>
      </c>
      <c r="D5" s="17">
        <v>1</v>
      </c>
      <c r="E5" s="17" t="s">
        <v>31</v>
      </c>
      <c r="F5" s="17" t="s">
        <v>33</v>
      </c>
      <c r="G5" s="18">
        <v>363.05799942632001</v>
      </c>
      <c r="H5" s="17" t="s">
        <v>86</v>
      </c>
    </row>
    <row r="6" spans="1:8" x14ac:dyDescent="0.3">
      <c r="A6" s="17" t="s">
        <v>87</v>
      </c>
      <c r="B6" s="17">
        <v>24</v>
      </c>
      <c r="C6" s="17">
        <v>32</v>
      </c>
      <c r="D6" s="17">
        <v>9</v>
      </c>
      <c r="E6" s="17" t="s">
        <v>31</v>
      </c>
      <c r="F6" s="17" t="s">
        <v>33</v>
      </c>
      <c r="G6" s="18">
        <v>2866.41042573595</v>
      </c>
      <c r="H6" s="17" t="s">
        <v>88</v>
      </c>
    </row>
    <row r="7" spans="1:8" x14ac:dyDescent="0.3">
      <c r="A7" s="17" t="s">
        <v>89</v>
      </c>
      <c r="B7" s="17">
        <v>33</v>
      </c>
      <c r="C7" s="17">
        <v>38</v>
      </c>
      <c r="D7" s="17">
        <v>6</v>
      </c>
      <c r="E7" s="17" t="s">
        <v>31</v>
      </c>
      <c r="F7" s="17" t="s">
        <v>33</v>
      </c>
      <c r="G7" s="18">
        <v>1951.2865655295702</v>
      </c>
      <c r="H7" s="17" t="s">
        <v>90</v>
      </c>
    </row>
    <row r="8" spans="1:8" x14ac:dyDescent="0.3">
      <c r="A8" s="17" t="s">
        <v>81</v>
      </c>
      <c r="B8" s="17">
        <v>39</v>
      </c>
      <c r="C8" s="17">
        <v>40</v>
      </c>
      <c r="D8" s="17">
        <v>2</v>
      </c>
      <c r="E8" s="17" t="s">
        <v>31</v>
      </c>
      <c r="F8" s="17" t="s">
        <v>33</v>
      </c>
      <c r="G8" s="18">
        <v>692.11051955106996</v>
      </c>
      <c r="H8" s="17" t="s">
        <v>91</v>
      </c>
    </row>
    <row r="9" spans="1:8" x14ac:dyDescent="0.3">
      <c r="A9" s="17" t="s">
        <v>81</v>
      </c>
      <c r="B9" s="17">
        <v>41</v>
      </c>
      <c r="C9" s="17">
        <v>42</v>
      </c>
      <c r="D9" s="17">
        <v>2</v>
      </c>
      <c r="E9" s="17" t="s">
        <v>31</v>
      </c>
      <c r="F9" s="17" t="s">
        <v>33</v>
      </c>
      <c r="G9" s="18">
        <v>692.11051955106996</v>
      </c>
      <c r="H9" s="17" t="s">
        <v>92</v>
      </c>
    </row>
    <row r="10" spans="1:8" x14ac:dyDescent="0.3">
      <c r="A10" s="17" t="s">
        <v>93</v>
      </c>
      <c r="B10" s="17">
        <v>43</v>
      </c>
      <c r="C10" s="17">
        <v>48</v>
      </c>
      <c r="D10" s="17">
        <v>6</v>
      </c>
      <c r="E10" s="17" t="s">
        <v>31</v>
      </c>
      <c r="F10" s="17" t="s">
        <v>33</v>
      </c>
      <c r="G10" s="18">
        <v>1936.2868998822</v>
      </c>
      <c r="H10" s="17" t="s">
        <v>94</v>
      </c>
    </row>
    <row r="11" spans="1:8" x14ac:dyDescent="0.3">
      <c r="A11" s="17" t="s">
        <v>95</v>
      </c>
      <c r="B11" s="17">
        <v>49</v>
      </c>
      <c r="C11" s="17">
        <v>56</v>
      </c>
      <c r="D11" s="17">
        <v>8</v>
      </c>
      <c r="E11" s="17" t="s">
        <v>31</v>
      </c>
      <c r="F11" s="17" t="s">
        <v>33</v>
      </c>
      <c r="G11" s="18">
        <v>2561.3691390004901</v>
      </c>
      <c r="H11" s="17" t="s">
        <v>96</v>
      </c>
    </row>
    <row r="12" spans="1:8" x14ac:dyDescent="0.3">
      <c r="A12" s="17" t="s">
        <v>97</v>
      </c>
      <c r="B12" s="17">
        <v>57</v>
      </c>
      <c r="C12" s="17">
        <v>60</v>
      </c>
      <c r="D12" s="17">
        <v>4</v>
      </c>
      <c r="E12" s="17" t="s">
        <v>31</v>
      </c>
      <c r="F12" s="17" t="s">
        <v>33</v>
      </c>
      <c r="G12" s="18">
        <v>1308.18119092744</v>
      </c>
      <c r="H12" s="17" t="s">
        <v>98</v>
      </c>
    </row>
    <row r="13" spans="1:8" x14ac:dyDescent="0.3">
      <c r="A13" s="17" t="s">
        <v>99</v>
      </c>
      <c r="B13" s="17">
        <v>61</v>
      </c>
      <c r="C13" s="17">
        <v>62</v>
      </c>
      <c r="D13" s="17">
        <v>2</v>
      </c>
      <c r="E13" s="17" t="s">
        <v>31</v>
      </c>
      <c r="F13" s="17" t="s">
        <v>33</v>
      </c>
      <c r="G13" s="18">
        <v>683.09895180914998</v>
      </c>
      <c r="H13" s="17" t="s">
        <v>100</v>
      </c>
    </row>
    <row r="14" spans="1:8" x14ac:dyDescent="0.3">
      <c r="A14" s="17" t="s">
        <v>101</v>
      </c>
      <c r="B14" s="17">
        <v>63</v>
      </c>
      <c r="C14" s="17">
        <v>68</v>
      </c>
      <c r="D14" s="17">
        <v>6</v>
      </c>
      <c r="E14" s="17" t="s">
        <v>31</v>
      </c>
      <c r="F14" s="17" t="s">
        <v>33</v>
      </c>
      <c r="G14" s="18">
        <v>1933.2634300457298</v>
      </c>
      <c r="H14" s="17" t="s">
        <v>102</v>
      </c>
    </row>
    <row r="15" spans="1:8" x14ac:dyDescent="0.3">
      <c r="A15" s="17" t="s">
        <v>27</v>
      </c>
      <c r="B15" s="17">
        <v>69</v>
      </c>
      <c r="C15" s="17">
        <v>69</v>
      </c>
      <c r="D15" s="17">
        <v>1</v>
      </c>
      <c r="E15" s="17" t="s">
        <v>31</v>
      </c>
      <c r="F15" s="17" t="s">
        <v>33</v>
      </c>
      <c r="G15" s="18">
        <v>363.05799942632001</v>
      </c>
      <c r="H15" s="17" t="s">
        <v>103</v>
      </c>
    </row>
    <row r="16" spans="1:8" x14ac:dyDescent="0.3">
      <c r="A16" s="17" t="s">
        <v>99</v>
      </c>
      <c r="B16" s="17">
        <v>70</v>
      </c>
      <c r="C16" s="17">
        <v>71</v>
      </c>
      <c r="D16" s="17">
        <v>2</v>
      </c>
      <c r="E16" s="17" t="s">
        <v>31</v>
      </c>
      <c r="F16" s="17" t="s">
        <v>33</v>
      </c>
      <c r="G16" s="18">
        <v>683.09895180914998</v>
      </c>
      <c r="H16" s="17" t="s">
        <v>104</v>
      </c>
    </row>
    <row r="17" spans="1:8" x14ac:dyDescent="0.3">
      <c r="A17" s="17" t="s">
        <v>105</v>
      </c>
      <c r="B17" s="17">
        <v>72</v>
      </c>
      <c r="C17" s="17">
        <v>74</v>
      </c>
      <c r="D17" s="17">
        <v>3</v>
      </c>
      <c r="E17" s="17" t="s">
        <v>31</v>
      </c>
      <c r="F17" s="17" t="s">
        <v>33</v>
      </c>
      <c r="G17" s="18">
        <v>988.14023854460993</v>
      </c>
      <c r="H17" s="17" t="s">
        <v>106</v>
      </c>
    </row>
    <row r="18" spans="1:8" x14ac:dyDescent="0.3">
      <c r="A18" s="17" t="s">
        <v>105</v>
      </c>
      <c r="B18" s="17">
        <v>75</v>
      </c>
      <c r="C18" s="17">
        <v>77</v>
      </c>
      <c r="D18" s="17">
        <v>3</v>
      </c>
      <c r="E18" s="17" t="s">
        <v>31</v>
      </c>
      <c r="F18" s="17" t="s">
        <v>33</v>
      </c>
      <c r="G18" s="18">
        <v>988.14023854460993</v>
      </c>
      <c r="H18" s="17" t="s">
        <v>107</v>
      </c>
    </row>
    <row r="19" spans="1:8" x14ac:dyDescent="0.3">
      <c r="A19" s="17" t="s">
        <v>108</v>
      </c>
      <c r="B19" s="17">
        <v>78</v>
      </c>
      <c r="C19" s="17">
        <v>83</v>
      </c>
      <c r="D19" s="17">
        <v>6</v>
      </c>
      <c r="E19" s="17" t="s">
        <v>31</v>
      </c>
      <c r="F19" s="17" t="s">
        <v>33</v>
      </c>
      <c r="G19" s="18">
        <v>1918.2637643983599</v>
      </c>
      <c r="H19" s="17" t="s">
        <v>109</v>
      </c>
    </row>
    <row r="20" spans="1:8" x14ac:dyDescent="0.3">
      <c r="A20" s="17" t="s">
        <v>27</v>
      </c>
      <c r="B20" s="17">
        <v>84</v>
      </c>
      <c r="C20" s="17">
        <v>84</v>
      </c>
      <c r="D20" s="17">
        <v>1</v>
      </c>
      <c r="E20" s="17" t="s">
        <v>31</v>
      </c>
      <c r="F20" s="17" t="s">
        <v>33</v>
      </c>
      <c r="G20" s="18">
        <v>363.05799942632001</v>
      </c>
      <c r="H20" s="17" t="s">
        <v>110</v>
      </c>
    </row>
    <row r="21" spans="1:8" x14ac:dyDescent="0.3">
      <c r="A21" s="17" t="s">
        <v>99</v>
      </c>
      <c r="B21" s="17">
        <v>85</v>
      </c>
      <c r="C21" s="17">
        <v>86</v>
      </c>
      <c r="D21" s="17">
        <v>2</v>
      </c>
      <c r="E21" s="17" t="s">
        <v>31</v>
      </c>
      <c r="F21" s="17" t="s">
        <v>33</v>
      </c>
      <c r="G21" s="18">
        <v>683.09895180914998</v>
      </c>
      <c r="H21" s="17" t="s">
        <v>111</v>
      </c>
    </row>
    <row r="22" spans="1:8" x14ac:dyDescent="0.3">
      <c r="A22" s="17" t="s">
        <v>112</v>
      </c>
      <c r="B22" s="17">
        <v>87</v>
      </c>
      <c r="C22" s="17">
        <v>91</v>
      </c>
      <c r="D22" s="17">
        <v>5</v>
      </c>
      <c r="E22" s="17" t="s">
        <v>31</v>
      </c>
      <c r="F22" s="17" t="s">
        <v>33</v>
      </c>
      <c r="G22" s="18">
        <v>1622.2340454048201</v>
      </c>
      <c r="H22" s="17" t="s">
        <v>113</v>
      </c>
    </row>
    <row r="23" spans="1:8" x14ac:dyDescent="0.3">
      <c r="A23" s="17" t="s">
        <v>114</v>
      </c>
      <c r="B23" s="17">
        <v>92</v>
      </c>
      <c r="C23" s="17">
        <v>95</v>
      </c>
      <c r="D23" s="17">
        <v>4</v>
      </c>
      <c r="E23" s="17" t="s">
        <v>31</v>
      </c>
      <c r="F23" s="17" t="s">
        <v>33</v>
      </c>
      <c r="G23" s="18">
        <v>1302.1930930219901</v>
      </c>
      <c r="H23" s="17" t="s">
        <v>115</v>
      </c>
    </row>
    <row r="24" spans="1:8" x14ac:dyDescent="0.3">
      <c r="A24" s="17" t="s">
        <v>99</v>
      </c>
      <c r="B24" s="17">
        <v>96</v>
      </c>
      <c r="C24" s="17">
        <v>97</v>
      </c>
      <c r="D24" s="17">
        <v>2</v>
      </c>
      <c r="E24" s="17" t="s">
        <v>31</v>
      </c>
      <c r="F24" s="17" t="s">
        <v>33</v>
      </c>
      <c r="G24" s="18">
        <v>683.09895180914998</v>
      </c>
      <c r="H24" s="17" t="s">
        <v>116</v>
      </c>
    </row>
    <row r="25" spans="1:8" x14ac:dyDescent="0.3">
      <c r="A25" s="17" t="s">
        <v>99</v>
      </c>
      <c r="B25" s="17">
        <v>98</v>
      </c>
      <c r="C25" s="17">
        <v>99</v>
      </c>
      <c r="D25" s="17">
        <v>2</v>
      </c>
      <c r="E25" s="17" t="s">
        <v>31</v>
      </c>
      <c r="F25" s="17" t="s">
        <v>33</v>
      </c>
      <c r="G25" s="18">
        <v>683.09895180914998</v>
      </c>
      <c r="H25" s="17" t="s">
        <v>117</v>
      </c>
    </row>
    <row r="26" spans="1:8" x14ac:dyDescent="0.3">
      <c r="A26" s="17" t="s">
        <v>99</v>
      </c>
      <c r="B26" s="17">
        <v>100</v>
      </c>
      <c r="C26" s="17">
        <v>101</v>
      </c>
      <c r="D26" s="17">
        <v>2</v>
      </c>
      <c r="E26" s="17" t="s">
        <v>31</v>
      </c>
      <c r="F26" s="17" t="s">
        <v>33</v>
      </c>
      <c r="G26" s="18">
        <v>683.09895180914998</v>
      </c>
      <c r="H26" s="17" t="s">
        <v>118</v>
      </c>
    </row>
    <row r="27" spans="1:8" x14ac:dyDescent="0.3">
      <c r="A27" s="17" t="s">
        <v>119</v>
      </c>
      <c r="B27" s="17">
        <v>102</v>
      </c>
      <c r="C27" s="17">
        <v>107</v>
      </c>
      <c r="D27" s="17">
        <v>6</v>
      </c>
      <c r="E27" s="17" t="s">
        <v>31</v>
      </c>
      <c r="F27" s="17" t="s">
        <v>33</v>
      </c>
      <c r="G27" s="18">
        <v>1951.2865655295702</v>
      </c>
      <c r="H27" s="17" t="s">
        <v>120</v>
      </c>
    </row>
    <row r="28" spans="1:8" x14ac:dyDescent="0.3">
      <c r="A28" s="17" t="s">
        <v>1406</v>
      </c>
      <c r="B28" s="17">
        <v>108</v>
      </c>
      <c r="C28" s="17">
        <v>115</v>
      </c>
      <c r="D28" s="17">
        <v>8</v>
      </c>
      <c r="E28" s="17" t="s">
        <v>31</v>
      </c>
      <c r="F28" s="17" t="s">
        <v>33</v>
      </c>
      <c r="G28" s="18">
        <v>2570.38070674241</v>
      </c>
      <c r="H28" s="17" t="s">
        <v>121</v>
      </c>
    </row>
    <row r="29" spans="1:8" x14ac:dyDescent="0.3">
      <c r="A29" s="17" t="s">
        <v>122</v>
      </c>
      <c r="B29" s="17">
        <v>116</v>
      </c>
      <c r="C29" s="17">
        <v>122</v>
      </c>
      <c r="D29" s="17">
        <v>7</v>
      </c>
      <c r="E29" s="17" t="s">
        <v>31</v>
      </c>
      <c r="F29" s="17" t="s">
        <v>33</v>
      </c>
      <c r="G29" s="18">
        <v>2289.35065339624</v>
      </c>
      <c r="H29" s="17" t="s">
        <v>123</v>
      </c>
    </row>
    <row r="30" spans="1:8" x14ac:dyDescent="0.3">
      <c r="A30" s="17" t="s">
        <v>105</v>
      </c>
      <c r="B30" s="17">
        <v>123</v>
      </c>
      <c r="C30" s="17">
        <v>125</v>
      </c>
      <c r="D30" s="17">
        <v>3</v>
      </c>
      <c r="E30" s="17" t="s">
        <v>31</v>
      </c>
      <c r="F30" s="17" t="s">
        <v>33</v>
      </c>
      <c r="G30" s="18">
        <v>988.14023854460993</v>
      </c>
      <c r="H30" s="17" t="s">
        <v>124</v>
      </c>
    </row>
    <row r="31" spans="1:8" x14ac:dyDescent="0.3">
      <c r="A31" s="17" t="s">
        <v>125</v>
      </c>
      <c r="B31" s="17">
        <v>126</v>
      </c>
      <c r="C31" s="17">
        <v>132</v>
      </c>
      <c r="D31" s="17">
        <v>7</v>
      </c>
      <c r="E31" s="17" t="s">
        <v>31</v>
      </c>
      <c r="F31" s="17" t="s">
        <v>33</v>
      </c>
      <c r="G31" s="18">
        <v>2232.31661887574</v>
      </c>
      <c r="H31" s="17" t="s">
        <v>126</v>
      </c>
    </row>
    <row r="32" spans="1:8" x14ac:dyDescent="0.3">
      <c r="A32" s="17" t="s">
        <v>1407</v>
      </c>
      <c r="B32" s="17">
        <v>133</v>
      </c>
      <c r="C32" s="17">
        <v>145</v>
      </c>
      <c r="D32" s="17">
        <v>13</v>
      </c>
      <c r="E32" s="17" t="s">
        <v>31</v>
      </c>
      <c r="F32" s="17" t="s">
        <v>33</v>
      </c>
      <c r="G32" s="18">
        <v>4158.6092728456606</v>
      </c>
      <c r="H32" s="17" t="s">
        <v>127</v>
      </c>
    </row>
    <row r="33" spans="1:8" x14ac:dyDescent="0.3">
      <c r="A33" s="17" t="s">
        <v>128</v>
      </c>
      <c r="B33" s="17">
        <v>146</v>
      </c>
      <c r="C33" s="17">
        <v>154</v>
      </c>
      <c r="D33" s="17">
        <v>9</v>
      </c>
      <c r="E33" s="17" t="s">
        <v>31</v>
      </c>
      <c r="F33" s="17" t="s">
        <v>33</v>
      </c>
      <c r="G33" s="18">
        <v>2896.4097570306899</v>
      </c>
      <c r="H33" s="17" t="s">
        <v>129</v>
      </c>
    </row>
    <row r="34" spans="1:8" x14ac:dyDescent="0.3">
      <c r="A34" s="17" t="s">
        <v>81</v>
      </c>
      <c r="B34" s="17">
        <v>155</v>
      </c>
      <c r="C34" s="17">
        <v>156</v>
      </c>
      <c r="D34" s="17">
        <v>2</v>
      </c>
      <c r="E34" s="17" t="s">
        <v>31</v>
      </c>
      <c r="F34" s="17" t="s">
        <v>33</v>
      </c>
      <c r="G34" s="18">
        <v>692.11051955106996</v>
      </c>
      <c r="H34" s="17" t="s">
        <v>130</v>
      </c>
    </row>
    <row r="35" spans="1:8" x14ac:dyDescent="0.3">
      <c r="A35" s="17" t="s">
        <v>27</v>
      </c>
      <c r="B35" s="17">
        <v>157</v>
      </c>
      <c r="C35" s="17">
        <v>157</v>
      </c>
      <c r="D35" s="17">
        <v>1</v>
      </c>
      <c r="E35" s="17" t="s">
        <v>31</v>
      </c>
      <c r="F35" s="17" t="s">
        <v>33</v>
      </c>
      <c r="G35" s="18">
        <v>363.05799942632001</v>
      </c>
      <c r="H35" s="17" t="s">
        <v>131</v>
      </c>
    </row>
    <row r="36" spans="1:8" x14ac:dyDescent="0.3">
      <c r="A36" s="17" t="s">
        <v>132</v>
      </c>
      <c r="B36" s="17">
        <v>158</v>
      </c>
      <c r="C36" s="17">
        <v>159</v>
      </c>
      <c r="D36" s="17">
        <v>2</v>
      </c>
      <c r="E36" s="17" t="s">
        <v>31</v>
      </c>
      <c r="F36" s="17" t="s">
        <v>33</v>
      </c>
      <c r="G36" s="18">
        <v>668.09928616178001</v>
      </c>
      <c r="H36" s="17" t="s">
        <v>133</v>
      </c>
    </row>
    <row r="37" spans="1:8" x14ac:dyDescent="0.3">
      <c r="A37" s="17" t="s">
        <v>99</v>
      </c>
      <c r="B37" s="17">
        <v>160</v>
      </c>
      <c r="C37" s="17">
        <v>161</v>
      </c>
      <c r="D37" s="17">
        <v>2</v>
      </c>
      <c r="E37" s="17" t="s">
        <v>31</v>
      </c>
      <c r="F37" s="17" t="s">
        <v>33</v>
      </c>
      <c r="G37" s="18">
        <v>683.09895180914998</v>
      </c>
      <c r="H37" s="17" t="s">
        <v>134</v>
      </c>
    </row>
    <row r="38" spans="1:8" x14ac:dyDescent="0.3">
      <c r="A38" s="17" t="s">
        <v>135</v>
      </c>
      <c r="B38" s="17">
        <v>162</v>
      </c>
      <c r="C38" s="17">
        <v>171</v>
      </c>
      <c r="D38" s="17">
        <v>10</v>
      </c>
      <c r="E38" s="17" t="s">
        <v>31</v>
      </c>
      <c r="F38" s="17" t="s">
        <v>33</v>
      </c>
      <c r="G38" s="18">
        <v>3186.4513781187802</v>
      </c>
      <c r="H38" s="17" t="s">
        <v>136</v>
      </c>
    </row>
    <row r="39" spans="1:8" x14ac:dyDescent="0.3">
      <c r="A39" s="17" t="s">
        <v>137</v>
      </c>
      <c r="B39" s="17">
        <v>172</v>
      </c>
      <c r="C39" s="17">
        <v>176</v>
      </c>
      <c r="D39" s="17">
        <v>5</v>
      </c>
      <c r="E39" s="17" t="s">
        <v>31</v>
      </c>
      <c r="F39" s="17" t="s">
        <v>33</v>
      </c>
      <c r="G39" s="18">
        <v>1655.25684653603</v>
      </c>
      <c r="H39" s="17" t="s">
        <v>138</v>
      </c>
    </row>
    <row r="40" spans="1:8" x14ac:dyDescent="0.3">
      <c r="A40" s="17" t="s">
        <v>27</v>
      </c>
      <c r="B40" s="17">
        <v>177</v>
      </c>
      <c r="C40" s="17">
        <v>177</v>
      </c>
      <c r="D40" s="17">
        <v>1</v>
      </c>
      <c r="E40" s="17" t="s">
        <v>31</v>
      </c>
      <c r="F40" s="17" t="s">
        <v>33</v>
      </c>
      <c r="G40" s="18">
        <v>363.05799942632001</v>
      </c>
      <c r="H40" s="17" t="s">
        <v>139</v>
      </c>
    </row>
    <row r="41" spans="1:8" x14ac:dyDescent="0.3">
      <c r="A41" s="17" t="s">
        <v>99</v>
      </c>
      <c r="B41" s="17">
        <v>178</v>
      </c>
      <c r="C41" s="17">
        <v>179</v>
      </c>
      <c r="D41" s="17">
        <v>2</v>
      </c>
      <c r="E41" s="17" t="s">
        <v>31</v>
      </c>
      <c r="F41" s="17" t="s">
        <v>33</v>
      </c>
      <c r="G41" s="18">
        <v>683.09895180914998</v>
      </c>
      <c r="H41" s="17" t="s">
        <v>140</v>
      </c>
    </row>
    <row r="42" spans="1:8" x14ac:dyDescent="0.3">
      <c r="A42" s="17" t="s">
        <v>141</v>
      </c>
      <c r="B42" s="17">
        <v>180</v>
      </c>
      <c r="C42" s="17">
        <v>184</v>
      </c>
      <c r="D42" s="17">
        <v>5</v>
      </c>
      <c r="E42" s="17" t="s">
        <v>31</v>
      </c>
      <c r="F42" s="17" t="s">
        <v>33</v>
      </c>
      <c r="G42" s="18">
        <v>1637.2337110521898</v>
      </c>
      <c r="H42" s="17" t="s">
        <v>142</v>
      </c>
    </row>
    <row r="43" spans="1:8" x14ac:dyDescent="0.3">
      <c r="A43" s="17" t="s">
        <v>143</v>
      </c>
      <c r="B43" s="17">
        <v>185</v>
      </c>
      <c r="C43" s="17">
        <v>190</v>
      </c>
      <c r="D43" s="17">
        <v>6</v>
      </c>
      <c r="E43" s="17" t="s">
        <v>31</v>
      </c>
      <c r="F43" s="17" t="s">
        <v>33</v>
      </c>
      <c r="G43" s="18">
        <v>1951.2865655295702</v>
      </c>
      <c r="H43" s="17" t="s">
        <v>144</v>
      </c>
    </row>
    <row r="44" spans="1:8" x14ac:dyDescent="0.3">
      <c r="A44" s="17" t="s">
        <v>132</v>
      </c>
      <c r="B44" s="17">
        <v>191</v>
      </c>
      <c r="C44" s="17">
        <v>192</v>
      </c>
      <c r="D44" s="17">
        <v>2</v>
      </c>
      <c r="E44" s="17" t="s">
        <v>31</v>
      </c>
      <c r="F44" s="17" t="s">
        <v>33</v>
      </c>
      <c r="G44" s="18">
        <v>668.09928616178001</v>
      </c>
      <c r="H44" s="17" t="s">
        <v>145</v>
      </c>
    </row>
    <row r="45" spans="1:8" x14ac:dyDescent="0.3">
      <c r="A45" s="17" t="s">
        <v>99</v>
      </c>
      <c r="B45" s="17">
        <v>193</v>
      </c>
      <c r="C45" s="17">
        <v>194</v>
      </c>
      <c r="D45" s="17">
        <v>2</v>
      </c>
      <c r="E45" s="17" t="s">
        <v>31</v>
      </c>
      <c r="F45" s="17" t="s">
        <v>33</v>
      </c>
      <c r="G45" s="18">
        <v>683.09895180914998</v>
      </c>
      <c r="H45" s="17" t="s">
        <v>146</v>
      </c>
    </row>
    <row r="46" spans="1:8" x14ac:dyDescent="0.3">
      <c r="A46" s="17" t="s">
        <v>105</v>
      </c>
      <c r="B46" s="17">
        <v>195</v>
      </c>
      <c r="C46" s="17">
        <v>197</v>
      </c>
      <c r="D46" s="17">
        <v>3</v>
      </c>
      <c r="E46" s="17" t="s">
        <v>31</v>
      </c>
      <c r="F46" s="17" t="s">
        <v>33</v>
      </c>
      <c r="G46" s="18">
        <v>988.14023854460993</v>
      </c>
      <c r="H46" s="17" t="s">
        <v>147</v>
      </c>
    </row>
    <row r="47" spans="1:8" x14ac:dyDescent="0.3">
      <c r="A47" s="17" t="s">
        <v>148</v>
      </c>
      <c r="B47" s="17">
        <v>198</v>
      </c>
      <c r="C47" s="17">
        <v>209</v>
      </c>
      <c r="D47" s="17">
        <v>12</v>
      </c>
      <c r="E47" s="17" t="s">
        <v>31</v>
      </c>
      <c r="F47" s="17" t="s">
        <v>33</v>
      </c>
      <c r="G47" s="18">
        <v>3820.5451849789902</v>
      </c>
      <c r="H47" s="17" t="s">
        <v>149</v>
      </c>
    </row>
    <row r="48" spans="1:8" x14ac:dyDescent="0.3">
      <c r="A48" s="17" t="s">
        <v>27</v>
      </c>
      <c r="B48" s="17">
        <v>210</v>
      </c>
      <c r="C48" s="17">
        <v>210</v>
      </c>
      <c r="D48" s="17">
        <v>1</v>
      </c>
      <c r="E48" s="17" t="s">
        <v>31</v>
      </c>
      <c r="F48" s="17" t="s">
        <v>33</v>
      </c>
      <c r="G48" s="18">
        <v>363.05799942632001</v>
      </c>
      <c r="H48" s="17" t="s">
        <v>150</v>
      </c>
    </row>
    <row r="49" spans="1:8" x14ac:dyDescent="0.3">
      <c r="A49" s="17" t="s">
        <v>151</v>
      </c>
      <c r="B49" s="17">
        <v>211</v>
      </c>
      <c r="C49" s="17">
        <v>215</v>
      </c>
      <c r="D49" s="17">
        <v>5</v>
      </c>
      <c r="E49" s="17" t="s">
        <v>31</v>
      </c>
      <c r="F49" s="17" t="s">
        <v>33</v>
      </c>
      <c r="G49" s="18">
        <v>1622.2340454048201</v>
      </c>
      <c r="H49" s="17" t="s">
        <v>152</v>
      </c>
    </row>
    <row r="50" spans="1:8" x14ac:dyDescent="0.3">
      <c r="A50" s="17" t="s">
        <v>101</v>
      </c>
      <c r="B50" s="17">
        <v>216</v>
      </c>
      <c r="C50" s="17">
        <v>221</v>
      </c>
      <c r="D50" s="17">
        <v>6</v>
      </c>
      <c r="E50" s="17" t="s">
        <v>31</v>
      </c>
      <c r="F50" s="17" t="s">
        <v>33</v>
      </c>
      <c r="G50" s="18">
        <v>1933.2634300457298</v>
      </c>
      <c r="H50" s="17" t="s">
        <v>153</v>
      </c>
    </row>
    <row r="51" spans="1:8" x14ac:dyDescent="0.3">
      <c r="A51" s="17" t="s">
        <v>154</v>
      </c>
      <c r="B51" s="17">
        <v>222</v>
      </c>
      <c r="C51" s="17">
        <v>232</v>
      </c>
      <c r="D51" s="17">
        <v>11</v>
      </c>
      <c r="E51" s="17" t="s">
        <v>31</v>
      </c>
      <c r="F51" s="17" t="s">
        <v>33</v>
      </c>
      <c r="G51" s="18">
        <v>3512.4804284070597</v>
      </c>
      <c r="H51" s="17" t="s">
        <v>155</v>
      </c>
    </row>
    <row r="52" spans="1:8" x14ac:dyDescent="0.3">
      <c r="A52" s="17" t="s">
        <v>156</v>
      </c>
      <c r="B52" s="17">
        <v>233</v>
      </c>
      <c r="C52" s="17">
        <v>237</v>
      </c>
      <c r="D52" s="17">
        <v>5</v>
      </c>
      <c r="E52" s="17" t="s">
        <v>31</v>
      </c>
      <c r="F52" s="17" t="s">
        <v>33</v>
      </c>
      <c r="G52" s="18">
        <v>1631.2456131467402</v>
      </c>
      <c r="H52" s="17" t="s">
        <v>157</v>
      </c>
    </row>
    <row r="53" spans="1:8" x14ac:dyDescent="0.3">
      <c r="A53" s="17" t="s">
        <v>99</v>
      </c>
      <c r="B53" s="17">
        <v>238</v>
      </c>
      <c r="C53" s="17">
        <v>239</v>
      </c>
      <c r="D53" s="17">
        <v>2</v>
      </c>
      <c r="E53" s="17" t="s">
        <v>31</v>
      </c>
      <c r="F53" s="17" t="s">
        <v>33</v>
      </c>
      <c r="G53" s="18">
        <v>683.09895180914998</v>
      </c>
      <c r="H53" s="17" t="s">
        <v>158</v>
      </c>
    </row>
    <row r="54" spans="1:8" x14ac:dyDescent="0.3">
      <c r="A54" s="17" t="s">
        <v>151</v>
      </c>
      <c r="B54" s="17">
        <v>240</v>
      </c>
      <c r="C54" s="17">
        <v>244</v>
      </c>
      <c r="D54" s="17">
        <v>5</v>
      </c>
      <c r="E54" s="17" t="s">
        <v>31</v>
      </c>
      <c r="F54" s="17" t="s">
        <v>33</v>
      </c>
      <c r="G54" s="18">
        <v>1622.2340454048201</v>
      </c>
      <c r="H54" s="17" t="s">
        <v>159</v>
      </c>
    </row>
    <row r="55" spans="1:8" x14ac:dyDescent="0.3">
      <c r="A55" s="17" t="s">
        <v>27</v>
      </c>
      <c r="B55" s="17">
        <v>245</v>
      </c>
      <c r="C55" s="17">
        <v>245</v>
      </c>
      <c r="D55" s="17">
        <v>1</v>
      </c>
      <c r="E55" s="17" t="s">
        <v>31</v>
      </c>
      <c r="F55" s="17" t="s">
        <v>33</v>
      </c>
      <c r="G55" s="18">
        <v>363.05799942632001</v>
      </c>
      <c r="H55" s="17" t="s">
        <v>160</v>
      </c>
    </row>
    <row r="56" spans="1:8" x14ac:dyDescent="0.3">
      <c r="A56" s="17" t="s">
        <v>161</v>
      </c>
      <c r="B56" s="17">
        <v>246</v>
      </c>
      <c r="C56" s="17">
        <v>252</v>
      </c>
      <c r="D56" s="17">
        <v>7</v>
      </c>
      <c r="E56" s="17" t="s">
        <v>31</v>
      </c>
      <c r="F56" s="17" t="s">
        <v>33</v>
      </c>
      <c r="G56" s="18">
        <v>2247.31628452311</v>
      </c>
      <c r="H56" s="17" t="s">
        <v>162</v>
      </c>
    </row>
    <row r="57" spans="1:8" x14ac:dyDescent="0.3">
      <c r="A57" s="17" t="s">
        <v>1408</v>
      </c>
      <c r="B57" s="17">
        <v>253</v>
      </c>
      <c r="C57" s="17">
        <v>261</v>
      </c>
      <c r="D57" s="17">
        <v>9</v>
      </c>
      <c r="E57" s="17" t="s">
        <v>31</v>
      </c>
      <c r="F57" s="17" t="s">
        <v>33</v>
      </c>
      <c r="G57" s="18">
        <v>2866.41042573595</v>
      </c>
      <c r="H57" s="17" t="s">
        <v>163</v>
      </c>
    </row>
    <row r="58" spans="1:8" x14ac:dyDescent="0.3">
      <c r="A58" s="17" t="s">
        <v>99</v>
      </c>
      <c r="B58" s="17">
        <v>262</v>
      </c>
      <c r="C58" s="17">
        <v>263</v>
      </c>
      <c r="D58" s="17">
        <v>2</v>
      </c>
      <c r="E58" s="17" t="s">
        <v>31</v>
      </c>
      <c r="F58" s="17" t="s">
        <v>33</v>
      </c>
      <c r="G58" s="18">
        <v>683.09895180914998</v>
      </c>
      <c r="H58" s="17" t="s">
        <v>164</v>
      </c>
    </row>
    <row r="59" spans="1:8" x14ac:dyDescent="0.3">
      <c r="A59" s="17" t="s">
        <v>1409</v>
      </c>
      <c r="B59" s="17">
        <v>264</v>
      </c>
      <c r="C59" s="17">
        <v>267</v>
      </c>
      <c r="D59" s="17">
        <v>4</v>
      </c>
      <c r="E59" s="17" t="s">
        <v>31</v>
      </c>
      <c r="F59" s="17" t="s">
        <v>33</v>
      </c>
      <c r="G59" s="18">
        <v>1293.18152528007</v>
      </c>
      <c r="H59" s="17" t="s">
        <v>165</v>
      </c>
    </row>
    <row r="60" spans="1:8" x14ac:dyDescent="0.3">
      <c r="A60" s="17" t="s">
        <v>27</v>
      </c>
      <c r="B60" s="17">
        <v>268</v>
      </c>
      <c r="C60" s="17">
        <v>268</v>
      </c>
      <c r="D60" s="17">
        <v>1</v>
      </c>
      <c r="E60" s="17" t="s">
        <v>31</v>
      </c>
      <c r="F60" s="17" t="s">
        <v>33</v>
      </c>
      <c r="G60" s="18">
        <v>363.05799942632001</v>
      </c>
      <c r="H60" s="17" t="s">
        <v>166</v>
      </c>
    </row>
    <row r="61" spans="1:8" x14ac:dyDescent="0.3">
      <c r="A61" s="17" t="s">
        <v>167</v>
      </c>
      <c r="B61" s="17">
        <v>269</v>
      </c>
      <c r="C61" s="17">
        <v>276</v>
      </c>
      <c r="D61" s="17">
        <v>8</v>
      </c>
      <c r="E61" s="17" t="s">
        <v>31</v>
      </c>
      <c r="F61" s="17" t="s">
        <v>33</v>
      </c>
      <c r="G61" s="18">
        <v>2585.3803723897795</v>
      </c>
      <c r="H61" s="17" t="s">
        <v>168</v>
      </c>
    </row>
    <row r="62" spans="1:8" x14ac:dyDescent="0.3">
      <c r="A62" s="17" t="s">
        <v>27</v>
      </c>
      <c r="B62" s="17">
        <v>277</v>
      </c>
      <c r="C62" s="17">
        <v>277</v>
      </c>
      <c r="D62" s="17">
        <v>1</v>
      </c>
      <c r="E62" s="17" t="s">
        <v>31</v>
      </c>
      <c r="F62" s="17" t="s">
        <v>33</v>
      </c>
      <c r="G62" s="18">
        <v>363.05799942632001</v>
      </c>
      <c r="H62" s="17" t="s">
        <v>169</v>
      </c>
    </row>
    <row r="63" spans="1:8" x14ac:dyDescent="0.3">
      <c r="A63" s="17" t="s">
        <v>170</v>
      </c>
      <c r="B63" s="17">
        <v>278</v>
      </c>
      <c r="C63" s="17">
        <v>284</v>
      </c>
      <c r="D63" s="17">
        <v>7</v>
      </c>
      <c r="E63" s="17" t="s">
        <v>31</v>
      </c>
      <c r="F63" s="17" t="s">
        <v>33</v>
      </c>
      <c r="G63" s="18">
        <v>2265.3394200069497</v>
      </c>
      <c r="H63" s="17" t="s">
        <v>171</v>
      </c>
    </row>
    <row r="64" spans="1:8" x14ac:dyDescent="0.3">
      <c r="A64" s="17" t="s">
        <v>81</v>
      </c>
      <c r="B64" s="17">
        <v>285</v>
      </c>
      <c r="C64" s="17">
        <v>286</v>
      </c>
      <c r="D64" s="17">
        <v>2</v>
      </c>
      <c r="E64" s="17" t="s">
        <v>31</v>
      </c>
      <c r="F64" s="17" t="s">
        <v>33</v>
      </c>
      <c r="G64" s="18">
        <v>692.11051955106996</v>
      </c>
      <c r="H64" s="17" t="s">
        <v>172</v>
      </c>
    </row>
    <row r="65" spans="1:8" x14ac:dyDescent="0.3">
      <c r="A65" s="17" t="s">
        <v>173</v>
      </c>
      <c r="B65" s="17">
        <v>287</v>
      </c>
      <c r="C65" s="17">
        <v>291</v>
      </c>
      <c r="D65" s="17">
        <v>5</v>
      </c>
      <c r="E65" s="17" t="s">
        <v>31</v>
      </c>
      <c r="F65" s="17" t="s">
        <v>33</v>
      </c>
      <c r="G65" s="18">
        <v>1637.2337110521898</v>
      </c>
      <c r="H65" s="17" t="s">
        <v>174</v>
      </c>
    </row>
    <row r="66" spans="1:8" x14ac:dyDescent="0.3">
      <c r="A66" s="17" t="s">
        <v>175</v>
      </c>
      <c r="B66" s="17">
        <v>292</v>
      </c>
      <c r="C66" s="17">
        <v>300</v>
      </c>
      <c r="D66" s="17">
        <v>9</v>
      </c>
      <c r="E66" s="17" t="s">
        <v>31</v>
      </c>
      <c r="F66" s="17" t="s">
        <v>33</v>
      </c>
      <c r="G66" s="18">
        <v>2875.4219934778703</v>
      </c>
      <c r="H66" s="17" t="s">
        <v>176</v>
      </c>
    </row>
    <row r="67" spans="1:8" x14ac:dyDescent="0.3">
      <c r="A67" s="17" t="s">
        <v>99</v>
      </c>
      <c r="B67" s="17">
        <v>301</v>
      </c>
      <c r="C67" s="17">
        <v>302</v>
      </c>
      <c r="D67" s="17">
        <v>2</v>
      </c>
      <c r="E67" s="17" t="s">
        <v>31</v>
      </c>
      <c r="F67" s="17" t="s">
        <v>33</v>
      </c>
      <c r="G67" s="18">
        <v>683.09895180914998</v>
      </c>
      <c r="H67" s="17" t="s">
        <v>177</v>
      </c>
    </row>
    <row r="68" spans="1:8" x14ac:dyDescent="0.3">
      <c r="A68" s="17" t="s">
        <v>105</v>
      </c>
      <c r="B68" s="17">
        <v>303</v>
      </c>
      <c r="C68" s="17">
        <v>305</v>
      </c>
      <c r="D68" s="17">
        <v>3</v>
      </c>
      <c r="E68" s="17" t="s">
        <v>31</v>
      </c>
      <c r="F68" s="17" t="s">
        <v>33</v>
      </c>
      <c r="G68" s="18">
        <v>988.14023854460993</v>
      </c>
      <c r="H68" s="17" t="s">
        <v>178</v>
      </c>
    </row>
    <row r="69" spans="1:8" x14ac:dyDescent="0.3">
      <c r="A69" s="17" t="s">
        <v>179</v>
      </c>
      <c r="B69" s="17">
        <v>306</v>
      </c>
      <c r="C69" s="17">
        <v>315</v>
      </c>
      <c r="D69" s="17">
        <v>10</v>
      </c>
      <c r="E69" s="17" t="s">
        <v>31</v>
      </c>
      <c r="F69" s="17" t="s">
        <v>33</v>
      </c>
      <c r="G69" s="18">
        <v>3186.4513781187802</v>
      </c>
      <c r="H69" s="17" t="s">
        <v>180</v>
      </c>
    </row>
    <row r="70" spans="1:8" x14ac:dyDescent="0.3">
      <c r="A70" s="17" t="s">
        <v>181</v>
      </c>
      <c r="B70" s="17">
        <v>316</v>
      </c>
      <c r="C70" s="17">
        <v>318</v>
      </c>
      <c r="D70" s="17">
        <v>3</v>
      </c>
      <c r="E70" s="17" t="s">
        <v>31</v>
      </c>
      <c r="F70" s="17" t="s">
        <v>33</v>
      </c>
      <c r="G70" s="18">
        <v>997.15180628653002</v>
      </c>
      <c r="H70" s="17" t="s">
        <v>182</v>
      </c>
    </row>
    <row r="71" spans="1:8" x14ac:dyDescent="0.3">
      <c r="A71" s="17" t="s">
        <v>27</v>
      </c>
      <c r="B71" s="17">
        <v>319</v>
      </c>
      <c r="C71" s="17">
        <v>319</v>
      </c>
      <c r="D71" s="17">
        <v>1</v>
      </c>
      <c r="E71" s="17" t="s">
        <v>31</v>
      </c>
      <c r="F71" s="17" t="s">
        <v>33</v>
      </c>
      <c r="G71" s="18">
        <v>363.05799942632001</v>
      </c>
      <c r="H71" s="17" t="s">
        <v>183</v>
      </c>
    </row>
    <row r="72" spans="1:8" x14ac:dyDescent="0.3">
      <c r="A72" s="17" t="s">
        <v>27</v>
      </c>
      <c r="B72" s="17">
        <v>320</v>
      </c>
      <c r="C72" s="17">
        <v>320</v>
      </c>
      <c r="D72" s="17">
        <v>1</v>
      </c>
      <c r="E72" s="17" t="s">
        <v>31</v>
      </c>
      <c r="F72" s="17" t="s">
        <v>33</v>
      </c>
      <c r="G72" s="18">
        <v>363.05799942632001</v>
      </c>
      <c r="H72" s="17" t="s">
        <v>184</v>
      </c>
    </row>
    <row r="73" spans="1:8" x14ac:dyDescent="0.3">
      <c r="A73" s="17" t="s">
        <v>27</v>
      </c>
      <c r="B73" s="17">
        <v>321</v>
      </c>
      <c r="C73" s="17">
        <v>321</v>
      </c>
      <c r="D73" s="17">
        <v>1</v>
      </c>
      <c r="E73" s="17" t="s">
        <v>31</v>
      </c>
      <c r="F73" s="17" t="s">
        <v>33</v>
      </c>
      <c r="G73" s="18">
        <v>363.05799942632001</v>
      </c>
      <c r="H73" s="17" t="s">
        <v>185</v>
      </c>
    </row>
    <row r="74" spans="1:8" x14ac:dyDescent="0.3">
      <c r="A74" s="17" t="s">
        <v>99</v>
      </c>
      <c r="B74" s="17">
        <v>322</v>
      </c>
      <c r="C74" s="17">
        <v>323</v>
      </c>
      <c r="D74" s="17">
        <v>2</v>
      </c>
      <c r="E74" s="17" t="s">
        <v>31</v>
      </c>
      <c r="F74" s="17" t="s">
        <v>33</v>
      </c>
      <c r="G74" s="18">
        <v>683.09895180914998</v>
      </c>
      <c r="H74" s="17" t="s">
        <v>186</v>
      </c>
    </row>
    <row r="75" spans="1:8" x14ac:dyDescent="0.3">
      <c r="A75" s="17" t="s">
        <v>187</v>
      </c>
      <c r="B75" s="17">
        <v>324</v>
      </c>
      <c r="C75" s="17">
        <v>330</v>
      </c>
      <c r="D75" s="17">
        <v>7</v>
      </c>
      <c r="E75" s="17" t="s">
        <v>31</v>
      </c>
      <c r="F75" s="17" t="s">
        <v>33</v>
      </c>
      <c r="G75" s="18">
        <v>2277.3156158178499</v>
      </c>
      <c r="H75" s="17" t="s">
        <v>188</v>
      </c>
    </row>
    <row r="76" spans="1:8" x14ac:dyDescent="0.3">
      <c r="A76" s="17" t="s">
        <v>114</v>
      </c>
      <c r="B76" s="17">
        <v>331</v>
      </c>
      <c r="C76" s="17">
        <v>334</v>
      </c>
      <c r="D76" s="17">
        <v>4</v>
      </c>
      <c r="E76" s="17" t="s">
        <v>31</v>
      </c>
      <c r="F76" s="17" t="s">
        <v>33</v>
      </c>
      <c r="G76" s="18">
        <v>1302.1930930219901</v>
      </c>
      <c r="H76" s="17" t="s">
        <v>189</v>
      </c>
    </row>
    <row r="77" spans="1:8" x14ac:dyDescent="0.3">
      <c r="A77" s="17" t="s">
        <v>190</v>
      </c>
      <c r="B77" s="17">
        <v>335</v>
      </c>
      <c r="C77" s="17">
        <v>339</v>
      </c>
      <c r="D77" s="17">
        <v>5</v>
      </c>
      <c r="E77" s="17" t="s">
        <v>31</v>
      </c>
      <c r="F77" s="17" t="s">
        <v>33</v>
      </c>
      <c r="G77" s="18">
        <v>1607.2343797574499</v>
      </c>
      <c r="H77" s="17" t="s">
        <v>191</v>
      </c>
    </row>
    <row r="78" spans="1:8" x14ac:dyDescent="0.3">
      <c r="A78" s="17" t="s">
        <v>81</v>
      </c>
      <c r="B78" s="17">
        <v>340</v>
      </c>
      <c r="C78" s="17">
        <v>341</v>
      </c>
      <c r="D78" s="17">
        <v>2</v>
      </c>
      <c r="E78" s="17" t="s">
        <v>31</v>
      </c>
      <c r="F78" s="17" t="s">
        <v>33</v>
      </c>
      <c r="G78" s="18">
        <v>692.11051955106996</v>
      </c>
      <c r="H78" s="17" t="s">
        <v>192</v>
      </c>
    </row>
    <row r="79" spans="1:8" x14ac:dyDescent="0.3">
      <c r="A79" s="17" t="s">
        <v>193</v>
      </c>
      <c r="B79" s="17">
        <v>342</v>
      </c>
      <c r="C79" s="17">
        <v>344</v>
      </c>
      <c r="D79" s="17">
        <v>3</v>
      </c>
      <c r="E79" s="17" t="s">
        <v>31</v>
      </c>
      <c r="F79" s="17" t="s">
        <v>33</v>
      </c>
      <c r="G79" s="18">
        <v>1021.1630396758201</v>
      </c>
      <c r="H79" s="17" t="s">
        <v>194</v>
      </c>
    </row>
    <row r="80" spans="1:8" x14ac:dyDescent="0.3">
      <c r="A80" s="17" t="s">
        <v>195</v>
      </c>
      <c r="B80" s="17">
        <v>345</v>
      </c>
      <c r="C80" s="17">
        <v>358</v>
      </c>
      <c r="D80" s="17">
        <v>14</v>
      </c>
      <c r="E80" s="17" t="s">
        <v>31</v>
      </c>
      <c r="F80" s="17" t="s">
        <v>33</v>
      </c>
      <c r="G80" s="18">
        <v>4493.6498908758604</v>
      </c>
      <c r="H80" s="17" t="s">
        <v>196</v>
      </c>
    </row>
    <row r="81" spans="1:8" x14ac:dyDescent="0.3">
      <c r="A81" s="17" t="s">
        <v>81</v>
      </c>
      <c r="B81" s="17">
        <v>359</v>
      </c>
      <c r="C81" s="17">
        <v>360</v>
      </c>
      <c r="D81" s="17">
        <v>2</v>
      </c>
      <c r="E81" s="17" t="s">
        <v>31</v>
      </c>
      <c r="F81" s="17" t="s">
        <v>33</v>
      </c>
      <c r="G81" s="18">
        <v>692.11051955106996</v>
      </c>
      <c r="H81" s="17" t="s">
        <v>197</v>
      </c>
    </row>
    <row r="82" spans="1:8" x14ac:dyDescent="0.3">
      <c r="A82" s="17" t="s">
        <v>27</v>
      </c>
      <c r="B82" s="17">
        <v>361</v>
      </c>
      <c r="C82" s="17">
        <v>361</v>
      </c>
      <c r="D82" s="17">
        <v>1</v>
      </c>
      <c r="E82" s="17" t="s">
        <v>31</v>
      </c>
      <c r="F82" s="17" t="s">
        <v>33</v>
      </c>
      <c r="G82" s="18">
        <v>363.05799942632001</v>
      </c>
      <c r="H82" s="17" t="s">
        <v>198</v>
      </c>
    </row>
    <row r="83" spans="1:8" x14ac:dyDescent="0.3">
      <c r="A83" s="17" t="s">
        <v>105</v>
      </c>
      <c r="B83" s="17">
        <v>362</v>
      </c>
      <c r="C83" s="17">
        <v>364</v>
      </c>
      <c r="D83" s="17">
        <v>3</v>
      </c>
      <c r="E83" s="17" t="s">
        <v>31</v>
      </c>
      <c r="F83" s="17" t="s">
        <v>33</v>
      </c>
      <c r="G83" s="18">
        <v>988.14023854460993</v>
      </c>
      <c r="H83" s="17" t="s">
        <v>199</v>
      </c>
    </row>
    <row r="84" spans="1:8" x14ac:dyDescent="0.3">
      <c r="A84" s="17" t="s">
        <v>27</v>
      </c>
      <c r="B84" s="17">
        <v>365</v>
      </c>
      <c r="C84" s="17">
        <v>365</v>
      </c>
      <c r="D84" s="17">
        <v>1</v>
      </c>
      <c r="E84" s="17" t="s">
        <v>31</v>
      </c>
      <c r="F84" s="17" t="s">
        <v>33</v>
      </c>
      <c r="G84" s="18">
        <v>363.05799942632001</v>
      </c>
      <c r="H84" s="17" t="s">
        <v>200</v>
      </c>
    </row>
    <row r="85" spans="1:8" x14ac:dyDescent="0.3">
      <c r="A85" s="17" t="s">
        <v>201</v>
      </c>
      <c r="B85" s="17">
        <v>366</v>
      </c>
      <c r="C85" s="17">
        <v>372</v>
      </c>
      <c r="D85" s="17">
        <v>7</v>
      </c>
      <c r="E85" s="17" t="s">
        <v>31</v>
      </c>
      <c r="F85" s="17" t="s">
        <v>33</v>
      </c>
      <c r="G85" s="18">
        <v>2262.3159501704799</v>
      </c>
      <c r="H85" s="17" t="s">
        <v>202</v>
      </c>
    </row>
    <row r="86" spans="1:8" x14ac:dyDescent="0.3">
      <c r="A86" s="17" t="s">
        <v>27</v>
      </c>
      <c r="B86" s="17">
        <v>373</v>
      </c>
      <c r="C86" s="17">
        <v>373</v>
      </c>
      <c r="D86" s="17">
        <v>1</v>
      </c>
      <c r="E86" s="17" t="s">
        <v>31</v>
      </c>
      <c r="F86" s="17" t="s">
        <v>33</v>
      </c>
      <c r="G86" s="18">
        <v>363.05799942632001</v>
      </c>
      <c r="H86" s="17" t="s">
        <v>203</v>
      </c>
    </row>
    <row r="87" spans="1:8" x14ac:dyDescent="0.3">
      <c r="A87" s="17" t="s">
        <v>204</v>
      </c>
      <c r="B87" s="17">
        <v>374</v>
      </c>
      <c r="C87" s="17">
        <v>383</v>
      </c>
      <c r="D87" s="17">
        <v>10</v>
      </c>
      <c r="E87" s="17" t="s">
        <v>31</v>
      </c>
      <c r="F87" s="17" t="s">
        <v>33</v>
      </c>
      <c r="G87" s="18">
        <v>3195.4629458607001</v>
      </c>
      <c r="H87" s="17" t="s">
        <v>205</v>
      </c>
    </row>
    <row r="88" spans="1:8" x14ac:dyDescent="0.3">
      <c r="A88" s="17" t="s">
        <v>27</v>
      </c>
      <c r="B88" s="17">
        <v>384</v>
      </c>
      <c r="C88" s="17">
        <v>384</v>
      </c>
      <c r="D88" s="17">
        <v>1</v>
      </c>
      <c r="E88" s="17" t="s">
        <v>31</v>
      </c>
      <c r="F88" s="17" t="s">
        <v>33</v>
      </c>
      <c r="G88" s="18">
        <v>363.05799942632001</v>
      </c>
      <c r="H88" s="17" t="s">
        <v>206</v>
      </c>
    </row>
    <row r="89" spans="1:8" x14ac:dyDescent="0.3">
      <c r="A89" s="17" t="s">
        <v>207</v>
      </c>
      <c r="B89" s="17">
        <v>385</v>
      </c>
      <c r="C89" s="17">
        <v>388</v>
      </c>
      <c r="D89" s="17">
        <v>4</v>
      </c>
      <c r="E89" s="17" t="s">
        <v>31</v>
      </c>
      <c r="F89" s="17" t="s">
        <v>33</v>
      </c>
      <c r="G89" s="18">
        <v>1326.2043264112801</v>
      </c>
      <c r="H89" s="17" t="s">
        <v>208</v>
      </c>
    </row>
    <row r="90" spans="1:8" x14ac:dyDescent="0.3">
      <c r="A90" s="17" t="s">
        <v>209</v>
      </c>
      <c r="B90" s="17">
        <v>389</v>
      </c>
      <c r="C90" s="17">
        <v>392</v>
      </c>
      <c r="D90" s="17">
        <v>4</v>
      </c>
      <c r="E90" s="17" t="s">
        <v>31</v>
      </c>
      <c r="F90" s="17" t="s">
        <v>33</v>
      </c>
      <c r="G90" s="18">
        <v>1326.2043264112801</v>
      </c>
      <c r="H90" s="17" t="s">
        <v>210</v>
      </c>
    </row>
    <row r="91" spans="1:8" x14ac:dyDescent="0.3">
      <c r="A91" s="17" t="s">
        <v>211</v>
      </c>
      <c r="B91" s="17">
        <v>393</v>
      </c>
      <c r="C91" s="17">
        <v>398</v>
      </c>
      <c r="D91" s="17">
        <v>6</v>
      </c>
      <c r="E91" s="17" t="s">
        <v>31</v>
      </c>
      <c r="F91" s="17" t="s">
        <v>33</v>
      </c>
      <c r="G91" s="18">
        <v>1936.2868998822</v>
      </c>
      <c r="H91" s="17" t="s">
        <v>212</v>
      </c>
    </row>
    <row r="92" spans="1:8" x14ac:dyDescent="0.3">
      <c r="A92" s="17" t="s">
        <v>81</v>
      </c>
      <c r="B92" s="17">
        <v>399</v>
      </c>
      <c r="C92" s="17">
        <v>400</v>
      </c>
      <c r="D92" s="17">
        <v>2</v>
      </c>
      <c r="E92" s="17" t="s">
        <v>31</v>
      </c>
      <c r="F92" s="17" t="s">
        <v>33</v>
      </c>
      <c r="G92" s="18">
        <v>692.11051955106996</v>
      </c>
      <c r="H92" s="17" t="s">
        <v>213</v>
      </c>
    </row>
    <row r="93" spans="1:8" x14ac:dyDescent="0.3">
      <c r="A93" s="17" t="s">
        <v>214</v>
      </c>
      <c r="B93" s="17">
        <v>401</v>
      </c>
      <c r="C93" s="17">
        <v>404</v>
      </c>
      <c r="D93" s="17">
        <v>4</v>
      </c>
      <c r="E93" s="17" t="s">
        <v>31</v>
      </c>
      <c r="F93" s="17" t="s">
        <v>33</v>
      </c>
      <c r="G93" s="18">
        <v>1293.18152528007</v>
      </c>
      <c r="H93" s="17" t="s">
        <v>215</v>
      </c>
    </row>
    <row r="94" spans="1:8" x14ac:dyDescent="0.3">
      <c r="A94" s="17" t="s">
        <v>105</v>
      </c>
      <c r="B94" s="17">
        <v>405</v>
      </c>
      <c r="C94" s="17">
        <v>407</v>
      </c>
      <c r="D94" s="17">
        <v>3</v>
      </c>
      <c r="E94" s="17" t="s">
        <v>31</v>
      </c>
      <c r="F94" s="17" t="s">
        <v>33</v>
      </c>
      <c r="G94" s="18">
        <v>988.14023854460993</v>
      </c>
      <c r="H94" s="17" t="s">
        <v>216</v>
      </c>
    </row>
    <row r="95" spans="1:8" x14ac:dyDescent="0.3">
      <c r="A95" s="17" t="s">
        <v>217</v>
      </c>
      <c r="B95" s="17">
        <v>408</v>
      </c>
      <c r="C95" s="17">
        <v>411</v>
      </c>
      <c r="D95" s="17">
        <v>4</v>
      </c>
      <c r="E95" s="17" t="s">
        <v>31</v>
      </c>
      <c r="F95" s="17" t="s">
        <v>33</v>
      </c>
      <c r="G95" s="18">
        <v>1317.19275866936</v>
      </c>
      <c r="H95" s="17" t="s">
        <v>218</v>
      </c>
    </row>
    <row r="96" spans="1:8" x14ac:dyDescent="0.3">
      <c r="A96" s="17" t="s">
        <v>99</v>
      </c>
      <c r="B96" s="17">
        <v>412</v>
      </c>
      <c r="C96" s="17">
        <v>413</v>
      </c>
      <c r="D96" s="17">
        <v>2</v>
      </c>
      <c r="E96" s="17" t="s">
        <v>31</v>
      </c>
      <c r="F96" s="17" t="s">
        <v>33</v>
      </c>
      <c r="G96" s="18">
        <v>683.09895180914998</v>
      </c>
      <c r="H96" s="17" t="s">
        <v>219</v>
      </c>
    </row>
    <row r="97" spans="1:8" x14ac:dyDescent="0.3">
      <c r="A97" s="17" t="s">
        <v>220</v>
      </c>
      <c r="B97" s="17">
        <v>414</v>
      </c>
      <c r="C97" s="17">
        <v>420</v>
      </c>
      <c r="D97" s="17">
        <v>7</v>
      </c>
      <c r="E97" s="17" t="s">
        <v>31</v>
      </c>
      <c r="F97" s="17" t="s">
        <v>33</v>
      </c>
      <c r="G97" s="18">
        <v>2289.35065339624</v>
      </c>
      <c r="H97" s="17" t="s">
        <v>221</v>
      </c>
    </row>
    <row r="98" spans="1:8" x14ac:dyDescent="0.3">
      <c r="A98" s="17" t="s">
        <v>222</v>
      </c>
      <c r="B98" s="17">
        <v>421</v>
      </c>
      <c r="C98" s="17">
        <v>429</v>
      </c>
      <c r="D98" s="17">
        <v>9</v>
      </c>
      <c r="E98" s="17" t="s">
        <v>31</v>
      </c>
      <c r="F98" s="17" t="s">
        <v>33</v>
      </c>
      <c r="G98" s="18">
        <v>2875.4219934778703</v>
      </c>
      <c r="H98" s="17" t="s">
        <v>223</v>
      </c>
    </row>
    <row r="99" spans="1:8" x14ac:dyDescent="0.3">
      <c r="A99" s="17" t="s">
        <v>99</v>
      </c>
      <c r="B99" s="17">
        <v>430</v>
      </c>
      <c r="C99" s="17">
        <v>431</v>
      </c>
      <c r="D99" s="17">
        <v>2</v>
      </c>
      <c r="E99" s="17" t="s">
        <v>31</v>
      </c>
      <c r="F99" s="17" t="s">
        <v>33</v>
      </c>
      <c r="G99" s="18">
        <v>683.09895180914998</v>
      </c>
      <c r="H99" s="17" t="s">
        <v>224</v>
      </c>
    </row>
    <row r="100" spans="1:8" x14ac:dyDescent="0.3">
      <c r="A100" s="17" t="s">
        <v>27</v>
      </c>
      <c r="B100" s="17">
        <v>432</v>
      </c>
      <c r="C100" s="17">
        <v>432</v>
      </c>
      <c r="D100" s="17">
        <v>1</v>
      </c>
      <c r="E100" s="17" t="s">
        <v>31</v>
      </c>
      <c r="F100" s="17" t="s">
        <v>33</v>
      </c>
      <c r="G100" s="18">
        <v>363.05799942632001</v>
      </c>
      <c r="H100" s="17" t="s">
        <v>225</v>
      </c>
    </row>
    <row r="101" spans="1:8" x14ac:dyDescent="0.3">
      <c r="A101" s="17" t="s">
        <v>226</v>
      </c>
      <c r="B101" s="17">
        <v>433</v>
      </c>
      <c r="C101" s="17">
        <v>441</v>
      </c>
      <c r="D101" s="17">
        <v>9</v>
      </c>
      <c r="E101" s="17" t="s">
        <v>31</v>
      </c>
      <c r="F101" s="17" t="s">
        <v>33</v>
      </c>
      <c r="G101" s="18">
        <v>2929.4325581619</v>
      </c>
      <c r="H101" s="17" t="s">
        <v>227</v>
      </c>
    </row>
    <row r="102" spans="1:8" x14ac:dyDescent="0.3">
      <c r="A102" s="17" t="s">
        <v>99</v>
      </c>
      <c r="B102" s="17">
        <v>442</v>
      </c>
      <c r="C102" s="17">
        <v>443</v>
      </c>
      <c r="D102" s="17">
        <v>2</v>
      </c>
      <c r="E102" s="17" t="s">
        <v>31</v>
      </c>
      <c r="F102" s="17" t="s">
        <v>33</v>
      </c>
      <c r="G102" s="18">
        <v>683.09895180914998</v>
      </c>
      <c r="H102" s="17" t="s">
        <v>228</v>
      </c>
    </row>
    <row r="103" spans="1:8" x14ac:dyDescent="0.3">
      <c r="A103" s="17" t="s">
        <v>99</v>
      </c>
      <c r="B103" s="17">
        <v>444</v>
      </c>
      <c r="C103" s="17">
        <v>445</v>
      </c>
      <c r="D103" s="17">
        <v>2</v>
      </c>
      <c r="E103" s="17" t="s">
        <v>31</v>
      </c>
      <c r="F103" s="17" t="s">
        <v>33</v>
      </c>
      <c r="G103" s="18">
        <v>683.09895180914998</v>
      </c>
      <c r="H103" s="17" t="s">
        <v>229</v>
      </c>
    </row>
    <row r="104" spans="1:8" x14ac:dyDescent="0.3">
      <c r="A104" s="17" t="s">
        <v>132</v>
      </c>
      <c r="B104" s="17">
        <v>446</v>
      </c>
      <c r="C104" s="17">
        <v>447</v>
      </c>
      <c r="D104" s="17">
        <v>2</v>
      </c>
      <c r="E104" s="17" t="s">
        <v>31</v>
      </c>
      <c r="F104" s="17" t="s">
        <v>33</v>
      </c>
      <c r="G104" s="18">
        <v>668.09928616178001</v>
      </c>
      <c r="H104" s="17" t="s">
        <v>230</v>
      </c>
    </row>
    <row r="105" spans="1:8" x14ac:dyDescent="0.3">
      <c r="A105" s="17" t="s">
        <v>81</v>
      </c>
      <c r="B105" s="17">
        <v>448</v>
      </c>
      <c r="C105" s="17">
        <v>449</v>
      </c>
      <c r="D105" s="17">
        <v>2</v>
      </c>
      <c r="E105" s="17" t="s">
        <v>31</v>
      </c>
      <c r="F105" s="17" t="s">
        <v>33</v>
      </c>
      <c r="G105" s="18">
        <v>692.11051955106996</v>
      </c>
      <c r="H105" s="17" t="s">
        <v>231</v>
      </c>
    </row>
    <row r="106" spans="1:8" x14ac:dyDescent="0.3">
      <c r="A106" s="17" t="s">
        <v>232</v>
      </c>
      <c r="B106" s="17">
        <v>450</v>
      </c>
      <c r="C106" s="17">
        <v>455</v>
      </c>
      <c r="D106" s="17">
        <v>6</v>
      </c>
      <c r="E106" s="17" t="s">
        <v>31</v>
      </c>
      <c r="F106" s="17" t="s">
        <v>33</v>
      </c>
      <c r="G106" s="18">
        <v>1942.2749977876501</v>
      </c>
      <c r="H106" s="17" t="s">
        <v>233</v>
      </c>
    </row>
    <row r="107" spans="1:8" x14ac:dyDescent="0.3">
      <c r="A107" s="17" t="s">
        <v>234</v>
      </c>
      <c r="B107" s="17">
        <v>456</v>
      </c>
      <c r="C107" s="17">
        <v>460</v>
      </c>
      <c r="D107" s="17">
        <v>5</v>
      </c>
      <c r="E107" s="17" t="s">
        <v>31</v>
      </c>
      <c r="F107" s="17" t="s">
        <v>33</v>
      </c>
      <c r="G107" s="18">
        <v>1628.22214331027</v>
      </c>
      <c r="H107" s="17" t="s">
        <v>235</v>
      </c>
    </row>
    <row r="108" spans="1:8" x14ac:dyDescent="0.3">
      <c r="A108" s="17" t="s">
        <v>156</v>
      </c>
      <c r="B108" s="17">
        <v>461</v>
      </c>
      <c r="C108" s="17">
        <v>465</v>
      </c>
      <c r="D108" s="17">
        <v>5</v>
      </c>
      <c r="E108" s="17" t="s">
        <v>31</v>
      </c>
      <c r="F108" s="17" t="s">
        <v>33</v>
      </c>
      <c r="G108" s="18">
        <v>1631.2456131467402</v>
      </c>
      <c r="H108" s="17" t="s">
        <v>236</v>
      </c>
    </row>
    <row r="109" spans="1:8" x14ac:dyDescent="0.3">
      <c r="A109" s="17" t="s">
        <v>237</v>
      </c>
      <c r="B109" s="17">
        <v>466</v>
      </c>
      <c r="C109" s="17">
        <v>476</v>
      </c>
      <c r="D109" s="17">
        <v>11</v>
      </c>
      <c r="E109" s="17" t="s">
        <v>31</v>
      </c>
      <c r="F109" s="17" t="s">
        <v>33</v>
      </c>
      <c r="G109" s="18">
        <v>3482.4810971123197</v>
      </c>
      <c r="H109" s="17" t="s">
        <v>238</v>
      </c>
    </row>
    <row r="110" spans="1:8" x14ac:dyDescent="0.3">
      <c r="A110" s="17" t="s">
        <v>27</v>
      </c>
      <c r="B110" s="17">
        <v>477</v>
      </c>
      <c r="C110" s="17">
        <v>477</v>
      </c>
      <c r="D110" s="17">
        <v>1</v>
      </c>
      <c r="E110" s="17" t="s">
        <v>31</v>
      </c>
      <c r="F110" s="17" t="s">
        <v>33</v>
      </c>
      <c r="G110" s="18">
        <v>363.05799942632001</v>
      </c>
      <c r="H110" s="17" t="s">
        <v>239</v>
      </c>
    </row>
    <row r="111" spans="1:8" x14ac:dyDescent="0.3">
      <c r="A111" s="17" t="s">
        <v>27</v>
      </c>
      <c r="B111" s="17">
        <v>478</v>
      </c>
      <c r="C111" s="17">
        <v>478</v>
      </c>
      <c r="D111" s="17">
        <v>1</v>
      </c>
      <c r="E111" s="17" t="s">
        <v>31</v>
      </c>
      <c r="F111" s="17" t="s">
        <v>33</v>
      </c>
      <c r="G111" s="18">
        <v>363.05799942632001</v>
      </c>
      <c r="H111" s="17" t="s">
        <v>240</v>
      </c>
    </row>
    <row r="112" spans="1:8" x14ac:dyDescent="0.3">
      <c r="A112" s="17" t="s">
        <v>132</v>
      </c>
      <c r="B112" s="17">
        <v>479</v>
      </c>
      <c r="C112" s="17">
        <v>480</v>
      </c>
      <c r="D112" s="17">
        <v>2</v>
      </c>
      <c r="E112" s="17" t="s">
        <v>31</v>
      </c>
      <c r="F112" s="17" t="s">
        <v>33</v>
      </c>
      <c r="G112" s="18">
        <v>668.09928616178001</v>
      </c>
      <c r="H112" s="17" t="s">
        <v>241</v>
      </c>
    </row>
    <row r="113" spans="1:8" x14ac:dyDescent="0.3">
      <c r="A113" s="17" t="s">
        <v>242</v>
      </c>
      <c r="B113" s="17">
        <v>481</v>
      </c>
      <c r="C113" s="17">
        <v>494</v>
      </c>
      <c r="D113" s="17">
        <v>14</v>
      </c>
      <c r="E113" s="17" t="s">
        <v>31</v>
      </c>
      <c r="F113" s="17" t="s">
        <v>33</v>
      </c>
      <c r="G113" s="18">
        <v>4493.6498908758604</v>
      </c>
      <c r="H113" s="17" t="s">
        <v>243</v>
      </c>
    </row>
    <row r="114" spans="1:8" x14ac:dyDescent="0.3">
      <c r="A114" s="17" t="s">
        <v>244</v>
      </c>
      <c r="B114" s="17">
        <v>495</v>
      </c>
      <c r="C114" s="17">
        <v>503</v>
      </c>
      <c r="D114" s="17">
        <v>9</v>
      </c>
      <c r="E114" s="17" t="s">
        <v>31</v>
      </c>
      <c r="F114" s="17" t="s">
        <v>33</v>
      </c>
      <c r="G114" s="18">
        <v>2947.4556936457402</v>
      </c>
      <c r="H114" s="17" t="s">
        <v>245</v>
      </c>
    </row>
    <row r="115" spans="1:8" x14ac:dyDescent="0.3">
      <c r="A115" s="17" t="s">
        <v>81</v>
      </c>
      <c r="B115" s="17">
        <v>504</v>
      </c>
      <c r="C115" s="17">
        <v>505</v>
      </c>
      <c r="D115" s="17">
        <v>2</v>
      </c>
      <c r="E115" s="17" t="s">
        <v>31</v>
      </c>
      <c r="F115" s="17" t="s">
        <v>33</v>
      </c>
      <c r="G115" s="18">
        <v>692.11051955106996</v>
      </c>
      <c r="H115" s="17" t="s">
        <v>246</v>
      </c>
    </row>
    <row r="116" spans="1:8" x14ac:dyDescent="0.3">
      <c r="A116" s="17" t="s">
        <v>105</v>
      </c>
      <c r="B116" s="17">
        <v>506</v>
      </c>
      <c r="C116" s="17">
        <v>508</v>
      </c>
      <c r="D116" s="17">
        <v>3</v>
      </c>
      <c r="E116" s="17" t="s">
        <v>31</v>
      </c>
      <c r="F116" s="17" t="s">
        <v>33</v>
      </c>
      <c r="G116" s="18">
        <v>988.14023854460993</v>
      </c>
      <c r="H116" s="17" t="s">
        <v>247</v>
      </c>
    </row>
    <row r="117" spans="1:8" x14ac:dyDescent="0.3">
      <c r="A117" s="17" t="s">
        <v>27</v>
      </c>
      <c r="B117" s="17">
        <v>509</v>
      </c>
      <c r="C117" s="17">
        <v>509</v>
      </c>
      <c r="D117" s="17">
        <v>1</v>
      </c>
      <c r="E117" s="17" t="s">
        <v>31</v>
      </c>
      <c r="F117" s="17" t="s">
        <v>33</v>
      </c>
      <c r="G117" s="18">
        <v>363.05799942632001</v>
      </c>
      <c r="H117" s="17" t="s">
        <v>248</v>
      </c>
    </row>
    <row r="118" spans="1:8" x14ac:dyDescent="0.3">
      <c r="A118" s="17" t="s">
        <v>249</v>
      </c>
      <c r="B118" s="17">
        <v>510</v>
      </c>
      <c r="C118" s="17">
        <v>512</v>
      </c>
      <c r="D118" s="17">
        <v>3</v>
      </c>
      <c r="E118" s="17" t="s">
        <v>31</v>
      </c>
      <c r="F118" s="17" t="s">
        <v>33</v>
      </c>
      <c r="G118" s="18">
        <v>1012.1514719339</v>
      </c>
      <c r="H118" s="17" t="s">
        <v>250</v>
      </c>
    </row>
    <row r="119" spans="1:8" x14ac:dyDescent="0.3">
      <c r="A119" s="17" t="s">
        <v>27</v>
      </c>
      <c r="B119" s="17">
        <v>513</v>
      </c>
      <c r="C119" s="17">
        <v>513</v>
      </c>
      <c r="D119" s="17">
        <v>1</v>
      </c>
      <c r="E119" s="17" t="s">
        <v>31</v>
      </c>
      <c r="F119" s="17" t="s">
        <v>33</v>
      </c>
      <c r="G119" s="18">
        <v>363.05799942632001</v>
      </c>
      <c r="H119" s="17" t="s">
        <v>251</v>
      </c>
    </row>
    <row r="120" spans="1:8" x14ac:dyDescent="0.3">
      <c r="A120" s="17" t="s">
        <v>252</v>
      </c>
      <c r="B120" s="17">
        <v>514</v>
      </c>
      <c r="C120" s="17">
        <v>517</v>
      </c>
      <c r="D120" s="17">
        <v>4</v>
      </c>
      <c r="E120" s="17" t="s">
        <v>31</v>
      </c>
      <c r="F120" s="17" t="s">
        <v>33</v>
      </c>
      <c r="G120" s="18">
        <v>1350.21555980057</v>
      </c>
      <c r="H120" s="17" t="s">
        <v>253</v>
      </c>
    </row>
    <row r="121" spans="1:8" x14ac:dyDescent="0.3">
      <c r="A121" s="17" t="s">
        <v>132</v>
      </c>
      <c r="B121" s="17">
        <v>518</v>
      </c>
      <c r="C121" s="17">
        <v>519</v>
      </c>
      <c r="D121" s="17">
        <v>2</v>
      </c>
      <c r="E121" s="17" t="s">
        <v>31</v>
      </c>
      <c r="F121" s="17" t="s">
        <v>33</v>
      </c>
      <c r="G121" s="18">
        <v>668.09928616178001</v>
      </c>
      <c r="H121" s="17" t="s">
        <v>254</v>
      </c>
    </row>
    <row r="122" spans="1:8" x14ac:dyDescent="0.3">
      <c r="A122" s="17" t="s">
        <v>81</v>
      </c>
      <c r="B122" s="17">
        <v>520</v>
      </c>
      <c r="C122" s="17">
        <v>521</v>
      </c>
      <c r="D122" s="17">
        <v>2</v>
      </c>
      <c r="E122" s="17" t="s">
        <v>31</v>
      </c>
      <c r="F122" s="17" t="s">
        <v>33</v>
      </c>
      <c r="G122" s="18">
        <v>692.11051955106996</v>
      </c>
      <c r="H122" s="17" t="s">
        <v>255</v>
      </c>
    </row>
    <row r="123" spans="1:8" x14ac:dyDescent="0.3">
      <c r="A123" s="17" t="s">
        <v>256</v>
      </c>
      <c r="B123" s="17">
        <v>522</v>
      </c>
      <c r="C123" s="17">
        <v>526</v>
      </c>
      <c r="D123" s="17">
        <v>5</v>
      </c>
      <c r="E123" s="17" t="s">
        <v>31</v>
      </c>
      <c r="F123" s="17" t="s">
        <v>33</v>
      </c>
      <c r="G123" s="18">
        <v>1613.2224776629</v>
      </c>
      <c r="H123" s="17" t="s">
        <v>257</v>
      </c>
    </row>
    <row r="124" spans="1:8" x14ac:dyDescent="0.3">
      <c r="A124" s="17" t="s">
        <v>27</v>
      </c>
      <c r="B124" s="17">
        <v>527</v>
      </c>
      <c r="C124" s="17">
        <v>527</v>
      </c>
      <c r="D124" s="17">
        <v>1</v>
      </c>
      <c r="E124" s="17" t="s">
        <v>31</v>
      </c>
      <c r="F124" s="17" t="s">
        <v>33</v>
      </c>
      <c r="G124" s="18">
        <v>363.05799942632001</v>
      </c>
      <c r="H124" s="17" t="s">
        <v>258</v>
      </c>
    </row>
    <row r="125" spans="1:8" x14ac:dyDescent="0.3">
      <c r="A125" s="17" t="s">
        <v>27</v>
      </c>
      <c r="B125" s="17">
        <v>528</v>
      </c>
      <c r="C125" s="17">
        <v>528</v>
      </c>
      <c r="D125" s="17">
        <v>1</v>
      </c>
      <c r="E125" s="17" t="s">
        <v>31</v>
      </c>
      <c r="F125" s="17" t="s">
        <v>33</v>
      </c>
      <c r="G125" s="18">
        <v>363.05799942632001</v>
      </c>
      <c r="H125" s="17" t="s">
        <v>259</v>
      </c>
    </row>
    <row r="126" spans="1:8" x14ac:dyDescent="0.3">
      <c r="A126" s="17" t="s">
        <v>99</v>
      </c>
      <c r="B126" s="17">
        <v>529</v>
      </c>
      <c r="C126" s="17">
        <v>530</v>
      </c>
      <c r="D126" s="17">
        <v>2</v>
      </c>
      <c r="E126" s="17" t="s">
        <v>31</v>
      </c>
      <c r="F126" s="17" t="s">
        <v>33</v>
      </c>
      <c r="G126" s="18">
        <v>683.09895180914998</v>
      </c>
      <c r="H126" s="17" t="s">
        <v>260</v>
      </c>
    </row>
    <row r="127" spans="1:8" x14ac:dyDescent="0.3">
      <c r="A127" s="17" t="s">
        <v>261</v>
      </c>
      <c r="B127" s="17">
        <v>531</v>
      </c>
      <c r="C127" s="17">
        <v>535</v>
      </c>
      <c r="D127" s="17">
        <v>5</v>
      </c>
      <c r="E127" s="17" t="s">
        <v>31</v>
      </c>
      <c r="F127" s="17" t="s">
        <v>33</v>
      </c>
      <c r="G127" s="18">
        <v>1646.2452787941102</v>
      </c>
      <c r="H127" s="17" t="s">
        <v>262</v>
      </c>
    </row>
    <row r="128" spans="1:8" x14ac:dyDescent="0.3">
      <c r="A128" s="17" t="s">
        <v>263</v>
      </c>
      <c r="B128" s="17">
        <v>536</v>
      </c>
      <c r="C128" s="17">
        <v>538</v>
      </c>
      <c r="D128" s="17">
        <v>3</v>
      </c>
      <c r="E128" s="17" t="s">
        <v>31</v>
      </c>
      <c r="F128" s="17" t="s">
        <v>33</v>
      </c>
      <c r="G128" s="18">
        <v>997.15180628653002</v>
      </c>
      <c r="H128" s="17" t="s">
        <v>264</v>
      </c>
    </row>
    <row r="129" spans="1:8" x14ac:dyDescent="0.3">
      <c r="A129" s="17" t="s">
        <v>132</v>
      </c>
      <c r="B129" s="17">
        <v>539</v>
      </c>
      <c r="C129" s="17">
        <v>540</v>
      </c>
      <c r="D129" s="17">
        <v>2</v>
      </c>
      <c r="E129" s="17" t="s">
        <v>31</v>
      </c>
      <c r="F129" s="17" t="s">
        <v>33</v>
      </c>
      <c r="G129" s="18">
        <v>668.09928616178001</v>
      </c>
      <c r="H129" s="17" t="s">
        <v>265</v>
      </c>
    </row>
    <row r="130" spans="1:8" x14ac:dyDescent="0.3">
      <c r="A130" s="17" t="s">
        <v>266</v>
      </c>
      <c r="B130" s="17">
        <v>541</v>
      </c>
      <c r="C130" s="17">
        <v>550</v>
      </c>
      <c r="D130" s="17">
        <v>10</v>
      </c>
      <c r="E130" s="17" t="s">
        <v>31</v>
      </c>
      <c r="F130" s="17" t="s">
        <v>33</v>
      </c>
      <c r="G130" s="18">
        <v>3219.4741792499899</v>
      </c>
      <c r="H130" s="17" t="s">
        <v>267</v>
      </c>
    </row>
    <row r="131" spans="1:8" x14ac:dyDescent="0.3">
      <c r="A131" s="17" t="s">
        <v>268</v>
      </c>
      <c r="B131" s="17">
        <v>551</v>
      </c>
      <c r="C131" s="17">
        <v>558</v>
      </c>
      <c r="D131" s="17">
        <v>8</v>
      </c>
      <c r="E131" s="17" t="s">
        <v>31</v>
      </c>
      <c r="F131" s="17" t="s">
        <v>33</v>
      </c>
      <c r="G131" s="18">
        <v>2552.3575712585698</v>
      </c>
      <c r="H131" s="17" t="s">
        <v>269</v>
      </c>
    </row>
    <row r="132" spans="1:8" x14ac:dyDescent="0.3">
      <c r="A132" s="17" t="s">
        <v>81</v>
      </c>
      <c r="B132" s="17">
        <v>559</v>
      </c>
      <c r="C132" s="17">
        <v>560</v>
      </c>
      <c r="D132" s="17">
        <v>2</v>
      </c>
      <c r="E132" s="17" t="s">
        <v>31</v>
      </c>
      <c r="F132" s="17" t="s">
        <v>33</v>
      </c>
      <c r="G132" s="18">
        <v>692.11051955106996</v>
      </c>
      <c r="H132" s="17" t="s">
        <v>270</v>
      </c>
    </row>
    <row r="133" spans="1:8" x14ac:dyDescent="0.3">
      <c r="A133" s="17" t="s">
        <v>271</v>
      </c>
      <c r="B133" s="17">
        <v>561</v>
      </c>
      <c r="C133" s="17">
        <v>564</v>
      </c>
      <c r="D133" s="17">
        <v>4</v>
      </c>
      <c r="E133" s="17" t="s">
        <v>31</v>
      </c>
      <c r="F133" s="17" t="s">
        <v>33</v>
      </c>
      <c r="G133" s="18">
        <v>1317.19275866936</v>
      </c>
      <c r="H133" s="17" t="s">
        <v>272</v>
      </c>
    </row>
    <row r="134" spans="1:8" x14ac:dyDescent="0.3">
      <c r="A134" s="17" t="s">
        <v>99</v>
      </c>
      <c r="B134" s="17">
        <v>565</v>
      </c>
      <c r="C134" s="17">
        <v>566</v>
      </c>
      <c r="D134" s="17">
        <v>2</v>
      </c>
      <c r="E134" s="17" t="s">
        <v>31</v>
      </c>
      <c r="F134" s="17" t="s">
        <v>33</v>
      </c>
      <c r="G134" s="18">
        <v>683.09895180914998</v>
      </c>
      <c r="H134" s="17" t="s">
        <v>273</v>
      </c>
    </row>
    <row r="135" spans="1:8" x14ac:dyDescent="0.3">
      <c r="A135" s="17" t="s">
        <v>274</v>
      </c>
      <c r="B135" s="17">
        <v>567</v>
      </c>
      <c r="C135" s="17">
        <v>572</v>
      </c>
      <c r="D135" s="17">
        <v>6</v>
      </c>
      <c r="E135" s="17" t="s">
        <v>31</v>
      </c>
      <c r="F135" s="17" t="s">
        <v>33</v>
      </c>
      <c r="G135" s="18">
        <v>1927.2753321402799</v>
      </c>
      <c r="H135" s="17" t="s">
        <v>275</v>
      </c>
    </row>
    <row r="136" spans="1:8" x14ac:dyDescent="0.3">
      <c r="A136" s="17" t="s">
        <v>276</v>
      </c>
      <c r="B136" s="17">
        <v>573</v>
      </c>
      <c r="C136" s="17">
        <v>581</v>
      </c>
      <c r="D136" s="17">
        <v>9</v>
      </c>
      <c r="E136" s="17" t="s">
        <v>31</v>
      </c>
      <c r="F136" s="17" t="s">
        <v>33</v>
      </c>
      <c r="G136" s="18">
        <v>2863.3869558994802</v>
      </c>
      <c r="H136" s="17" t="s">
        <v>277</v>
      </c>
    </row>
    <row r="137" spans="1:8" x14ac:dyDescent="0.3">
      <c r="A137" s="17" t="s">
        <v>249</v>
      </c>
      <c r="B137" s="17">
        <v>582</v>
      </c>
      <c r="C137" s="17">
        <v>584</v>
      </c>
      <c r="D137" s="17">
        <v>3</v>
      </c>
      <c r="E137" s="17" t="s">
        <v>31</v>
      </c>
      <c r="F137" s="17" t="s">
        <v>33</v>
      </c>
      <c r="G137" s="18">
        <v>1012.1514719339</v>
      </c>
      <c r="H137" s="17" t="s">
        <v>278</v>
      </c>
    </row>
    <row r="138" spans="1:8" x14ac:dyDescent="0.3">
      <c r="A138" s="17" t="s">
        <v>27</v>
      </c>
      <c r="B138" s="17">
        <v>585</v>
      </c>
      <c r="C138" s="17">
        <v>585</v>
      </c>
      <c r="D138" s="17">
        <v>1</v>
      </c>
      <c r="E138" s="17" t="s">
        <v>31</v>
      </c>
      <c r="F138" s="17" t="s">
        <v>33</v>
      </c>
      <c r="G138" s="18">
        <v>363.05799942632001</v>
      </c>
      <c r="H138" s="17" t="s">
        <v>279</v>
      </c>
    </row>
    <row r="139" spans="1:8" x14ac:dyDescent="0.3">
      <c r="A139" s="17" t="s">
        <v>151</v>
      </c>
      <c r="B139" s="17">
        <v>586</v>
      </c>
      <c r="C139" s="17">
        <v>590</v>
      </c>
      <c r="D139" s="17">
        <v>5</v>
      </c>
      <c r="E139" s="17" t="s">
        <v>31</v>
      </c>
      <c r="F139" s="17" t="s">
        <v>33</v>
      </c>
      <c r="G139" s="18">
        <v>1622.2340454048201</v>
      </c>
      <c r="H139" s="17" t="s">
        <v>280</v>
      </c>
    </row>
    <row r="140" spans="1:8" x14ac:dyDescent="0.3">
      <c r="A140" s="17" t="s">
        <v>27</v>
      </c>
      <c r="B140" s="17">
        <v>591</v>
      </c>
      <c r="C140" s="17">
        <v>591</v>
      </c>
      <c r="D140" s="17">
        <v>1</v>
      </c>
      <c r="E140" s="17" t="s">
        <v>31</v>
      </c>
      <c r="F140" s="17" t="s">
        <v>33</v>
      </c>
      <c r="G140" s="18">
        <v>363.05799942632001</v>
      </c>
      <c r="H140" s="17" t="s">
        <v>281</v>
      </c>
    </row>
    <row r="141" spans="1:8" x14ac:dyDescent="0.3">
      <c r="A141" s="17" t="s">
        <v>193</v>
      </c>
      <c r="B141" s="17">
        <v>592</v>
      </c>
      <c r="C141" s="17">
        <v>594</v>
      </c>
      <c r="D141" s="17">
        <v>3</v>
      </c>
      <c r="E141" s="17" t="s">
        <v>31</v>
      </c>
      <c r="F141" s="17" t="s">
        <v>33</v>
      </c>
      <c r="G141" s="18">
        <v>1021.1630396758201</v>
      </c>
      <c r="H141" s="17" t="s">
        <v>282</v>
      </c>
    </row>
    <row r="142" spans="1:8" x14ac:dyDescent="0.3">
      <c r="A142" s="17" t="s">
        <v>27</v>
      </c>
      <c r="B142" s="17">
        <v>595</v>
      </c>
      <c r="C142" s="17">
        <v>595</v>
      </c>
      <c r="D142" s="17">
        <v>1</v>
      </c>
      <c r="E142" s="17" t="s">
        <v>31</v>
      </c>
      <c r="F142" s="17" t="s">
        <v>33</v>
      </c>
      <c r="G142" s="18">
        <v>363.05799942632001</v>
      </c>
      <c r="H142" s="17" t="s">
        <v>283</v>
      </c>
    </row>
    <row r="143" spans="1:8" x14ac:dyDescent="0.3">
      <c r="A143" s="17" t="s">
        <v>209</v>
      </c>
      <c r="B143" s="17">
        <v>596</v>
      </c>
      <c r="C143" s="17">
        <v>599</v>
      </c>
      <c r="D143" s="17">
        <v>4</v>
      </c>
      <c r="E143" s="17" t="s">
        <v>31</v>
      </c>
      <c r="F143" s="17" t="s">
        <v>33</v>
      </c>
      <c r="G143" s="18">
        <v>1326.2043264112801</v>
      </c>
      <c r="H143" s="17" t="s">
        <v>284</v>
      </c>
    </row>
    <row r="144" spans="1:8" x14ac:dyDescent="0.3">
      <c r="A144" s="17" t="s">
        <v>263</v>
      </c>
      <c r="B144" s="17">
        <v>600</v>
      </c>
      <c r="C144" s="17">
        <v>602</v>
      </c>
      <c r="D144" s="17">
        <v>3</v>
      </c>
      <c r="E144" s="17" t="s">
        <v>31</v>
      </c>
      <c r="F144" s="17" t="s">
        <v>33</v>
      </c>
      <c r="G144" s="18">
        <v>997.15180628653002</v>
      </c>
      <c r="H144" s="17" t="s">
        <v>285</v>
      </c>
    </row>
    <row r="145" spans="1:8" x14ac:dyDescent="0.3">
      <c r="A145" s="17" t="s">
        <v>27</v>
      </c>
      <c r="B145" s="17">
        <v>603</v>
      </c>
      <c r="C145" s="17">
        <v>603</v>
      </c>
      <c r="D145" s="17">
        <v>1</v>
      </c>
      <c r="E145" s="17" t="s">
        <v>31</v>
      </c>
      <c r="F145" s="17" t="s">
        <v>33</v>
      </c>
      <c r="G145" s="18">
        <v>363.05799942632001</v>
      </c>
      <c r="H145" s="17" t="s">
        <v>286</v>
      </c>
    </row>
    <row r="146" spans="1:8" x14ac:dyDescent="0.3">
      <c r="A146" s="17" t="s">
        <v>27</v>
      </c>
      <c r="B146" s="17">
        <v>604</v>
      </c>
      <c r="C146" s="17">
        <v>604</v>
      </c>
      <c r="D146" s="17">
        <v>1</v>
      </c>
      <c r="E146" s="17" t="s">
        <v>31</v>
      </c>
      <c r="F146" s="17" t="s">
        <v>33</v>
      </c>
      <c r="G146" s="18">
        <v>363.05799942632001</v>
      </c>
      <c r="H146" s="17" t="s">
        <v>287</v>
      </c>
    </row>
    <row r="147" spans="1:8" x14ac:dyDescent="0.3">
      <c r="A147" s="17" t="s">
        <v>288</v>
      </c>
      <c r="B147" s="17">
        <v>605</v>
      </c>
      <c r="C147" s="17">
        <v>614</v>
      </c>
      <c r="D147" s="17">
        <v>10</v>
      </c>
      <c r="E147" s="17" t="s">
        <v>31</v>
      </c>
      <c r="F147" s="17" t="s">
        <v>33</v>
      </c>
      <c r="G147" s="18">
        <v>3234.4738448973599</v>
      </c>
      <c r="H147" s="17" t="s">
        <v>289</v>
      </c>
    </row>
    <row r="148" spans="1:8" x14ac:dyDescent="0.3">
      <c r="A148" s="17" t="s">
        <v>119</v>
      </c>
      <c r="B148" s="17">
        <v>615</v>
      </c>
      <c r="C148" s="17">
        <v>620</v>
      </c>
      <c r="D148" s="17">
        <v>6</v>
      </c>
      <c r="E148" s="17" t="s">
        <v>31</v>
      </c>
      <c r="F148" s="17" t="s">
        <v>33</v>
      </c>
      <c r="G148" s="18">
        <v>1951.2865655295702</v>
      </c>
      <c r="H148" s="17" t="s">
        <v>290</v>
      </c>
    </row>
    <row r="149" spans="1:8" x14ac:dyDescent="0.3">
      <c r="A149" s="17" t="s">
        <v>132</v>
      </c>
      <c r="B149" s="17">
        <v>621</v>
      </c>
      <c r="C149" s="17">
        <v>622</v>
      </c>
      <c r="D149" s="17">
        <v>2</v>
      </c>
      <c r="E149" s="17" t="s">
        <v>31</v>
      </c>
      <c r="F149" s="17" t="s">
        <v>33</v>
      </c>
      <c r="G149" s="18">
        <v>668.09928616178001</v>
      </c>
      <c r="H149" s="17" t="s">
        <v>291</v>
      </c>
    </row>
    <row r="150" spans="1:8" x14ac:dyDescent="0.3">
      <c r="A150" s="17" t="s">
        <v>132</v>
      </c>
      <c r="B150" s="17">
        <v>623</v>
      </c>
      <c r="C150" s="17">
        <v>624</v>
      </c>
      <c r="D150" s="17">
        <v>2</v>
      </c>
      <c r="E150" s="17" t="s">
        <v>31</v>
      </c>
      <c r="F150" s="17" t="s">
        <v>33</v>
      </c>
      <c r="G150" s="18">
        <v>668.09928616178001</v>
      </c>
      <c r="H150" s="17" t="s">
        <v>292</v>
      </c>
    </row>
    <row r="151" spans="1:8" x14ac:dyDescent="0.3">
      <c r="A151" s="17" t="s">
        <v>81</v>
      </c>
      <c r="B151" s="17">
        <v>625</v>
      </c>
      <c r="C151" s="17">
        <v>626</v>
      </c>
      <c r="D151" s="17">
        <v>2</v>
      </c>
      <c r="E151" s="17" t="s">
        <v>31</v>
      </c>
      <c r="F151" s="17" t="s">
        <v>33</v>
      </c>
      <c r="G151" s="18">
        <v>692.11051955106996</v>
      </c>
      <c r="H151" s="17" t="s">
        <v>293</v>
      </c>
    </row>
    <row r="152" spans="1:8" x14ac:dyDescent="0.3">
      <c r="A152" s="17" t="s">
        <v>97</v>
      </c>
      <c r="B152" s="17">
        <v>627</v>
      </c>
      <c r="C152" s="17">
        <v>630</v>
      </c>
      <c r="D152" s="17">
        <v>4</v>
      </c>
      <c r="E152" s="17" t="s">
        <v>31</v>
      </c>
      <c r="F152" s="17" t="s">
        <v>33</v>
      </c>
      <c r="G152" s="18">
        <v>1308.18119092744</v>
      </c>
      <c r="H152" s="17" t="s">
        <v>294</v>
      </c>
    </row>
    <row r="153" spans="1:8" x14ac:dyDescent="0.3">
      <c r="A153" s="17" t="s">
        <v>99</v>
      </c>
      <c r="B153" s="17">
        <v>631</v>
      </c>
      <c r="C153" s="17">
        <v>632</v>
      </c>
      <c r="D153" s="17">
        <v>2</v>
      </c>
      <c r="E153" s="17" t="s">
        <v>31</v>
      </c>
      <c r="F153" s="17" t="s">
        <v>33</v>
      </c>
      <c r="G153" s="18">
        <v>683.09895180914998</v>
      </c>
      <c r="H153" s="17" t="s">
        <v>295</v>
      </c>
    </row>
    <row r="154" spans="1:8" x14ac:dyDescent="0.3">
      <c r="A154" s="17" t="s">
        <v>296</v>
      </c>
      <c r="B154" s="17">
        <v>633</v>
      </c>
      <c r="C154" s="17">
        <v>638</v>
      </c>
      <c r="D154" s="17">
        <v>6</v>
      </c>
      <c r="E154" s="17" t="s">
        <v>31</v>
      </c>
      <c r="F154" s="17" t="s">
        <v>33</v>
      </c>
      <c r="G154" s="18">
        <v>1981.2858968243099</v>
      </c>
      <c r="H154" s="17" t="s">
        <v>297</v>
      </c>
    </row>
    <row r="155" spans="1:8" x14ac:dyDescent="0.3">
      <c r="A155" s="17" t="s">
        <v>298</v>
      </c>
      <c r="B155" s="17">
        <v>639</v>
      </c>
      <c r="C155" s="17">
        <v>645</v>
      </c>
      <c r="D155" s="17">
        <v>7</v>
      </c>
      <c r="E155" s="17" t="s">
        <v>31</v>
      </c>
      <c r="F155" s="17" t="s">
        <v>33</v>
      </c>
      <c r="G155" s="18">
        <v>2280.3390856543197</v>
      </c>
      <c r="H155" s="17" t="s">
        <v>299</v>
      </c>
    </row>
    <row r="156" spans="1:8" x14ac:dyDescent="0.3">
      <c r="A156" s="17" t="s">
        <v>181</v>
      </c>
      <c r="B156" s="17">
        <v>646</v>
      </c>
      <c r="C156" s="17">
        <v>648</v>
      </c>
      <c r="D156" s="17">
        <v>3</v>
      </c>
      <c r="E156" s="17" t="s">
        <v>31</v>
      </c>
      <c r="F156" s="17" t="s">
        <v>33</v>
      </c>
      <c r="G156" s="18">
        <v>997.15180628653002</v>
      </c>
      <c r="H156" s="17" t="s">
        <v>300</v>
      </c>
    </row>
    <row r="157" spans="1:8" x14ac:dyDescent="0.3">
      <c r="A157" s="17" t="s">
        <v>27</v>
      </c>
      <c r="B157" s="17">
        <v>649</v>
      </c>
      <c r="C157" s="17">
        <v>649</v>
      </c>
      <c r="D157" s="17">
        <v>1</v>
      </c>
      <c r="E157" s="17" t="s">
        <v>31</v>
      </c>
      <c r="F157" s="17" t="s">
        <v>33</v>
      </c>
      <c r="G157" s="18">
        <v>363.05799942632001</v>
      </c>
      <c r="H157" s="17" t="s">
        <v>301</v>
      </c>
    </row>
    <row r="158" spans="1:8" x14ac:dyDescent="0.3">
      <c r="A158" s="17" t="s">
        <v>302</v>
      </c>
      <c r="B158" s="17">
        <v>650</v>
      </c>
      <c r="C158" s="17">
        <v>659</v>
      </c>
      <c r="D158" s="17">
        <v>10</v>
      </c>
      <c r="E158" s="17" t="s">
        <v>31</v>
      </c>
      <c r="F158" s="17" t="s">
        <v>33</v>
      </c>
      <c r="G158" s="18">
        <v>3225.4622771554396</v>
      </c>
      <c r="H158" s="17" t="s">
        <v>303</v>
      </c>
    </row>
    <row r="159" spans="1:8" x14ac:dyDescent="0.3">
      <c r="A159" s="17" t="s">
        <v>304</v>
      </c>
      <c r="B159" s="17">
        <v>660</v>
      </c>
      <c r="C159" s="17">
        <v>667</v>
      </c>
      <c r="D159" s="17">
        <v>8</v>
      </c>
      <c r="E159" s="17" t="s">
        <v>31</v>
      </c>
      <c r="F159" s="17" t="s">
        <v>33</v>
      </c>
      <c r="G159" s="18">
        <v>2600.3800380371499</v>
      </c>
      <c r="H159" s="17" t="s">
        <v>305</v>
      </c>
    </row>
    <row r="160" spans="1:8" x14ac:dyDescent="0.3">
      <c r="A160" s="17" t="s">
        <v>209</v>
      </c>
      <c r="B160" s="17">
        <v>668</v>
      </c>
      <c r="C160" s="17">
        <v>671</v>
      </c>
      <c r="D160" s="17">
        <v>4</v>
      </c>
      <c r="E160" s="17" t="s">
        <v>31</v>
      </c>
      <c r="F160" s="17" t="s">
        <v>33</v>
      </c>
      <c r="G160" s="18">
        <v>1326.2043264112801</v>
      </c>
      <c r="H160" s="17" t="s">
        <v>306</v>
      </c>
    </row>
    <row r="161" spans="1:8" x14ac:dyDescent="0.3">
      <c r="A161" s="17" t="s">
        <v>307</v>
      </c>
      <c r="B161" s="17">
        <v>672</v>
      </c>
      <c r="C161" s="17">
        <v>690</v>
      </c>
      <c r="D161" s="17">
        <v>19</v>
      </c>
      <c r="E161" s="17" t="s">
        <v>31</v>
      </c>
      <c r="F161" s="17" t="s">
        <v>33</v>
      </c>
      <c r="G161" s="18">
        <v>6018.8563245531604</v>
      </c>
      <c r="H161" s="17" t="s">
        <v>308</v>
      </c>
    </row>
    <row r="162" spans="1:8" x14ac:dyDescent="0.3">
      <c r="A162" s="17" t="s">
        <v>99</v>
      </c>
      <c r="B162" s="17">
        <v>691</v>
      </c>
      <c r="C162" s="17">
        <v>692</v>
      </c>
      <c r="D162" s="17">
        <v>2</v>
      </c>
      <c r="E162" s="17" t="s">
        <v>31</v>
      </c>
      <c r="F162" s="17" t="s">
        <v>33</v>
      </c>
      <c r="G162" s="18">
        <v>683.09895180914998</v>
      </c>
      <c r="H162" s="17" t="s">
        <v>309</v>
      </c>
    </row>
    <row r="163" spans="1:8" x14ac:dyDescent="0.3">
      <c r="A163" s="17" t="s">
        <v>132</v>
      </c>
      <c r="B163" s="17">
        <v>693</v>
      </c>
      <c r="C163" s="17">
        <v>694</v>
      </c>
      <c r="D163" s="17">
        <v>2</v>
      </c>
      <c r="E163" s="17" t="s">
        <v>31</v>
      </c>
      <c r="F163" s="17" t="s">
        <v>33</v>
      </c>
      <c r="G163" s="18">
        <v>668.09928616178001</v>
      </c>
      <c r="H163" s="17" t="s">
        <v>310</v>
      </c>
    </row>
    <row r="164" spans="1:8" x14ac:dyDescent="0.3">
      <c r="A164" s="17" t="s">
        <v>27</v>
      </c>
      <c r="B164" s="17">
        <v>695</v>
      </c>
      <c r="C164" s="17">
        <v>695</v>
      </c>
      <c r="D164" s="17">
        <v>1</v>
      </c>
      <c r="E164" s="17" t="s">
        <v>31</v>
      </c>
      <c r="F164" s="17" t="s">
        <v>33</v>
      </c>
      <c r="G164" s="18">
        <v>363.05799942632001</v>
      </c>
      <c r="H164" s="17" t="s">
        <v>311</v>
      </c>
    </row>
    <row r="165" spans="1:8" x14ac:dyDescent="0.3">
      <c r="A165" s="17" t="s">
        <v>27</v>
      </c>
      <c r="B165" s="17">
        <v>696</v>
      </c>
      <c r="C165" s="17">
        <v>696</v>
      </c>
      <c r="D165" s="17">
        <v>1</v>
      </c>
      <c r="E165" s="17" t="s">
        <v>31</v>
      </c>
      <c r="F165" s="17" t="s">
        <v>33</v>
      </c>
      <c r="G165" s="18">
        <v>363.05799942632001</v>
      </c>
      <c r="H165" s="17" t="s">
        <v>312</v>
      </c>
    </row>
    <row r="166" spans="1:8" x14ac:dyDescent="0.3">
      <c r="A166" s="17" t="s">
        <v>313</v>
      </c>
      <c r="B166" s="17">
        <v>697</v>
      </c>
      <c r="C166" s="17">
        <v>701</v>
      </c>
      <c r="D166" s="17">
        <v>5</v>
      </c>
      <c r="E166" s="17" t="s">
        <v>31</v>
      </c>
      <c r="F166" s="17" t="s">
        <v>33</v>
      </c>
      <c r="G166" s="18">
        <v>1637.2337110521898</v>
      </c>
      <c r="H166" s="17" t="s">
        <v>314</v>
      </c>
    </row>
    <row r="167" spans="1:8" x14ac:dyDescent="0.3">
      <c r="A167" s="17" t="s">
        <v>315</v>
      </c>
      <c r="B167" s="17">
        <v>702</v>
      </c>
      <c r="C167" s="17">
        <v>707</v>
      </c>
      <c r="D167" s="17">
        <v>6</v>
      </c>
      <c r="E167" s="17" t="s">
        <v>31</v>
      </c>
      <c r="F167" s="17" t="s">
        <v>33</v>
      </c>
      <c r="G167" s="18">
        <v>1927.2753321402799</v>
      </c>
      <c r="H167" s="17" t="s">
        <v>316</v>
      </c>
    </row>
    <row r="168" spans="1:8" x14ac:dyDescent="0.3">
      <c r="A168" s="17" t="s">
        <v>27</v>
      </c>
      <c r="B168" s="17">
        <v>708</v>
      </c>
      <c r="C168" s="17">
        <v>708</v>
      </c>
      <c r="D168" s="17">
        <v>1</v>
      </c>
      <c r="E168" s="17" t="s">
        <v>31</v>
      </c>
      <c r="F168" s="17" t="s">
        <v>33</v>
      </c>
      <c r="G168" s="18">
        <v>363.05799942632001</v>
      </c>
      <c r="H168" s="17" t="s">
        <v>317</v>
      </c>
    </row>
    <row r="169" spans="1:8" x14ac:dyDescent="0.3">
      <c r="A169" s="17" t="s">
        <v>27</v>
      </c>
      <c r="B169" s="17">
        <v>709</v>
      </c>
      <c r="C169" s="17">
        <v>709</v>
      </c>
      <c r="D169" s="17">
        <v>1</v>
      </c>
      <c r="E169" s="17" t="s">
        <v>31</v>
      </c>
      <c r="F169" s="17" t="s">
        <v>33</v>
      </c>
      <c r="G169" s="18">
        <v>363.05799942632001</v>
      </c>
      <c r="H169" s="17" t="s">
        <v>318</v>
      </c>
    </row>
    <row r="170" spans="1:8" x14ac:dyDescent="0.3">
      <c r="A170" s="17" t="s">
        <v>319</v>
      </c>
      <c r="B170" s="17">
        <v>710</v>
      </c>
      <c r="C170" s="17">
        <v>717</v>
      </c>
      <c r="D170" s="17">
        <v>8</v>
      </c>
      <c r="E170" s="17" t="s">
        <v>31</v>
      </c>
      <c r="F170" s="17" t="s">
        <v>33</v>
      </c>
      <c r="G170" s="18">
        <v>2558.3456691640199</v>
      </c>
      <c r="H170" s="17" t="s">
        <v>320</v>
      </c>
    </row>
    <row r="171" spans="1:8" x14ac:dyDescent="0.3">
      <c r="A171" s="17" t="s">
        <v>321</v>
      </c>
      <c r="B171" s="17">
        <v>718</v>
      </c>
      <c r="C171" s="17">
        <v>722</v>
      </c>
      <c r="D171" s="17">
        <v>5</v>
      </c>
      <c r="E171" s="17" t="s">
        <v>31</v>
      </c>
      <c r="F171" s="17" t="s">
        <v>33</v>
      </c>
      <c r="G171" s="18">
        <v>1613.2224776629</v>
      </c>
      <c r="H171" s="17" t="s">
        <v>322</v>
      </c>
    </row>
    <row r="172" spans="1:8" x14ac:dyDescent="0.3">
      <c r="A172" s="17" t="s">
        <v>27</v>
      </c>
      <c r="B172" s="17">
        <v>723</v>
      </c>
      <c r="C172" s="17">
        <v>723</v>
      </c>
      <c r="D172" s="17">
        <v>1</v>
      </c>
      <c r="E172" s="17" t="s">
        <v>31</v>
      </c>
      <c r="F172" s="17" t="s">
        <v>33</v>
      </c>
      <c r="G172" s="18">
        <v>363.05799942632001</v>
      </c>
      <c r="H172" s="17" t="s">
        <v>323</v>
      </c>
    </row>
    <row r="173" spans="1:8" x14ac:dyDescent="0.3">
      <c r="A173" s="17" t="s">
        <v>324</v>
      </c>
      <c r="B173" s="17">
        <v>724</v>
      </c>
      <c r="C173" s="17">
        <v>731</v>
      </c>
      <c r="D173" s="17">
        <v>8</v>
      </c>
      <c r="E173" s="17" t="s">
        <v>31</v>
      </c>
      <c r="F173" s="17" t="s">
        <v>33</v>
      </c>
      <c r="G173" s="18">
        <v>2561.3691390004901</v>
      </c>
      <c r="H173" s="17" t="s">
        <v>325</v>
      </c>
    </row>
    <row r="174" spans="1:8" x14ac:dyDescent="0.3">
      <c r="A174" s="17" t="s">
        <v>27</v>
      </c>
      <c r="B174" s="17">
        <v>732</v>
      </c>
      <c r="C174" s="17">
        <v>732</v>
      </c>
      <c r="D174" s="17">
        <v>1</v>
      </c>
      <c r="E174" s="17" t="s">
        <v>31</v>
      </c>
      <c r="F174" s="17" t="s">
        <v>33</v>
      </c>
      <c r="G174" s="18">
        <v>363.05799942632001</v>
      </c>
      <c r="H174" s="17" t="s">
        <v>326</v>
      </c>
    </row>
    <row r="175" spans="1:8" x14ac:dyDescent="0.3">
      <c r="A175" s="17" t="s">
        <v>99</v>
      </c>
      <c r="B175" s="17">
        <v>733</v>
      </c>
      <c r="C175" s="17">
        <v>734</v>
      </c>
      <c r="D175" s="17">
        <v>2</v>
      </c>
      <c r="E175" s="17" t="s">
        <v>31</v>
      </c>
      <c r="F175" s="17" t="s">
        <v>33</v>
      </c>
      <c r="G175" s="18">
        <v>683.09895180914998</v>
      </c>
      <c r="H175" s="17" t="s">
        <v>327</v>
      </c>
    </row>
    <row r="176" spans="1:8" x14ac:dyDescent="0.3">
      <c r="A176" s="17" t="s">
        <v>27</v>
      </c>
      <c r="B176" s="17">
        <v>735</v>
      </c>
      <c r="C176" s="17">
        <v>735</v>
      </c>
      <c r="D176" s="17">
        <v>1</v>
      </c>
      <c r="E176" s="17" t="s">
        <v>31</v>
      </c>
      <c r="F176" s="17" t="s">
        <v>33</v>
      </c>
      <c r="G176" s="18">
        <v>363.05799942632001</v>
      </c>
      <c r="H176" s="17" t="s">
        <v>328</v>
      </c>
    </row>
    <row r="177" spans="1:8" x14ac:dyDescent="0.3">
      <c r="A177" s="17" t="s">
        <v>313</v>
      </c>
      <c r="B177" s="17">
        <v>736</v>
      </c>
      <c r="C177" s="17">
        <v>740</v>
      </c>
      <c r="D177" s="17">
        <v>5</v>
      </c>
      <c r="E177" s="17" t="s">
        <v>31</v>
      </c>
      <c r="F177" s="17" t="s">
        <v>33</v>
      </c>
      <c r="G177" s="18">
        <v>1637.2337110521898</v>
      </c>
      <c r="H177" s="17" t="s">
        <v>329</v>
      </c>
    </row>
    <row r="178" spans="1:8" x14ac:dyDescent="0.3">
      <c r="A178" s="17" t="s">
        <v>330</v>
      </c>
      <c r="B178" s="17">
        <v>741</v>
      </c>
      <c r="C178" s="17">
        <v>747</v>
      </c>
      <c r="D178" s="17">
        <v>7</v>
      </c>
      <c r="E178" s="17" t="s">
        <v>31</v>
      </c>
      <c r="F178" s="17" t="s">
        <v>33</v>
      </c>
      <c r="G178" s="18">
        <v>2232.31661887574</v>
      </c>
      <c r="H178" s="17" t="s">
        <v>331</v>
      </c>
    </row>
    <row r="179" spans="1:8" x14ac:dyDescent="0.3">
      <c r="A179" s="17" t="s">
        <v>27</v>
      </c>
      <c r="B179" s="17">
        <v>748</v>
      </c>
      <c r="C179" s="17">
        <v>748</v>
      </c>
      <c r="D179" s="17">
        <v>1</v>
      </c>
      <c r="E179" s="17" t="s">
        <v>31</v>
      </c>
      <c r="F179" s="17" t="s">
        <v>33</v>
      </c>
      <c r="G179" s="18">
        <v>363.05799942632001</v>
      </c>
      <c r="H179" s="17" t="s">
        <v>332</v>
      </c>
    </row>
    <row r="180" spans="1:8" x14ac:dyDescent="0.3">
      <c r="A180" s="17" t="s">
        <v>333</v>
      </c>
      <c r="B180" s="17">
        <v>749</v>
      </c>
      <c r="C180" s="17">
        <v>763</v>
      </c>
      <c r="D180" s="17">
        <v>15</v>
      </c>
      <c r="E180" s="17" t="s">
        <v>31</v>
      </c>
      <c r="F180" s="17" t="s">
        <v>33</v>
      </c>
      <c r="G180" s="18">
        <v>4783.6915119639498</v>
      </c>
      <c r="H180" s="17" t="s">
        <v>334</v>
      </c>
    </row>
    <row r="181" spans="1:8" x14ac:dyDescent="0.3">
      <c r="A181" s="17" t="s">
        <v>27</v>
      </c>
      <c r="B181" s="17">
        <v>764</v>
      </c>
      <c r="C181" s="17">
        <v>764</v>
      </c>
      <c r="D181" s="17">
        <v>1</v>
      </c>
      <c r="E181" s="17" t="s">
        <v>31</v>
      </c>
      <c r="F181" s="17" t="s">
        <v>33</v>
      </c>
      <c r="G181" s="18">
        <v>363.05799942632001</v>
      </c>
      <c r="H181" s="17" t="s">
        <v>335</v>
      </c>
    </row>
    <row r="182" spans="1:8" x14ac:dyDescent="0.3">
      <c r="A182" s="17" t="s">
        <v>336</v>
      </c>
      <c r="B182" s="17">
        <v>765</v>
      </c>
      <c r="C182" s="17">
        <v>770</v>
      </c>
      <c r="D182" s="17">
        <v>6</v>
      </c>
      <c r="E182" s="17" t="s">
        <v>31</v>
      </c>
      <c r="F182" s="17" t="s">
        <v>33</v>
      </c>
      <c r="G182" s="18">
        <v>1957.2746634350199</v>
      </c>
      <c r="H182" s="17" t="s">
        <v>337</v>
      </c>
    </row>
    <row r="183" spans="1:8" x14ac:dyDescent="0.3">
      <c r="A183" s="17" t="s">
        <v>338</v>
      </c>
      <c r="B183" s="17">
        <v>771</v>
      </c>
      <c r="C183" s="17">
        <v>776</v>
      </c>
      <c r="D183" s="17">
        <v>6</v>
      </c>
      <c r="E183" s="17" t="s">
        <v>31</v>
      </c>
      <c r="F183" s="17" t="s">
        <v>33</v>
      </c>
      <c r="G183" s="18">
        <v>1951.2865655295702</v>
      </c>
      <c r="H183" s="17" t="s">
        <v>339</v>
      </c>
    </row>
    <row r="184" spans="1:8" x14ac:dyDescent="0.3">
      <c r="A184" s="17" t="s">
        <v>105</v>
      </c>
      <c r="B184" s="17">
        <v>777</v>
      </c>
      <c r="C184" s="17">
        <v>779</v>
      </c>
      <c r="D184" s="17">
        <v>3</v>
      </c>
      <c r="E184" s="17" t="s">
        <v>31</v>
      </c>
      <c r="F184" s="17" t="s">
        <v>33</v>
      </c>
      <c r="G184" s="18">
        <v>988.14023854460993</v>
      </c>
      <c r="H184" s="17" t="s">
        <v>340</v>
      </c>
    </row>
    <row r="185" spans="1:8" x14ac:dyDescent="0.3">
      <c r="A185" s="17" t="s">
        <v>27</v>
      </c>
      <c r="B185" s="17">
        <v>780</v>
      </c>
      <c r="C185" s="17">
        <v>780</v>
      </c>
      <c r="D185" s="17">
        <v>1</v>
      </c>
      <c r="E185" s="17" t="s">
        <v>31</v>
      </c>
      <c r="F185" s="17" t="s">
        <v>33</v>
      </c>
      <c r="G185" s="18">
        <v>363.05799942632001</v>
      </c>
      <c r="H185" s="17" t="s">
        <v>341</v>
      </c>
    </row>
    <row r="186" spans="1:8" x14ac:dyDescent="0.3">
      <c r="A186" s="17" t="s">
        <v>342</v>
      </c>
      <c r="B186" s="17">
        <v>781</v>
      </c>
      <c r="C186" s="17">
        <v>785</v>
      </c>
      <c r="D186" s="17">
        <v>5</v>
      </c>
      <c r="E186" s="17" t="s">
        <v>31</v>
      </c>
      <c r="F186" s="17" t="s">
        <v>33</v>
      </c>
      <c r="G186" s="18">
        <v>1598.2228120155301</v>
      </c>
      <c r="H186" s="17" t="s">
        <v>343</v>
      </c>
    </row>
    <row r="187" spans="1:8" x14ac:dyDescent="0.3">
      <c r="A187" s="17" t="s">
        <v>58</v>
      </c>
      <c r="B187" s="17">
        <v>786</v>
      </c>
      <c r="C187" s="17">
        <v>790</v>
      </c>
      <c r="D187" s="17">
        <v>5</v>
      </c>
      <c r="E187" s="17" t="s">
        <v>31</v>
      </c>
      <c r="F187" s="17" t="s">
        <v>33</v>
      </c>
      <c r="G187" s="18">
        <v>1631.2456131467402</v>
      </c>
      <c r="H187" s="17" t="s">
        <v>344</v>
      </c>
    </row>
    <row r="188" spans="1:8" x14ac:dyDescent="0.3">
      <c r="A188" s="17" t="s">
        <v>193</v>
      </c>
      <c r="B188" s="17">
        <v>791</v>
      </c>
      <c r="C188" s="17">
        <v>793</v>
      </c>
      <c r="D188" s="17">
        <v>3</v>
      </c>
      <c r="E188" s="17" t="s">
        <v>31</v>
      </c>
      <c r="F188" s="17" t="s">
        <v>33</v>
      </c>
      <c r="G188" s="18">
        <v>1021.1630396758201</v>
      </c>
      <c r="H188" s="17" t="s">
        <v>345</v>
      </c>
    </row>
    <row r="189" spans="1:8" x14ac:dyDescent="0.3">
      <c r="A189" s="17" t="s">
        <v>346</v>
      </c>
      <c r="B189" s="17">
        <v>794</v>
      </c>
      <c r="C189" s="17">
        <v>800</v>
      </c>
      <c r="D189" s="17">
        <v>7</v>
      </c>
      <c r="E189" s="17" t="s">
        <v>31</v>
      </c>
      <c r="F189" s="17" t="s">
        <v>33</v>
      </c>
      <c r="G189" s="18">
        <v>2247.31628452311</v>
      </c>
      <c r="H189" s="17" t="s">
        <v>347</v>
      </c>
    </row>
    <row r="190" spans="1:8" x14ac:dyDescent="0.3">
      <c r="A190" s="17" t="s">
        <v>348</v>
      </c>
      <c r="B190" s="17">
        <v>801</v>
      </c>
      <c r="C190" s="17">
        <v>807</v>
      </c>
      <c r="D190" s="17">
        <v>7</v>
      </c>
      <c r="E190" s="17" t="s">
        <v>31</v>
      </c>
      <c r="F190" s="17" t="s">
        <v>33</v>
      </c>
      <c r="G190" s="18">
        <v>2256.3278522650298</v>
      </c>
      <c r="H190" s="17" t="s">
        <v>349</v>
      </c>
    </row>
    <row r="191" spans="1:8" x14ac:dyDescent="0.3">
      <c r="A191" s="17" t="s">
        <v>27</v>
      </c>
      <c r="B191" s="17">
        <v>808</v>
      </c>
      <c r="C191" s="17">
        <v>808</v>
      </c>
      <c r="D191" s="17">
        <v>1</v>
      </c>
      <c r="E191" s="17" t="s">
        <v>31</v>
      </c>
      <c r="F191" s="17" t="s">
        <v>33</v>
      </c>
      <c r="G191" s="18">
        <v>363.05799942632001</v>
      </c>
      <c r="H191" s="17" t="s">
        <v>350</v>
      </c>
    </row>
    <row r="192" spans="1:8" x14ac:dyDescent="0.3">
      <c r="A192" s="17" t="s">
        <v>132</v>
      </c>
      <c r="B192" s="17">
        <v>809</v>
      </c>
      <c r="C192" s="17">
        <v>810</v>
      </c>
      <c r="D192" s="17">
        <v>2</v>
      </c>
      <c r="E192" s="17" t="s">
        <v>31</v>
      </c>
      <c r="F192" s="17" t="s">
        <v>33</v>
      </c>
      <c r="G192" s="18">
        <v>668.09928616178001</v>
      </c>
      <c r="H192" s="17" t="s">
        <v>351</v>
      </c>
    </row>
    <row r="193" spans="1:8" x14ac:dyDescent="0.3">
      <c r="A193" s="17" t="s">
        <v>352</v>
      </c>
      <c r="B193" s="17">
        <v>811</v>
      </c>
      <c r="C193" s="17">
        <v>814</v>
      </c>
      <c r="D193" s="17">
        <v>4</v>
      </c>
      <c r="E193" s="17" t="s">
        <v>31</v>
      </c>
      <c r="F193" s="17" t="s">
        <v>33</v>
      </c>
      <c r="G193" s="18">
        <v>1341.2039920586501</v>
      </c>
      <c r="H193" s="17" t="s">
        <v>353</v>
      </c>
    </row>
    <row r="194" spans="1:8" x14ac:dyDescent="0.3">
      <c r="A194" s="17" t="s">
        <v>263</v>
      </c>
      <c r="B194" s="17">
        <v>815</v>
      </c>
      <c r="C194" s="17">
        <v>817</v>
      </c>
      <c r="D194" s="17">
        <v>3</v>
      </c>
      <c r="E194" s="17" t="s">
        <v>31</v>
      </c>
      <c r="F194" s="17" t="s">
        <v>33</v>
      </c>
      <c r="G194" s="18">
        <v>997.15180628653002</v>
      </c>
      <c r="H194" s="17" t="s">
        <v>354</v>
      </c>
    </row>
    <row r="195" spans="1:8" x14ac:dyDescent="0.3">
      <c r="A195" s="17" t="s">
        <v>263</v>
      </c>
      <c r="B195" s="17">
        <v>818</v>
      </c>
      <c r="C195" s="17">
        <v>820</v>
      </c>
      <c r="D195" s="17">
        <v>3</v>
      </c>
      <c r="E195" s="17" t="s">
        <v>31</v>
      </c>
      <c r="F195" s="17" t="s">
        <v>33</v>
      </c>
      <c r="G195" s="18">
        <v>997.15180628653002</v>
      </c>
      <c r="H195" s="17" t="s">
        <v>355</v>
      </c>
    </row>
    <row r="196" spans="1:8" x14ac:dyDescent="0.3">
      <c r="A196" s="17" t="s">
        <v>132</v>
      </c>
      <c r="B196" s="17">
        <v>821</v>
      </c>
      <c r="C196" s="17">
        <v>822</v>
      </c>
      <c r="D196" s="17">
        <v>2</v>
      </c>
      <c r="E196" s="17" t="s">
        <v>31</v>
      </c>
      <c r="F196" s="17" t="s">
        <v>33</v>
      </c>
      <c r="G196" s="18">
        <v>668.09928616178001</v>
      </c>
      <c r="H196" s="17" t="s">
        <v>356</v>
      </c>
    </row>
    <row r="197" spans="1:8" x14ac:dyDescent="0.3">
      <c r="A197" s="17" t="s">
        <v>27</v>
      </c>
      <c r="B197" s="17">
        <v>823</v>
      </c>
      <c r="C197" s="17">
        <v>823</v>
      </c>
      <c r="D197" s="17">
        <v>1</v>
      </c>
      <c r="E197" s="17" t="s">
        <v>31</v>
      </c>
      <c r="F197" s="17" t="s">
        <v>33</v>
      </c>
      <c r="G197" s="18">
        <v>363.05799942632001</v>
      </c>
      <c r="H197" s="17" t="s">
        <v>357</v>
      </c>
    </row>
    <row r="198" spans="1:8" x14ac:dyDescent="0.3">
      <c r="A198" s="17" t="s">
        <v>249</v>
      </c>
      <c r="B198" s="17">
        <v>824</v>
      </c>
      <c r="C198" s="17">
        <v>826</v>
      </c>
      <c r="D198" s="17">
        <v>3</v>
      </c>
      <c r="E198" s="17" t="s">
        <v>31</v>
      </c>
      <c r="F198" s="17" t="s">
        <v>33</v>
      </c>
      <c r="G198" s="18">
        <v>1012.1514719339</v>
      </c>
      <c r="H198" s="17" t="s">
        <v>358</v>
      </c>
    </row>
    <row r="199" spans="1:8" x14ac:dyDescent="0.3">
      <c r="A199" s="17" t="s">
        <v>27</v>
      </c>
      <c r="B199" s="17">
        <v>827</v>
      </c>
      <c r="C199" s="17">
        <v>827</v>
      </c>
      <c r="D199" s="17">
        <v>1</v>
      </c>
      <c r="E199" s="17" t="s">
        <v>31</v>
      </c>
      <c r="F199" s="17" t="s">
        <v>33</v>
      </c>
      <c r="G199" s="18">
        <v>363.05799942632001</v>
      </c>
      <c r="H199" s="17" t="s">
        <v>359</v>
      </c>
    </row>
    <row r="200" spans="1:8" x14ac:dyDescent="0.3">
      <c r="A200" s="17" t="s">
        <v>207</v>
      </c>
      <c r="B200" s="17">
        <v>828</v>
      </c>
      <c r="C200" s="17">
        <v>831</v>
      </c>
      <c r="D200" s="17">
        <v>4</v>
      </c>
      <c r="E200" s="17" t="s">
        <v>31</v>
      </c>
      <c r="F200" s="17" t="s">
        <v>33</v>
      </c>
      <c r="G200" s="18">
        <v>1326.2043264112801</v>
      </c>
      <c r="H200" s="17" t="s">
        <v>360</v>
      </c>
    </row>
    <row r="201" spans="1:8" x14ac:dyDescent="0.3">
      <c r="A201" s="17" t="s">
        <v>105</v>
      </c>
      <c r="B201" s="17">
        <v>832</v>
      </c>
      <c r="C201" s="17">
        <v>834</v>
      </c>
      <c r="D201" s="17">
        <v>3</v>
      </c>
      <c r="E201" s="17" t="s">
        <v>31</v>
      </c>
      <c r="F201" s="17" t="s">
        <v>33</v>
      </c>
      <c r="G201" s="18">
        <v>988.14023854460993</v>
      </c>
      <c r="H201" s="17" t="s">
        <v>361</v>
      </c>
    </row>
    <row r="202" spans="1:8" x14ac:dyDescent="0.3">
      <c r="A202" s="17" t="s">
        <v>27</v>
      </c>
      <c r="B202" s="17">
        <v>835</v>
      </c>
      <c r="C202" s="17">
        <v>835</v>
      </c>
      <c r="D202" s="17">
        <v>1</v>
      </c>
      <c r="E202" s="17" t="s">
        <v>31</v>
      </c>
      <c r="F202" s="17" t="s">
        <v>33</v>
      </c>
      <c r="G202" s="18">
        <v>363.05799942632001</v>
      </c>
      <c r="H202" s="17" t="s">
        <v>362</v>
      </c>
    </row>
    <row r="203" spans="1:8" x14ac:dyDescent="0.3">
      <c r="A203" s="17" t="s">
        <v>99</v>
      </c>
      <c r="B203" s="17">
        <v>836</v>
      </c>
      <c r="C203" s="17">
        <v>837</v>
      </c>
      <c r="D203" s="17">
        <v>2</v>
      </c>
      <c r="E203" s="17" t="s">
        <v>31</v>
      </c>
      <c r="F203" s="17" t="s">
        <v>33</v>
      </c>
      <c r="G203" s="18">
        <v>683.09895180914998</v>
      </c>
      <c r="H203" s="17" t="s">
        <v>363</v>
      </c>
    </row>
    <row r="204" spans="1:8" x14ac:dyDescent="0.3">
      <c r="A204" s="17" t="s">
        <v>364</v>
      </c>
      <c r="B204" s="17">
        <v>838</v>
      </c>
      <c r="C204" s="17">
        <v>840</v>
      </c>
      <c r="D204" s="17">
        <v>3</v>
      </c>
      <c r="E204" s="17" t="s">
        <v>31</v>
      </c>
      <c r="F204" s="17" t="s">
        <v>33</v>
      </c>
      <c r="G204" s="18">
        <v>973.14057289723996</v>
      </c>
      <c r="H204" s="17" t="s">
        <v>365</v>
      </c>
    </row>
    <row r="205" spans="1:8" x14ac:dyDescent="0.3">
      <c r="A205" s="17" t="s">
        <v>364</v>
      </c>
      <c r="B205" s="17">
        <v>841</v>
      </c>
      <c r="C205" s="17">
        <v>843</v>
      </c>
      <c r="D205" s="17">
        <v>3</v>
      </c>
      <c r="E205" s="17" t="s">
        <v>31</v>
      </c>
      <c r="F205" s="17" t="s">
        <v>33</v>
      </c>
      <c r="G205" s="18">
        <v>973.14057289723996</v>
      </c>
      <c r="H205" s="17" t="s">
        <v>366</v>
      </c>
    </row>
    <row r="206" spans="1:8" x14ac:dyDescent="0.3">
      <c r="A206" s="17" t="s">
        <v>367</v>
      </c>
      <c r="B206" s="17">
        <v>844</v>
      </c>
      <c r="C206" s="17">
        <v>852</v>
      </c>
      <c r="D206" s="17">
        <v>9</v>
      </c>
      <c r="E206" s="17" t="s">
        <v>31</v>
      </c>
      <c r="F206" s="17" t="s">
        <v>33</v>
      </c>
      <c r="G206" s="18">
        <v>2911.4094226780599</v>
      </c>
      <c r="H206" s="17" t="s">
        <v>368</v>
      </c>
    </row>
    <row r="207" spans="1:8" x14ac:dyDescent="0.3">
      <c r="A207" s="17" t="s">
        <v>99</v>
      </c>
      <c r="B207" s="17">
        <v>853</v>
      </c>
      <c r="C207" s="17">
        <v>854</v>
      </c>
      <c r="D207" s="17">
        <v>2</v>
      </c>
      <c r="E207" s="17" t="s">
        <v>31</v>
      </c>
      <c r="F207" s="17" t="s">
        <v>33</v>
      </c>
      <c r="G207" s="18">
        <v>683.09895180914998</v>
      </c>
      <c r="H207" s="17" t="s">
        <v>369</v>
      </c>
    </row>
    <row r="208" spans="1:8" x14ac:dyDescent="0.3">
      <c r="A208" s="17" t="s">
        <v>27</v>
      </c>
      <c r="B208" s="17">
        <v>855</v>
      </c>
      <c r="C208" s="17">
        <v>855</v>
      </c>
      <c r="D208" s="17">
        <v>1</v>
      </c>
      <c r="E208" s="17" t="s">
        <v>31</v>
      </c>
      <c r="F208" s="17" t="s">
        <v>33</v>
      </c>
      <c r="G208" s="18">
        <v>363.05799942632001</v>
      </c>
      <c r="H208" s="17" t="s">
        <v>370</v>
      </c>
    </row>
    <row r="209" spans="1:8" x14ac:dyDescent="0.3">
      <c r="A209" s="17" t="s">
        <v>27</v>
      </c>
      <c r="B209" s="17">
        <v>856</v>
      </c>
      <c r="C209" s="17">
        <v>856</v>
      </c>
      <c r="D209" s="17">
        <v>1</v>
      </c>
      <c r="E209" s="17" t="s">
        <v>31</v>
      </c>
      <c r="F209" s="17" t="s">
        <v>33</v>
      </c>
      <c r="G209" s="18">
        <v>363.05799942632001</v>
      </c>
      <c r="H209" s="17" t="s">
        <v>371</v>
      </c>
    </row>
    <row r="210" spans="1:8" x14ac:dyDescent="0.3">
      <c r="A210" s="17" t="s">
        <v>346</v>
      </c>
      <c r="B210" s="17">
        <v>857</v>
      </c>
      <c r="C210" s="17">
        <v>863</v>
      </c>
      <c r="D210" s="17">
        <v>7</v>
      </c>
      <c r="E210" s="17" t="s">
        <v>31</v>
      </c>
      <c r="F210" s="17" t="s">
        <v>33</v>
      </c>
      <c r="G210" s="18">
        <v>2247.31628452311</v>
      </c>
      <c r="H210" s="17" t="s">
        <v>372</v>
      </c>
    </row>
    <row r="211" spans="1:8" x14ac:dyDescent="0.3">
      <c r="A211" s="17" t="s">
        <v>263</v>
      </c>
      <c r="B211" s="17">
        <v>864</v>
      </c>
      <c r="C211" s="17">
        <v>866</v>
      </c>
      <c r="D211" s="17">
        <v>3</v>
      </c>
      <c r="E211" s="17" t="s">
        <v>31</v>
      </c>
      <c r="F211" s="17" t="s">
        <v>33</v>
      </c>
      <c r="G211" s="18">
        <v>997.15180628653002</v>
      </c>
      <c r="H211" s="17" t="s">
        <v>373</v>
      </c>
    </row>
    <row r="212" spans="1:8" x14ac:dyDescent="0.3">
      <c r="A212" s="17" t="s">
        <v>374</v>
      </c>
      <c r="B212" s="17">
        <v>867</v>
      </c>
      <c r="C212" s="17">
        <v>871</v>
      </c>
      <c r="D212" s="17">
        <v>5</v>
      </c>
      <c r="E212" s="17" t="s">
        <v>31</v>
      </c>
      <c r="F212" s="17" t="s">
        <v>33</v>
      </c>
      <c r="G212" s="18">
        <v>1622.2340454048201</v>
      </c>
      <c r="H212" s="17" t="s">
        <v>375</v>
      </c>
    </row>
    <row r="213" spans="1:8" x14ac:dyDescent="0.3">
      <c r="A213" s="17" t="s">
        <v>376</v>
      </c>
      <c r="B213" s="17">
        <v>872</v>
      </c>
      <c r="C213" s="17">
        <v>881</v>
      </c>
      <c r="D213" s="17">
        <v>10</v>
      </c>
      <c r="E213" s="17" t="s">
        <v>31</v>
      </c>
      <c r="F213" s="17" t="s">
        <v>33</v>
      </c>
      <c r="G213" s="18">
        <v>3201.4510437661502</v>
      </c>
      <c r="H213" s="17" t="s">
        <v>377</v>
      </c>
    </row>
    <row r="214" spans="1:8" x14ac:dyDescent="0.3">
      <c r="A214" s="17" t="s">
        <v>105</v>
      </c>
      <c r="B214" s="17">
        <v>882</v>
      </c>
      <c r="C214" s="17">
        <v>884</v>
      </c>
      <c r="D214" s="17">
        <v>3</v>
      </c>
      <c r="E214" s="17" t="s">
        <v>31</v>
      </c>
      <c r="F214" s="17" t="s">
        <v>33</v>
      </c>
      <c r="G214" s="18">
        <v>988.14023854460993</v>
      </c>
      <c r="H214" s="17" t="s">
        <v>378</v>
      </c>
    </row>
    <row r="215" spans="1:8" x14ac:dyDescent="0.3">
      <c r="A215" s="17" t="s">
        <v>193</v>
      </c>
      <c r="B215" s="17">
        <v>885</v>
      </c>
      <c r="C215" s="17">
        <v>887</v>
      </c>
      <c r="D215" s="17">
        <v>3</v>
      </c>
      <c r="E215" s="17" t="s">
        <v>31</v>
      </c>
      <c r="F215" s="17" t="s">
        <v>33</v>
      </c>
      <c r="G215" s="18">
        <v>1021.1630396758201</v>
      </c>
      <c r="H215" s="17" t="s">
        <v>379</v>
      </c>
    </row>
    <row r="216" spans="1:8" x14ac:dyDescent="0.3">
      <c r="A216" s="17" t="s">
        <v>380</v>
      </c>
      <c r="B216" s="17">
        <v>888</v>
      </c>
      <c r="C216" s="17">
        <v>894</v>
      </c>
      <c r="D216" s="17">
        <v>7</v>
      </c>
      <c r="E216" s="17" t="s">
        <v>31</v>
      </c>
      <c r="F216" s="17" t="s">
        <v>33</v>
      </c>
      <c r="G216" s="18">
        <v>2280.3390856543197</v>
      </c>
      <c r="H216" s="17" t="s">
        <v>381</v>
      </c>
    </row>
    <row r="217" spans="1:8" x14ac:dyDescent="0.3">
      <c r="A217" s="17" t="s">
        <v>81</v>
      </c>
      <c r="B217" s="17">
        <v>895</v>
      </c>
      <c r="C217" s="17">
        <v>896</v>
      </c>
      <c r="D217" s="17">
        <v>2</v>
      </c>
      <c r="E217" s="17" t="s">
        <v>31</v>
      </c>
      <c r="F217" s="17" t="s">
        <v>33</v>
      </c>
      <c r="G217" s="18">
        <v>692.11051955106996</v>
      </c>
      <c r="H217" s="17" t="s">
        <v>382</v>
      </c>
    </row>
    <row r="218" spans="1:8" x14ac:dyDescent="0.3">
      <c r="A218" s="17" t="s">
        <v>383</v>
      </c>
      <c r="B218" s="17">
        <v>897</v>
      </c>
      <c r="C218" s="17">
        <v>900</v>
      </c>
      <c r="D218" s="17">
        <v>4</v>
      </c>
      <c r="E218" s="17" t="s">
        <v>31</v>
      </c>
      <c r="F218" s="17" t="s">
        <v>33</v>
      </c>
      <c r="G218" s="18">
        <v>1326.2043264112801</v>
      </c>
      <c r="H218" s="17" t="s">
        <v>384</v>
      </c>
    </row>
    <row r="219" spans="1:8" x14ac:dyDescent="0.3">
      <c r="A219" s="17" t="s">
        <v>27</v>
      </c>
      <c r="B219" s="17">
        <v>901</v>
      </c>
      <c r="C219" s="17">
        <v>901</v>
      </c>
      <c r="D219" s="17">
        <v>1</v>
      </c>
      <c r="E219" s="17" t="s">
        <v>31</v>
      </c>
      <c r="F219" s="17" t="s">
        <v>33</v>
      </c>
      <c r="G219" s="18">
        <v>363.05799942632001</v>
      </c>
      <c r="H219" s="17" t="s">
        <v>385</v>
      </c>
    </row>
    <row r="220" spans="1:8" x14ac:dyDescent="0.3">
      <c r="A220" s="17" t="s">
        <v>386</v>
      </c>
      <c r="B220" s="17">
        <v>902</v>
      </c>
      <c r="C220" s="17">
        <v>912</v>
      </c>
      <c r="D220" s="17">
        <v>11</v>
      </c>
      <c r="E220" s="17" t="s">
        <v>31</v>
      </c>
      <c r="F220" s="17" t="s">
        <v>33</v>
      </c>
      <c r="G220" s="18">
        <v>3500.5042325961599</v>
      </c>
      <c r="H220" s="17" t="s">
        <v>387</v>
      </c>
    </row>
    <row r="221" spans="1:8" x14ac:dyDescent="0.3">
      <c r="A221" s="17" t="s">
        <v>181</v>
      </c>
      <c r="B221" s="17">
        <v>913</v>
      </c>
      <c r="C221" s="17">
        <v>915</v>
      </c>
      <c r="D221" s="17">
        <v>3</v>
      </c>
      <c r="E221" s="17" t="s">
        <v>31</v>
      </c>
      <c r="F221" s="17" t="s">
        <v>33</v>
      </c>
      <c r="G221" s="18">
        <v>997.15180628653002</v>
      </c>
      <c r="H221" s="17" t="s">
        <v>388</v>
      </c>
    </row>
    <row r="222" spans="1:8" x14ac:dyDescent="0.3">
      <c r="A222" s="17" t="s">
        <v>364</v>
      </c>
      <c r="B222" s="17">
        <v>916</v>
      </c>
      <c r="C222" s="17">
        <v>918</v>
      </c>
      <c r="D222" s="17">
        <v>3</v>
      </c>
      <c r="E222" s="17" t="s">
        <v>31</v>
      </c>
      <c r="F222" s="17" t="s">
        <v>33</v>
      </c>
      <c r="G222" s="18">
        <v>973.14057289723996</v>
      </c>
      <c r="H222" s="17" t="s">
        <v>389</v>
      </c>
    </row>
    <row r="223" spans="1:8" x14ac:dyDescent="0.3">
      <c r="A223" s="17" t="s">
        <v>99</v>
      </c>
      <c r="B223" s="17">
        <v>919</v>
      </c>
      <c r="C223" s="17">
        <v>920</v>
      </c>
      <c r="D223" s="17">
        <v>2</v>
      </c>
      <c r="E223" s="17" t="s">
        <v>31</v>
      </c>
      <c r="F223" s="17" t="s">
        <v>33</v>
      </c>
      <c r="G223" s="18">
        <v>683.09895180914998</v>
      </c>
      <c r="H223" s="17" t="s">
        <v>390</v>
      </c>
    </row>
    <row r="224" spans="1:8" x14ac:dyDescent="0.3">
      <c r="A224" s="17" t="s">
        <v>27</v>
      </c>
      <c r="B224" s="17">
        <v>921</v>
      </c>
      <c r="C224" s="17">
        <v>921</v>
      </c>
      <c r="D224" s="17">
        <v>1</v>
      </c>
      <c r="E224" s="17" t="s">
        <v>31</v>
      </c>
      <c r="F224" s="17" t="s">
        <v>33</v>
      </c>
      <c r="G224" s="18">
        <v>363.05799942632001</v>
      </c>
      <c r="H224" s="17" t="s">
        <v>391</v>
      </c>
    </row>
    <row r="225" spans="1:8" x14ac:dyDescent="0.3">
      <c r="A225" s="17" t="s">
        <v>392</v>
      </c>
      <c r="B225" s="17">
        <v>922</v>
      </c>
      <c r="C225" s="17">
        <v>925</v>
      </c>
      <c r="D225" s="17">
        <v>4</v>
      </c>
      <c r="E225" s="17" t="s">
        <v>31</v>
      </c>
      <c r="F225" s="17" t="s">
        <v>33</v>
      </c>
      <c r="G225" s="18">
        <v>1332.19242431673</v>
      </c>
      <c r="H225" s="17" t="s">
        <v>393</v>
      </c>
    </row>
    <row r="226" spans="1:8" x14ac:dyDescent="0.3">
      <c r="A226" s="17" t="s">
        <v>99</v>
      </c>
      <c r="B226" s="17">
        <v>926</v>
      </c>
      <c r="C226" s="17">
        <v>927</v>
      </c>
      <c r="D226" s="17">
        <v>2</v>
      </c>
      <c r="E226" s="17" t="s">
        <v>31</v>
      </c>
      <c r="F226" s="17" t="s">
        <v>33</v>
      </c>
      <c r="G226" s="18">
        <v>683.09895180914998</v>
      </c>
      <c r="H226" s="17" t="s">
        <v>394</v>
      </c>
    </row>
    <row r="227" spans="1:8" x14ac:dyDescent="0.3">
      <c r="A227" s="17" t="s">
        <v>321</v>
      </c>
      <c r="B227" s="17">
        <v>928</v>
      </c>
      <c r="C227" s="17">
        <v>932</v>
      </c>
      <c r="D227" s="17">
        <v>5</v>
      </c>
      <c r="E227" s="17" t="s">
        <v>31</v>
      </c>
      <c r="F227" s="17" t="s">
        <v>33</v>
      </c>
      <c r="G227" s="18">
        <v>1613.2224776629</v>
      </c>
      <c r="H227" s="17" t="s">
        <v>395</v>
      </c>
    </row>
    <row r="228" spans="1:8" x14ac:dyDescent="0.3">
      <c r="A228" s="17" t="s">
        <v>27</v>
      </c>
      <c r="B228" s="17">
        <v>933</v>
      </c>
      <c r="C228" s="17">
        <v>933</v>
      </c>
      <c r="D228" s="17">
        <v>1</v>
      </c>
      <c r="E228" s="17" t="s">
        <v>31</v>
      </c>
      <c r="F228" s="17" t="s">
        <v>33</v>
      </c>
      <c r="G228" s="18">
        <v>363.05799942632001</v>
      </c>
      <c r="H228" s="17" t="s">
        <v>396</v>
      </c>
    </row>
    <row r="229" spans="1:8" x14ac:dyDescent="0.3">
      <c r="A229" s="17" t="s">
        <v>397</v>
      </c>
      <c r="B229" s="17">
        <v>934</v>
      </c>
      <c r="C229" s="17">
        <v>941</v>
      </c>
      <c r="D229" s="17">
        <v>8</v>
      </c>
      <c r="E229" s="17" t="s">
        <v>31</v>
      </c>
      <c r="F229" s="17" t="s">
        <v>33</v>
      </c>
      <c r="G229" s="18">
        <v>2567.3572369059398</v>
      </c>
      <c r="H229" s="17" t="s">
        <v>67</v>
      </c>
    </row>
    <row r="230" spans="1:8" x14ac:dyDescent="0.3">
      <c r="A230" s="17" t="s">
        <v>81</v>
      </c>
      <c r="B230" s="17">
        <v>942</v>
      </c>
      <c r="C230" s="17">
        <v>943</v>
      </c>
      <c r="D230" s="17">
        <v>2</v>
      </c>
      <c r="E230" s="17" t="s">
        <v>31</v>
      </c>
      <c r="F230" s="17" t="s">
        <v>33</v>
      </c>
      <c r="G230" s="18">
        <v>692.11051955106996</v>
      </c>
      <c r="H230" s="17" t="s">
        <v>398</v>
      </c>
    </row>
    <row r="231" spans="1:8" x14ac:dyDescent="0.3">
      <c r="A231" s="17" t="s">
        <v>132</v>
      </c>
      <c r="B231" s="17">
        <v>944</v>
      </c>
      <c r="C231" s="17">
        <v>945</v>
      </c>
      <c r="D231" s="17">
        <v>2</v>
      </c>
      <c r="E231" s="17" t="s">
        <v>31</v>
      </c>
      <c r="F231" s="17" t="s">
        <v>33</v>
      </c>
      <c r="G231" s="18">
        <v>668.09928616178001</v>
      </c>
      <c r="H231" s="17" t="s">
        <v>399</v>
      </c>
    </row>
    <row r="232" spans="1:8" x14ac:dyDescent="0.3">
      <c r="A232" s="17" t="s">
        <v>81</v>
      </c>
      <c r="B232" s="17">
        <v>946</v>
      </c>
      <c r="C232" s="17">
        <v>947</v>
      </c>
      <c r="D232" s="17">
        <v>2</v>
      </c>
      <c r="E232" s="17" t="s">
        <v>31</v>
      </c>
      <c r="F232" s="17" t="s">
        <v>33</v>
      </c>
      <c r="G232" s="18">
        <v>692.11051955106996</v>
      </c>
      <c r="H232" s="17" t="s">
        <v>400</v>
      </c>
    </row>
    <row r="233" spans="1:8" x14ac:dyDescent="0.3">
      <c r="A233" s="17" t="s">
        <v>401</v>
      </c>
      <c r="B233" s="17">
        <v>948</v>
      </c>
      <c r="C233" s="17">
        <v>953</v>
      </c>
      <c r="D233" s="17">
        <v>6</v>
      </c>
      <c r="E233" s="17" t="s">
        <v>31</v>
      </c>
      <c r="F233" s="17" t="s">
        <v>33</v>
      </c>
      <c r="G233" s="18">
        <v>1984.3093666607801</v>
      </c>
      <c r="H233" s="17" t="s">
        <v>402</v>
      </c>
    </row>
    <row r="234" spans="1:8" x14ac:dyDescent="0.3">
      <c r="A234" s="17" t="s">
        <v>99</v>
      </c>
      <c r="B234" s="17">
        <v>954</v>
      </c>
      <c r="C234" s="17">
        <v>955</v>
      </c>
      <c r="D234" s="17">
        <v>2</v>
      </c>
      <c r="E234" s="17" t="s">
        <v>31</v>
      </c>
      <c r="F234" s="17" t="s">
        <v>33</v>
      </c>
      <c r="G234" s="18">
        <v>683.09895180914998</v>
      </c>
      <c r="H234" s="17" t="s">
        <v>403</v>
      </c>
    </row>
    <row r="235" spans="1:8" x14ac:dyDescent="0.3">
      <c r="A235" s="17" t="s">
        <v>404</v>
      </c>
      <c r="B235" s="17">
        <v>956</v>
      </c>
      <c r="C235" s="17">
        <v>962</v>
      </c>
      <c r="D235" s="17">
        <v>7</v>
      </c>
      <c r="E235" s="17" t="s">
        <v>31</v>
      </c>
      <c r="F235" s="17" t="s">
        <v>33</v>
      </c>
      <c r="G235" s="18">
        <v>2232.31661887574</v>
      </c>
      <c r="H235" s="17" t="s">
        <v>405</v>
      </c>
    </row>
    <row r="236" spans="1:8" x14ac:dyDescent="0.3">
      <c r="A236" s="17" t="s">
        <v>193</v>
      </c>
      <c r="B236" s="17">
        <v>963</v>
      </c>
      <c r="C236" s="17">
        <v>965</v>
      </c>
      <c r="D236" s="17">
        <v>3</v>
      </c>
      <c r="E236" s="17" t="s">
        <v>31</v>
      </c>
      <c r="F236" s="17" t="s">
        <v>33</v>
      </c>
      <c r="G236" s="18">
        <v>1021.1630396758201</v>
      </c>
      <c r="H236" s="17" t="s">
        <v>406</v>
      </c>
    </row>
    <row r="237" spans="1:8" x14ac:dyDescent="0.3">
      <c r="A237" s="17" t="s">
        <v>407</v>
      </c>
      <c r="B237" s="17">
        <v>966</v>
      </c>
      <c r="C237" s="17">
        <v>975</v>
      </c>
      <c r="D237" s="17">
        <v>10</v>
      </c>
      <c r="E237" s="17" t="s">
        <v>31</v>
      </c>
      <c r="F237" s="17" t="s">
        <v>33</v>
      </c>
      <c r="G237" s="18">
        <v>3177.4398103768599</v>
      </c>
      <c r="H237" s="17" t="s">
        <v>408</v>
      </c>
    </row>
    <row r="238" spans="1:8" x14ac:dyDescent="0.3">
      <c r="A238" s="17" t="s">
        <v>99</v>
      </c>
      <c r="B238" s="17">
        <v>976</v>
      </c>
      <c r="C238" s="17">
        <v>977</v>
      </c>
      <c r="D238" s="17">
        <v>2</v>
      </c>
      <c r="E238" s="17" t="s">
        <v>31</v>
      </c>
      <c r="F238" s="17" t="s">
        <v>33</v>
      </c>
      <c r="G238" s="18">
        <v>683.09895180914998</v>
      </c>
      <c r="H238" s="17" t="s">
        <v>409</v>
      </c>
    </row>
    <row r="239" spans="1:8" x14ac:dyDescent="0.3">
      <c r="A239" s="17" t="s">
        <v>27</v>
      </c>
      <c r="B239" s="17">
        <v>978</v>
      </c>
      <c r="C239" s="17">
        <v>978</v>
      </c>
      <c r="D239" s="17">
        <v>1</v>
      </c>
      <c r="E239" s="17" t="s">
        <v>31</v>
      </c>
      <c r="F239" s="17" t="s">
        <v>33</v>
      </c>
      <c r="G239" s="18">
        <v>363.05799942632001</v>
      </c>
      <c r="H239" s="17" t="s">
        <v>410</v>
      </c>
    </row>
    <row r="240" spans="1:8" x14ac:dyDescent="0.3">
      <c r="A240" s="17" t="s">
        <v>411</v>
      </c>
      <c r="B240" s="17">
        <v>979</v>
      </c>
      <c r="C240" s="17">
        <v>983</v>
      </c>
      <c r="D240" s="17">
        <v>5</v>
      </c>
      <c r="E240" s="17" t="s">
        <v>31</v>
      </c>
      <c r="F240" s="17" t="s">
        <v>33</v>
      </c>
      <c r="G240" s="18">
        <v>1679.2680799253201</v>
      </c>
      <c r="H240" s="17" t="s">
        <v>412</v>
      </c>
    </row>
    <row r="241" spans="1:8" x14ac:dyDescent="0.3">
      <c r="A241" s="17" t="s">
        <v>27</v>
      </c>
      <c r="B241" s="17">
        <v>984</v>
      </c>
      <c r="C241" s="17">
        <v>984</v>
      </c>
      <c r="D241" s="17">
        <v>1</v>
      </c>
      <c r="E241" s="17" t="s">
        <v>31</v>
      </c>
      <c r="F241" s="17" t="s">
        <v>33</v>
      </c>
      <c r="G241" s="18">
        <v>363.05799942632001</v>
      </c>
      <c r="H241" s="17" t="s">
        <v>413</v>
      </c>
    </row>
    <row r="242" spans="1:8" x14ac:dyDescent="0.3">
      <c r="A242" s="17" t="s">
        <v>27</v>
      </c>
      <c r="B242" s="17">
        <v>985</v>
      </c>
      <c r="C242" s="17">
        <v>985</v>
      </c>
      <c r="D242" s="17">
        <v>1</v>
      </c>
      <c r="E242" s="17" t="s">
        <v>31</v>
      </c>
      <c r="F242" s="17" t="s">
        <v>33</v>
      </c>
      <c r="G242" s="18">
        <v>363.05799942632001</v>
      </c>
      <c r="H242" s="17" t="s">
        <v>414</v>
      </c>
    </row>
    <row r="243" spans="1:8" x14ac:dyDescent="0.3">
      <c r="A243" s="17" t="s">
        <v>415</v>
      </c>
      <c r="B243" s="17">
        <v>986</v>
      </c>
      <c r="C243" s="17">
        <v>995</v>
      </c>
      <c r="D243" s="17">
        <v>10</v>
      </c>
      <c r="E243" s="17" t="s">
        <v>31</v>
      </c>
      <c r="F243" s="17" t="s">
        <v>33</v>
      </c>
      <c r="G243" s="18">
        <v>3210.46261150807</v>
      </c>
      <c r="H243" s="17" t="s">
        <v>416</v>
      </c>
    </row>
    <row r="244" spans="1:8" x14ac:dyDescent="0.3">
      <c r="A244" s="17" t="s">
        <v>51</v>
      </c>
      <c r="B244" s="17">
        <v>996</v>
      </c>
      <c r="C244" s="17">
        <v>1000</v>
      </c>
      <c r="D244" s="17">
        <v>5</v>
      </c>
      <c r="E244" s="17" t="s">
        <v>31</v>
      </c>
      <c r="F244" s="17" t="s">
        <v>33</v>
      </c>
      <c r="G244" s="18">
        <v>1631.2456131467402</v>
      </c>
      <c r="H244" s="17" t="s">
        <v>417</v>
      </c>
    </row>
    <row r="245" spans="1:8" x14ac:dyDescent="0.3">
      <c r="A245" s="17" t="s">
        <v>418</v>
      </c>
      <c r="B245" s="17">
        <v>1001</v>
      </c>
      <c r="C245" s="17">
        <v>1009</v>
      </c>
      <c r="D245" s="17">
        <v>9</v>
      </c>
      <c r="E245" s="17" t="s">
        <v>31</v>
      </c>
      <c r="F245" s="17" t="s">
        <v>33</v>
      </c>
      <c r="G245" s="18">
        <v>2881.4100913833204</v>
      </c>
      <c r="H245" s="17" t="s">
        <v>419</v>
      </c>
    </row>
    <row r="246" spans="1:8" x14ac:dyDescent="0.3">
      <c r="A246" s="17" t="s">
        <v>27</v>
      </c>
      <c r="B246" s="17">
        <v>1010</v>
      </c>
      <c r="C246" s="17">
        <v>1010</v>
      </c>
      <c r="D246" s="17">
        <v>1</v>
      </c>
      <c r="E246" s="17" t="s">
        <v>31</v>
      </c>
      <c r="F246" s="17" t="s">
        <v>33</v>
      </c>
      <c r="G246" s="18">
        <v>363.05799942632001</v>
      </c>
      <c r="H246" s="17" t="s">
        <v>420</v>
      </c>
    </row>
    <row r="247" spans="1:8" x14ac:dyDescent="0.3">
      <c r="A247" s="17" t="s">
        <v>27</v>
      </c>
      <c r="B247" s="17">
        <v>1011</v>
      </c>
      <c r="C247" s="17">
        <v>1011</v>
      </c>
      <c r="D247" s="17">
        <v>1</v>
      </c>
      <c r="E247" s="17" t="s">
        <v>31</v>
      </c>
      <c r="F247" s="17" t="s">
        <v>33</v>
      </c>
      <c r="G247" s="18">
        <v>363.05799942632001</v>
      </c>
      <c r="H247" s="17" t="s">
        <v>421</v>
      </c>
    </row>
    <row r="248" spans="1:8" x14ac:dyDescent="0.3">
      <c r="A248" s="17" t="s">
        <v>99</v>
      </c>
      <c r="B248" s="17">
        <v>1012</v>
      </c>
      <c r="C248" s="17">
        <v>1013</v>
      </c>
      <c r="D248" s="17">
        <v>2</v>
      </c>
      <c r="E248" s="17" t="s">
        <v>31</v>
      </c>
      <c r="F248" s="17" t="s">
        <v>33</v>
      </c>
      <c r="G248" s="18">
        <v>683.09895180914998</v>
      </c>
      <c r="H248" s="17" t="s">
        <v>422</v>
      </c>
    </row>
    <row r="249" spans="1:8" x14ac:dyDescent="0.3">
      <c r="A249" s="17" t="s">
        <v>263</v>
      </c>
      <c r="B249" s="17">
        <v>1014</v>
      </c>
      <c r="C249" s="17">
        <v>1016</v>
      </c>
      <c r="D249" s="17">
        <v>3</v>
      </c>
      <c r="E249" s="17" t="s">
        <v>31</v>
      </c>
      <c r="F249" s="17" t="s">
        <v>33</v>
      </c>
      <c r="G249" s="18">
        <v>997.15180628653002</v>
      </c>
      <c r="H249" s="17" t="s">
        <v>423</v>
      </c>
    </row>
    <row r="250" spans="1:8" x14ac:dyDescent="0.3">
      <c r="A250" s="17" t="s">
        <v>424</v>
      </c>
      <c r="B250" s="17">
        <v>1017</v>
      </c>
      <c r="C250" s="17">
        <v>1023</v>
      </c>
      <c r="D250" s="17">
        <v>7</v>
      </c>
      <c r="E250" s="17" t="s">
        <v>31</v>
      </c>
      <c r="F250" s="17" t="s">
        <v>33</v>
      </c>
      <c r="G250" s="18">
        <v>2217.31695322837</v>
      </c>
      <c r="H250" s="17" t="s">
        <v>425</v>
      </c>
    </row>
    <row r="251" spans="1:8" x14ac:dyDescent="0.3">
      <c r="A251" s="17" t="s">
        <v>426</v>
      </c>
      <c r="B251" s="17">
        <v>1024</v>
      </c>
      <c r="C251" s="17">
        <v>1032</v>
      </c>
      <c r="D251" s="17">
        <v>9</v>
      </c>
      <c r="E251" s="17" t="s">
        <v>31</v>
      </c>
      <c r="F251" s="17" t="s">
        <v>33</v>
      </c>
      <c r="G251" s="18">
        <v>2905.4213247726098</v>
      </c>
      <c r="H251" s="17" t="s">
        <v>427</v>
      </c>
    </row>
    <row r="252" spans="1:8" x14ac:dyDescent="0.3">
      <c r="A252" s="17" t="s">
        <v>99</v>
      </c>
      <c r="B252" s="17">
        <v>1033</v>
      </c>
      <c r="C252" s="17">
        <v>1034</v>
      </c>
      <c r="D252" s="17">
        <v>2</v>
      </c>
      <c r="E252" s="17" t="s">
        <v>31</v>
      </c>
      <c r="F252" s="17" t="s">
        <v>33</v>
      </c>
      <c r="G252" s="18">
        <v>683.09895180914998</v>
      </c>
      <c r="H252" s="17" t="s">
        <v>428</v>
      </c>
    </row>
    <row r="253" spans="1:8" x14ac:dyDescent="0.3">
      <c r="A253" s="17" t="s">
        <v>132</v>
      </c>
      <c r="B253" s="17">
        <v>1035</v>
      </c>
      <c r="C253" s="17">
        <v>1036</v>
      </c>
      <c r="D253" s="17">
        <v>2</v>
      </c>
      <c r="E253" s="17" t="s">
        <v>31</v>
      </c>
      <c r="F253" s="17" t="s">
        <v>33</v>
      </c>
      <c r="G253" s="18">
        <v>668.09928616178001</v>
      </c>
      <c r="H253" s="17" t="s">
        <v>429</v>
      </c>
    </row>
    <row r="254" spans="1:8" x14ac:dyDescent="0.3">
      <c r="A254" s="17" t="s">
        <v>27</v>
      </c>
      <c r="B254" s="17">
        <v>1037</v>
      </c>
      <c r="C254" s="17">
        <v>1037</v>
      </c>
      <c r="D254" s="17">
        <v>1</v>
      </c>
      <c r="E254" s="17" t="s">
        <v>31</v>
      </c>
      <c r="F254" s="17" t="s">
        <v>33</v>
      </c>
      <c r="G254" s="18">
        <v>363.05799942632001</v>
      </c>
      <c r="H254" s="17" t="s">
        <v>430</v>
      </c>
    </row>
    <row r="255" spans="1:8" x14ac:dyDescent="0.3">
      <c r="A255" s="17" t="s">
        <v>431</v>
      </c>
      <c r="B255" s="17">
        <v>1038</v>
      </c>
      <c r="C255" s="17">
        <v>1058</v>
      </c>
      <c r="D255" s="17">
        <v>21</v>
      </c>
      <c r="E255" s="17" t="s">
        <v>31</v>
      </c>
      <c r="F255" s="17" t="s">
        <v>33</v>
      </c>
      <c r="G255" s="18">
        <v>6697.9491283554798</v>
      </c>
      <c r="H255" s="17" t="s">
        <v>432</v>
      </c>
    </row>
    <row r="256" spans="1:8" x14ac:dyDescent="0.3">
      <c r="A256" s="17" t="s">
        <v>99</v>
      </c>
      <c r="B256" s="17">
        <v>1059</v>
      </c>
      <c r="C256" s="17">
        <v>1060</v>
      </c>
      <c r="D256" s="17">
        <v>2</v>
      </c>
      <c r="E256" s="17" t="s">
        <v>31</v>
      </c>
      <c r="F256" s="17" t="s">
        <v>33</v>
      </c>
      <c r="G256" s="18">
        <v>683.09895180914998</v>
      </c>
      <c r="H256" s="17" t="s">
        <v>433</v>
      </c>
    </row>
    <row r="257" spans="1:8" x14ac:dyDescent="0.3">
      <c r="A257" s="17" t="s">
        <v>434</v>
      </c>
      <c r="B257" s="17">
        <v>1061</v>
      </c>
      <c r="C257" s="17">
        <v>1068</v>
      </c>
      <c r="D257" s="17">
        <v>8</v>
      </c>
      <c r="E257" s="17" t="s">
        <v>31</v>
      </c>
      <c r="F257" s="17" t="s">
        <v>33</v>
      </c>
      <c r="G257" s="18">
        <v>2528.34633786928</v>
      </c>
      <c r="H257" s="17" t="s">
        <v>435</v>
      </c>
    </row>
    <row r="258" spans="1:8" x14ac:dyDescent="0.3">
      <c r="A258" s="17" t="s">
        <v>27</v>
      </c>
      <c r="B258" s="17">
        <v>1069</v>
      </c>
      <c r="C258" s="17">
        <v>1069</v>
      </c>
      <c r="D258" s="17">
        <v>1</v>
      </c>
      <c r="E258" s="17" t="s">
        <v>31</v>
      </c>
      <c r="F258" s="17" t="s">
        <v>33</v>
      </c>
      <c r="G258" s="18">
        <v>363.05799942632001</v>
      </c>
      <c r="H258" s="17" t="s">
        <v>68</v>
      </c>
    </row>
    <row r="259" spans="1:8" x14ac:dyDescent="0.3">
      <c r="A259" s="17" t="s">
        <v>132</v>
      </c>
      <c r="B259" s="17">
        <v>1070</v>
      </c>
      <c r="C259" s="17">
        <v>1071</v>
      </c>
      <c r="D259" s="17">
        <v>2</v>
      </c>
      <c r="E259" s="17" t="s">
        <v>31</v>
      </c>
      <c r="F259" s="17" t="s">
        <v>33</v>
      </c>
      <c r="G259" s="18">
        <v>668.09928616178001</v>
      </c>
      <c r="H259" s="17" t="s">
        <v>436</v>
      </c>
    </row>
    <row r="260" spans="1:8" x14ac:dyDescent="0.3">
      <c r="A260" s="17" t="s">
        <v>81</v>
      </c>
      <c r="B260" s="17">
        <v>1072</v>
      </c>
      <c r="C260" s="17">
        <v>1073</v>
      </c>
      <c r="D260" s="17">
        <v>2</v>
      </c>
      <c r="E260" s="17" t="s">
        <v>31</v>
      </c>
      <c r="F260" s="17" t="s">
        <v>33</v>
      </c>
      <c r="G260" s="18">
        <v>692.11051955106996</v>
      </c>
      <c r="H260" s="17" t="s">
        <v>437</v>
      </c>
    </row>
    <row r="261" spans="1:8" x14ac:dyDescent="0.3">
      <c r="A261" s="17" t="s">
        <v>27</v>
      </c>
      <c r="B261" s="17">
        <v>1074</v>
      </c>
      <c r="C261" s="17">
        <v>1074</v>
      </c>
      <c r="D261" s="17">
        <v>1</v>
      </c>
      <c r="E261" s="17" t="s">
        <v>31</v>
      </c>
      <c r="F261" s="17" t="s">
        <v>33</v>
      </c>
      <c r="G261" s="18">
        <v>363.05799942632001</v>
      </c>
      <c r="H261" s="17" t="s">
        <v>438</v>
      </c>
    </row>
    <row r="262" spans="1:8" x14ac:dyDescent="0.3">
      <c r="A262" s="17" t="s">
        <v>99</v>
      </c>
      <c r="B262" s="17">
        <v>1075</v>
      </c>
      <c r="C262" s="17">
        <v>1076</v>
      </c>
      <c r="D262" s="17">
        <v>2</v>
      </c>
      <c r="E262" s="17" t="s">
        <v>31</v>
      </c>
      <c r="F262" s="17" t="s">
        <v>33</v>
      </c>
      <c r="G262" s="18">
        <v>683.09895180914998</v>
      </c>
      <c r="H262" s="17" t="s">
        <v>439</v>
      </c>
    </row>
    <row r="263" spans="1:8" x14ac:dyDescent="0.3">
      <c r="A263" s="17" t="s">
        <v>440</v>
      </c>
      <c r="B263" s="17">
        <v>1077</v>
      </c>
      <c r="C263" s="17">
        <v>1083</v>
      </c>
      <c r="D263" s="17">
        <v>7</v>
      </c>
      <c r="E263" s="17" t="s">
        <v>31</v>
      </c>
      <c r="F263" s="17" t="s">
        <v>33</v>
      </c>
      <c r="G263" s="18">
        <v>2286.3271835597698</v>
      </c>
      <c r="H263" s="17" t="s">
        <v>441</v>
      </c>
    </row>
    <row r="264" spans="1:8" x14ac:dyDescent="0.3">
      <c r="A264" s="17" t="s">
        <v>442</v>
      </c>
      <c r="B264" s="17">
        <v>1084</v>
      </c>
      <c r="C264" s="17">
        <v>1090</v>
      </c>
      <c r="D264" s="17">
        <v>7</v>
      </c>
      <c r="E264" s="17" t="s">
        <v>31</v>
      </c>
      <c r="F264" s="17" t="s">
        <v>33</v>
      </c>
      <c r="G264" s="18">
        <v>2241.3281866176603</v>
      </c>
      <c r="H264" s="17" t="s">
        <v>443</v>
      </c>
    </row>
    <row r="265" spans="1:8" x14ac:dyDescent="0.3">
      <c r="A265" s="17" t="s">
        <v>173</v>
      </c>
      <c r="B265" s="17">
        <v>1091</v>
      </c>
      <c r="C265" s="17">
        <v>1095</v>
      </c>
      <c r="D265" s="17">
        <v>5</v>
      </c>
      <c r="E265" s="17" t="s">
        <v>31</v>
      </c>
      <c r="F265" s="17" t="s">
        <v>33</v>
      </c>
      <c r="G265" s="18">
        <v>1637.2337110521898</v>
      </c>
      <c r="H265" s="17" t="s">
        <v>444</v>
      </c>
    </row>
    <row r="266" spans="1:8" x14ac:dyDescent="0.3">
      <c r="A266" s="17" t="s">
        <v>108</v>
      </c>
      <c r="B266" s="17">
        <v>1096</v>
      </c>
      <c r="C266" s="17">
        <v>1101</v>
      </c>
      <c r="D266" s="17">
        <v>6</v>
      </c>
      <c r="E266" s="17" t="s">
        <v>31</v>
      </c>
      <c r="F266" s="17" t="s">
        <v>33</v>
      </c>
      <c r="G266" s="18">
        <v>1918.2637643983599</v>
      </c>
      <c r="H266" s="17" t="s">
        <v>445</v>
      </c>
    </row>
    <row r="267" spans="1:8" x14ac:dyDescent="0.3">
      <c r="A267" s="17" t="s">
        <v>99</v>
      </c>
      <c r="B267" s="17">
        <v>1102</v>
      </c>
      <c r="C267" s="17">
        <v>1103</v>
      </c>
      <c r="D267" s="17">
        <v>2</v>
      </c>
      <c r="E267" s="17" t="s">
        <v>31</v>
      </c>
      <c r="F267" s="17" t="s">
        <v>33</v>
      </c>
      <c r="G267" s="18">
        <v>683.09895180914998</v>
      </c>
      <c r="H267" s="17" t="s">
        <v>446</v>
      </c>
    </row>
    <row r="268" spans="1:8" x14ac:dyDescent="0.3">
      <c r="A268" s="17" t="s">
        <v>271</v>
      </c>
      <c r="B268" s="17">
        <v>1104</v>
      </c>
      <c r="C268" s="17">
        <v>1107</v>
      </c>
      <c r="D268" s="17">
        <v>4</v>
      </c>
      <c r="E268" s="17" t="s">
        <v>31</v>
      </c>
      <c r="F268" s="17" t="s">
        <v>33</v>
      </c>
      <c r="G268" s="18">
        <v>1317.19275866936</v>
      </c>
      <c r="H268" s="17" t="s">
        <v>447</v>
      </c>
    </row>
    <row r="269" spans="1:8" x14ac:dyDescent="0.3">
      <c r="A269" s="17" t="s">
        <v>214</v>
      </c>
      <c r="B269" s="17">
        <v>1108</v>
      </c>
      <c r="C269" s="17">
        <v>1111</v>
      </c>
      <c r="D269" s="17">
        <v>4</v>
      </c>
      <c r="E269" s="17" t="s">
        <v>31</v>
      </c>
      <c r="F269" s="17" t="s">
        <v>33</v>
      </c>
      <c r="G269" s="18">
        <v>1293.18152528007</v>
      </c>
      <c r="H269" s="17" t="s">
        <v>448</v>
      </c>
    </row>
    <row r="270" spans="1:8" x14ac:dyDescent="0.3">
      <c r="A270" s="17" t="s">
        <v>27</v>
      </c>
      <c r="B270" s="17">
        <v>1112</v>
      </c>
      <c r="C270" s="17">
        <v>1112</v>
      </c>
      <c r="D270" s="17">
        <v>1</v>
      </c>
      <c r="E270" s="17" t="s">
        <v>31</v>
      </c>
      <c r="F270" s="17" t="s">
        <v>33</v>
      </c>
      <c r="G270" s="18">
        <v>363.05799942632001</v>
      </c>
      <c r="H270" s="17" t="s">
        <v>449</v>
      </c>
    </row>
    <row r="271" spans="1:8" x14ac:dyDescent="0.3">
      <c r="A271" s="17" t="s">
        <v>52</v>
      </c>
      <c r="B271" s="17">
        <v>1113</v>
      </c>
      <c r="C271" s="17">
        <v>1117</v>
      </c>
      <c r="D271" s="17">
        <v>5</v>
      </c>
      <c r="E271" s="17" t="s">
        <v>31</v>
      </c>
      <c r="F271" s="17" t="s">
        <v>33</v>
      </c>
      <c r="G271" s="18">
        <v>1631.2456131467402</v>
      </c>
      <c r="H271" s="17" t="s">
        <v>450</v>
      </c>
    </row>
    <row r="272" spans="1:8" x14ac:dyDescent="0.3">
      <c r="A272" s="17" t="s">
        <v>27</v>
      </c>
      <c r="B272" s="17">
        <v>1118</v>
      </c>
      <c r="C272" s="17">
        <v>1118</v>
      </c>
      <c r="D272" s="17">
        <v>1</v>
      </c>
      <c r="E272" s="17" t="s">
        <v>31</v>
      </c>
      <c r="F272" s="17" t="s">
        <v>33</v>
      </c>
      <c r="G272" s="18">
        <v>363.05799942632001</v>
      </c>
      <c r="H272" s="17" t="s">
        <v>451</v>
      </c>
    </row>
    <row r="273" spans="1:8" x14ac:dyDescent="0.3">
      <c r="A273" s="17" t="s">
        <v>193</v>
      </c>
      <c r="B273" s="17">
        <v>1119</v>
      </c>
      <c r="C273" s="17">
        <v>1121</v>
      </c>
      <c r="D273" s="17">
        <v>3</v>
      </c>
      <c r="E273" s="17" t="s">
        <v>31</v>
      </c>
      <c r="F273" s="17" t="s">
        <v>33</v>
      </c>
      <c r="G273" s="18">
        <v>1021.1630396758201</v>
      </c>
      <c r="H273" s="17" t="s">
        <v>452</v>
      </c>
    </row>
    <row r="274" spans="1:8" x14ac:dyDescent="0.3">
      <c r="A274" s="17" t="s">
        <v>132</v>
      </c>
      <c r="B274" s="17">
        <v>1122</v>
      </c>
      <c r="C274" s="17">
        <v>1123</v>
      </c>
      <c r="D274" s="17">
        <v>2</v>
      </c>
      <c r="E274" s="17" t="s">
        <v>31</v>
      </c>
      <c r="F274" s="17" t="s">
        <v>33</v>
      </c>
      <c r="G274" s="18">
        <v>668.09928616178001</v>
      </c>
      <c r="H274" s="17" t="s">
        <v>453</v>
      </c>
    </row>
    <row r="275" spans="1:8" x14ac:dyDescent="0.3">
      <c r="A275" s="17" t="s">
        <v>27</v>
      </c>
      <c r="B275" s="17">
        <v>1124</v>
      </c>
      <c r="C275" s="17">
        <v>1124</v>
      </c>
      <c r="D275" s="17">
        <v>1</v>
      </c>
      <c r="E275" s="17" t="s">
        <v>31</v>
      </c>
      <c r="F275" s="17" t="s">
        <v>33</v>
      </c>
      <c r="G275" s="18">
        <v>363.05799942632001</v>
      </c>
      <c r="H275" s="17" t="s">
        <v>454</v>
      </c>
    </row>
    <row r="276" spans="1:8" x14ac:dyDescent="0.3">
      <c r="A276" s="17" t="s">
        <v>455</v>
      </c>
      <c r="B276" s="17">
        <v>1125</v>
      </c>
      <c r="C276" s="17">
        <v>1129</v>
      </c>
      <c r="D276" s="17">
        <v>5</v>
      </c>
      <c r="E276" s="17" t="s">
        <v>31</v>
      </c>
      <c r="F276" s="17" t="s">
        <v>33</v>
      </c>
      <c r="G276" s="18">
        <v>1646.2452787941102</v>
      </c>
      <c r="H276" s="17" t="s">
        <v>456</v>
      </c>
    </row>
    <row r="277" spans="1:8" x14ac:dyDescent="0.3">
      <c r="A277" s="17" t="s">
        <v>457</v>
      </c>
      <c r="B277" s="17">
        <v>1130</v>
      </c>
      <c r="C277" s="17">
        <v>1135</v>
      </c>
      <c r="D277" s="17">
        <v>6</v>
      </c>
      <c r="E277" s="17" t="s">
        <v>31</v>
      </c>
      <c r="F277" s="17" t="s">
        <v>33</v>
      </c>
      <c r="G277" s="18">
        <v>1966.28623117694</v>
      </c>
      <c r="H277" s="17" t="s">
        <v>458</v>
      </c>
    </row>
    <row r="278" spans="1:8" x14ac:dyDescent="0.3">
      <c r="A278" s="17" t="s">
        <v>132</v>
      </c>
      <c r="B278" s="17">
        <v>1136</v>
      </c>
      <c r="C278" s="17">
        <v>1137</v>
      </c>
      <c r="D278" s="17">
        <v>2</v>
      </c>
      <c r="E278" s="17" t="s">
        <v>31</v>
      </c>
      <c r="F278" s="17" t="s">
        <v>33</v>
      </c>
      <c r="G278" s="18">
        <v>668.09928616178001</v>
      </c>
      <c r="H278" s="17" t="s">
        <v>459</v>
      </c>
    </row>
    <row r="279" spans="1:8" x14ac:dyDescent="0.3">
      <c r="A279" s="17" t="s">
        <v>99</v>
      </c>
      <c r="B279" s="17">
        <v>1138</v>
      </c>
      <c r="C279" s="17">
        <v>1139</v>
      </c>
      <c r="D279" s="17">
        <v>2</v>
      </c>
      <c r="E279" s="17" t="s">
        <v>31</v>
      </c>
      <c r="F279" s="17" t="s">
        <v>33</v>
      </c>
      <c r="G279" s="18">
        <v>683.09895180914998</v>
      </c>
      <c r="H279" s="17" t="s">
        <v>460</v>
      </c>
    </row>
    <row r="280" spans="1:8" x14ac:dyDescent="0.3">
      <c r="A280" s="17" t="s">
        <v>27</v>
      </c>
      <c r="B280" s="17">
        <v>1140</v>
      </c>
      <c r="C280" s="17">
        <v>1140</v>
      </c>
      <c r="D280" s="17">
        <v>1</v>
      </c>
      <c r="E280" s="17" t="s">
        <v>31</v>
      </c>
      <c r="F280" s="17" t="s">
        <v>33</v>
      </c>
      <c r="G280" s="18">
        <v>363.05799942632001</v>
      </c>
      <c r="H280" s="17" t="s">
        <v>461</v>
      </c>
    </row>
    <row r="281" spans="1:8" x14ac:dyDescent="0.3">
      <c r="A281" s="17" t="s">
        <v>364</v>
      </c>
      <c r="B281" s="17">
        <v>1141</v>
      </c>
      <c r="C281" s="17">
        <v>1143</v>
      </c>
      <c r="D281" s="17">
        <v>3</v>
      </c>
      <c r="E281" s="17" t="s">
        <v>31</v>
      </c>
      <c r="F281" s="17" t="s">
        <v>33</v>
      </c>
      <c r="G281" s="18">
        <v>973.14057289723996</v>
      </c>
      <c r="H281" s="17" t="s">
        <v>462</v>
      </c>
    </row>
    <row r="282" spans="1:8" x14ac:dyDescent="0.3">
      <c r="A282" s="17" t="s">
        <v>463</v>
      </c>
      <c r="B282" s="17">
        <v>1144</v>
      </c>
      <c r="C282" s="17">
        <v>1152</v>
      </c>
      <c r="D282" s="17">
        <v>9</v>
      </c>
      <c r="E282" s="17" t="s">
        <v>31</v>
      </c>
      <c r="F282" s="17" t="s">
        <v>33</v>
      </c>
      <c r="G282" s="18">
        <v>2881.4100913833204</v>
      </c>
      <c r="H282" s="17" t="s">
        <v>464</v>
      </c>
    </row>
    <row r="283" spans="1:8" x14ac:dyDescent="0.3">
      <c r="A283" s="17" t="s">
        <v>99</v>
      </c>
      <c r="B283" s="17">
        <v>1153</v>
      </c>
      <c r="C283" s="17">
        <v>1154</v>
      </c>
      <c r="D283" s="17">
        <v>2</v>
      </c>
      <c r="E283" s="17" t="s">
        <v>31</v>
      </c>
      <c r="F283" s="17" t="s">
        <v>33</v>
      </c>
      <c r="G283" s="18">
        <v>683.09895180914998</v>
      </c>
      <c r="H283" s="17" t="s">
        <v>465</v>
      </c>
    </row>
    <row r="284" spans="1:8" x14ac:dyDescent="0.3">
      <c r="A284" s="17" t="s">
        <v>105</v>
      </c>
      <c r="B284" s="17">
        <v>1155</v>
      </c>
      <c r="C284" s="17">
        <v>1157</v>
      </c>
      <c r="D284" s="17">
        <v>3</v>
      </c>
      <c r="E284" s="17" t="s">
        <v>31</v>
      </c>
      <c r="F284" s="17" t="s">
        <v>33</v>
      </c>
      <c r="G284" s="18">
        <v>988.14023854460993</v>
      </c>
      <c r="H284" s="17" t="s">
        <v>466</v>
      </c>
    </row>
    <row r="285" spans="1:8" x14ac:dyDescent="0.3">
      <c r="A285" s="17" t="s">
        <v>1410</v>
      </c>
      <c r="B285" s="17">
        <v>1158</v>
      </c>
      <c r="C285" s="17">
        <v>1167</v>
      </c>
      <c r="D285" s="17">
        <v>10</v>
      </c>
      <c r="E285" s="17" t="s">
        <v>31</v>
      </c>
      <c r="F285" s="17" t="s">
        <v>33</v>
      </c>
      <c r="G285" s="18">
        <v>3210.46261150807</v>
      </c>
      <c r="H285" s="17" t="s">
        <v>467</v>
      </c>
    </row>
    <row r="286" spans="1:8" x14ac:dyDescent="0.3">
      <c r="A286" s="17" t="s">
        <v>114</v>
      </c>
      <c r="B286" s="17">
        <v>1168</v>
      </c>
      <c r="C286" s="17">
        <v>1171</v>
      </c>
      <c r="D286" s="17">
        <v>4</v>
      </c>
      <c r="E286" s="17" t="s">
        <v>31</v>
      </c>
      <c r="F286" s="17" t="s">
        <v>33</v>
      </c>
      <c r="G286" s="18">
        <v>1302.1930930219901</v>
      </c>
      <c r="H286" s="17" t="s">
        <v>468</v>
      </c>
    </row>
    <row r="287" spans="1:8" x14ac:dyDescent="0.3">
      <c r="A287" s="17" t="s">
        <v>1411</v>
      </c>
      <c r="B287" s="17">
        <v>1172</v>
      </c>
      <c r="C287" s="17">
        <v>1177</v>
      </c>
      <c r="D287" s="17">
        <v>6</v>
      </c>
      <c r="E287" s="17" t="s">
        <v>31</v>
      </c>
      <c r="F287" s="17" t="s">
        <v>33</v>
      </c>
      <c r="G287" s="18">
        <v>1942.2749977876501</v>
      </c>
      <c r="H287" s="17" t="s">
        <v>469</v>
      </c>
    </row>
    <row r="288" spans="1:8" x14ac:dyDescent="0.3">
      <c r="A288" s="17" t="s">
        <v>1412</v>
      </c>
      <c r="B288" s="17">
        <v>1178</v>
      </c>
      <c r="C288" s="17">
        <v>1187</v>
      </c>
      <c r="D288" s="17">
        <v>10</v>
      </c>
      <c r="E288" s="17" t="s">
        <v>31</v>
      </c>
      <c r="F288" s="17" t="s">
        <v>33</v>
      </c>
      <c r="G288" s="18">
        <v>3210.46261150807</v>
      </c>
      <c r="H288" s="17" t="s">
        <v>470</v>
      </c>
    </row>
    <row r="289" spans="1:8" x14ac:dyDescent="0.3">
      <c r="A289" s="17" t="s">
        <v>99</v>
      </c>
      <c r="B289" s="17">
        <v>1188</v>
      </c>
      <c r="C289" s="17">
        <v>1189</v>
      </c>
      <c r="D289" s="17">
        <v>2</v>
      </c>
      <c r="E289" s="17" t="s">
        <v>31</v>
      </c>
      <c r="F289" s="17" t="s">
        <v>33</v>
      </c>
      <c r="G289" s="18">
        <v>683.09895180914998</v>
      </c>
      <c r="H289" s="17" t="s">
        <v>471</v>
      </c>
    </row>
    <row r="290" spans="1:8" x14ac:dyDescent="0.3">
      <c r="A290" s="17" t="s">
        <v>472</v>
      </c>
      <c r="B290" s="17">
        <v>1190</v>
      </c>
      <c r="C290" s="17">
        <v>1194</v>
      </c>
      <c r="D290" s="17">
        <v>5</v>
      </c>
      <c r="E290" s="17" t="s">
        <v>31</v>
      </c>
      <c r="F290" s="17" t="s">
        <v>33</v>
      </c>
      <c r="G290" s="18">
        <v>1622.2340454048201</v>
      </c>
      <c r="H290" s="17" t="s">
        <v>473</v>
      </c>
    </row>
    <row r="291" spans="1:8" x14ac:dyDescent="0.3">
      <c r="A291" s="17" t="s">
        <v>27</v>
      </c>
      <c r="B291" s="17">
        <v>1195</v>
      </c>
      <c r="C291" s="17">
        <v>1195</v>
      </c>
      <c r="D291" s="17">
        <v>1</v>
      </c>
      <c r="E291" s="17" t="s">
        <v>31</v>
      </c>
      <c r="F291" s="17" t="s">
        <v>33</v>
      </c>
      <c r="G291" s="18">
        <v>363.05799942632001</v>
      </c>
      <c r="H291" s="17" t="s">
        <v>474</v>
      </c>
    </row>
    <row r="292" spans="1:8" x14ac:dyDescent="0.3">
      <c r="A292" s="17" t="s">
        <v>132</v>
      </c>
      <c r="B292" s="17">
        <v>1196</v>
      </c>
      <c r="C292" s="17">
        <v>1197</v>
      </c>
      <c r="D292" s="17">
        <v>2</v>
      </c>
      <c r="E292" s="17" t="s">
        <v>31</v>
      </c>
      <c r="F292" s="17" t="s">
        <v>33</v>
      </c>
      <c r="G292" s="18">
        <v>668.09928616178001</v>
      </c>
      <c r="H292" s="17" t="s">
        <v>475</v>
      </c>
    </row>
    <row r="293" spans="1:8" x14ac:dyDescent="0.3">
      <c r="A293" s="17" t="s">
        <v>99</v>
      </c>
      <c r="B293" s="17">
        <v>1198</v>
      </c>
      <c r="C293" s="17">
        <v>1199</v>
      </c>
      <c r="D293" s="17">
        <v>2</v>
      </c>
      <c r="E293" s="17" t="s">
        <v>31</v>
      </c>
      <c r="F293" s="17" t="s">
        <v>33</v>
      </c>
      <c r="G293" s="18">
        <v>683.09895180914998</v>
      </c>
      <c r="H293" s="17" t="s">
        <v>476</v>
      </c>
    </row>
    <row r="294" spans="1:8" x14ac:dyDescent="0.3">
      <c r="A294" s="17" t="s">
        <v>477</v>
      </c>
      <c r="B294" s="17">
        <v>1200</v>
      </c>
      <c r="C294" s="17">
        <v>1211</v>
      </c>
      <c r="D294" s="17">
        <v>12</v>
      </c>
      <c r="E294" s="17" t="s">
        <v>31</v>
      </c>
      <c r="F294" s="17" t="s">
        <v>33</v>
      </c>
      <c r="G294" s="18">
        <v>3820.5451849789902</v>
      </c>
      <c r="H294" s="17" t="s">
        <v>478</v>
      </c>
    </row>
    <row r="295" spans="1:8" x14ac:dyDescent="0.3">
      <c r="A295" s="17" t="s">
        <v>105</v>
      </c>
      <c r="B295" s="17">
        <v>1212</v>
      </c>
      <c r="C295" s="17">
        <v>1214</v>
      </c>
      <c r="D295" s="17">
        <v>3</v>
      </c>
      <c r="E295" s="17" t="s">
        <v>31</v>
      </c>
      <c r="F295" s="17" t="s">
        <v>33</v>
      </c>
      <c r="G295" s="18">
        <v>988.14023854460993</v>
      </c>
      <c r="H295" s="17" t="s">
        <v>479</v>
      </c>
    </row>
    <row r="296" spans="1:8" x14ac:dyDescent="0.3">
      <c r="A296" s="17" t="s">
        <v>383</v>
      </c>
      <c r="B296" s="17">
        <v>1215</v>
      </c>
      <c r="C296" s="17">
        <v>1218</v>
      </c>
      <c r="D296" s="17">
        <v>4</v>
      </c>
      <c r="E296" s="17" t="s">
        <v>31</v>
      </c>
      <c r="F296" s="17" t="s">
        <v>33</v>
      </c>
      <c r="G296" s="18">
        <v>1326.2043264112801</v>
      </c>
      <c r="H296" s="17" t="s">
        <v>480</v>
      </c>
    </row>
    <row r="297" spans="1:8" x14ac:dyDescent="0.3">
      <c r="A297" s="17" t="s">
        <v>151</v>
      </c>
      <c r="B297" s="17">
        <v>1219</v>
      </c>
      <c r="C297" s="17">
        <v>1223</v>
      </c>
      <c r="D297" s="17">
        <v>5</v>
      </c>
      <c r="E297" s="17" t="s">
        <v>31</v>
      </c>
      <c r="F297" s="17" t="s">
        <v>33</v>
      </c>
      <c r="G297" s="18">
        <v>1622.2340454048201</v>
      </c>
      <c r="H297" s="17" t="s">
        <v>481</v>
      </c>
    </row>
    <row r="298" spans="1:8" x14ac:dyDescent="0.3">
      <c r="A298" s="17" t="s">
        <v>99</v>
      </c>
      <c r="B298" s="17">
        <v>1224</v>
      </c>
      <c r="C298" s="17">
        <v>1225</v>
      </c>
      <c r="D298" s="17">
        <v>2</v>
      </c>
      <c r="E298" s="17" t="s">
        <v>31</v>
      </c>
      <c r="F298" s="17" t="s">
        <v>33</v>
      </c>
      <c r="G298" s="18">
        <v>683.09895180914998</v>
      </c>
      <c r="H298" s="17" t="s">
        <v>482</v>
      </c>
    </row>
    <row r="299" spans="1:8" x14ac:dyDescent="0.3">
      <c r="A299" s="17" t="s">
        <v>483</v>
      </c>
      <c r="B299" s="17">
        <v>1226</v>
      </c>
      <c r="C299" s="17">
        <v>1236</v>
      </c>
      <c r="D299" s="17">
        <v>11</v>
      </c>
      <c r="E299" s="17" t="s">
        <v>31</v>
      </c>
      <c r="F299" s="17" t="s">
        <v>33</v>
      </c>
      <c r="G299" s="18">
        <v>3539.5151316328202</v>
      </c>
      <c r="H299" s="17" t="s">
        <v>484</v>
      </c>
    </row>
    <row r="300" spans="1:8" x14ac:dyDescent="0.3">
      <c r="A300" s="17" t="s">
        <v>99</v>
      </c>
      <c r="B300" s="17">
        <v>1237</v>
      </c>
      <c r="C300" s="17">
        <v>1238</v>
      </c>
      <c r="D300" s="17">
        <v>2</v>
      </c>
      <c r="E300" s="17" t="s">
        <v>31</v>
      </c>
      <c r="F300" s="17" t="s">
        <v>33</v>
      </c>
      <c r="G300" s="18">
        <v>683.09895180914998</v>
      </c>
      <c r="H300" s="17" t="s">
        <v>485</v>
      </c>
    </row>
    <row r="301" spans="1:8" x14ac:dyDescent="0.3">
      <c r="A301" s="17" t="s">
        <v>271</v>
      </c>
      <c r="B301" s="17">
        <v>1239</v>
      </c>
      <c r="C301" s="17">
        <v>1242</v>
      </c>
      <c r="D301" s="17">
        <v>4</v>
      </c>
      <c r="E301" s="17" t="s">
        <v>31</v>
      </c>
      <c r="F301" s="17" t="s">
        <v>33</v>
      </c>
      <c r="G301" s="18">
        <v>1317.19275866936</v>
      </c>
      <c r="H301" s="17" t="s">
        <v>486</v>
      </c>
    </row>
    <row r="302" spans="1:8" x14ac:dyDescent="0.3">
      <c r="A302" s="17" t="s">
        <v>364</v>
      </c>
      <c r="B302" s="17">
        <v>1243</v>
      </c>
      <c r="C302" s="17">
        <v>1245</v>
      </c>
      <c r="D302" s="17">
        <v>3</v>
      </c>
      <c r="E302" s="17" t="s">
        <v>31</v>
      </c>
      <c r="F302" s="17" t="s">
        <v>33</v>
      </c>
      <c r="G302" s="18">
        <v>973.14057289723996</v>
      </c>
      <c r="H302" s="17" t="s">
        <v>487</v>
      </c>
    </row>
    <row r="303" spans="1:8" x14ac:dyDescent="0.3">
      <c r="A303" s="17" t="s">
        <v>207</v>
      </c>
      <c r="B303" s="17">
        <v>1246</v>
      </c>
      <c r="C303" s="17">
        <v>1249</v>
      </c>
      <c r="D303" s="17">
        <v>4</v>
      </c>
      <c r="E303" s="17" t="s">
        <v>31</v>
      </c>
      <c r="F303" s="17" t="s">
        <v>33</v>
      </c>
      <c r="G303" s="18">
        <v>1326.2043264112801</v>
      </c>
      <c r="H303" s="17" t="s">
        <v>488</v>
      </c>
    </row>
    <row r="304" spans="1:8" x14ac:dyDescent="0.3">
      <c r="A304" s="17" t="s">
        <v>489</v>
      </c>
      <c r="B304" s="17">
        <v>1250</v>
      </c>
      <c r="C304" s="17">
        <v>1254</v>
      </c>
      <c r="D304" s="17">
        <v>5</v>
      </c>
      <c r="E304" s="17" t="s">
        <v>31</v>
      </c>
      <c r="F304" s="17" t="s">
        <v>33</v>
      </c>
      <c r="G304" s="18">
        <v>1613.2224776629</v>
      </c>
      <c r="H304" s="17" t="s">
        <v>490</v>
      </c>
    </row>
    <row r="305" spans="1:8" x14ac:dyDescent="0.3">
      <c r="A305" s="17" t="s">
        <v>99</v>
      </c>
      <c r="B305" s="17">
        <v>1255</v>
      </c>
      <c r="C305" s="17">
        <v>1256</v>
      </c>
      <c r="D305" s="17">
        <v>2</v>
      </c>
      <c r="E305" s="17" t="s">
        <v>31</v>
      </c>
      <c r="F305" s="17" t="s">
        <v>33</v>
      </c>
      <c r="G305" s="18">
        <v>683.09895180914998</v>
      </c>
      <c r="H305" s="17" t="s">
        <v>491</v>
      </c>
    </row>
    <row r="306" spans="1:8" x14ac:dyDescent="0.3">
      <c r="A306" s="17" t="s">
        <v>492</v>
      </c>
      <c r="B306" s="17">
        <v>1257</v>
      </c>
      <c r="C306" s="17">
        <v>1261</v>
      </c>
      <c r="D306" s="17">
        <v>5</v>
      </c>
      <c r="E306" s="17" t="s">
        <v>31</v>
      </c>
      <c r="F306" s="17" t="s">
        <v>33</v>
      </c>
      <c r="G306" s="18">
        <v>1622.2340454048201</v>
      </c>
      <c r="H306" s="17" t="s">
        <v>493</v>
      </c>
    </row>
    <row r="307" spans="1:8" x14ac:dyDescent="0.3">
      <c r="A307" s="17" t="s">
        <v>27</v>
      </c>
      <c r="B307" s="17">
        <v>1262</v>
      </c>
      <c r="C307" s="17">
        <v>1262</v>
      </c>
      <c r="D307" s="17">
        <v>1</v>
      </c>
      <c r="E307" s="17" t="s">
        <v>31</v>
      </c>
      <c r="F307" s="17" t="s">
        <v>33</v>
      </c>
      <c r="G307" s="18">
        <v>363.05799942632001</v>
      </c>
      <c r="H307" s="17" t="s">
        <v>494</v>
      </c>
    </row>
    <row r="308" spans="1:8" x14ac:dyDescent="0.3">
      <c r="A308" s="17" t="s">
        <v>27</v>
      </c>
      <c r="B308" s="17">
        <v>1263</v>
      </c>
      <c r="C308" s="17">
        <v>1263</v>
      </c>
      <c r="D308" s="17">
        <v>1</v>
      </c>
      <c r="E308" s="17" t="s">
        <v>31</v>
      </c>
      <c r="F308" s="17" t="s">
        <v>33</v>
      </c>
      <c r="G308" s="18">
        <v>363.05799942632001</v>
      </c>
      <c r="H308" s="17" t="s">
        <v>495</v>
      </c>
    </row>
    <row r="309" spans="1:8" x14ac:dyDescent="0.3">
      <c r="A309" s="17" t="s">
        <v>27</v>
      </c>
      <c r="B309" s="17">
        <v>1264</v>
      </c>
      <c r="C309" s="17">
        <v>1264</v>
      </c>
      <c r="D309" s="17">
        <v>1</v>
      </c>
      <c r="E309" s="17" t="s">
        <v>31</v>
      </c>
      <c r="F309" s="17" t="s">
        <v>33</v>
      </c>
      <c r="G309" s="18">
        <v>363.05799942632001</v>
      </c>
      <c r="H309" s="17" t="s">
        <v>496</v>
      </c>
    </row>
    <row r="310" spans="1:8" x14ac:dyDescent="0.3">
      <c r="A310" s="17" t="s">
        <v>81</v>
      </c>
      <c r="B310" s="17">
        <v>1265</v>
      </c>
      <c r="C310" s="17">
        <v>1266</v>
      </c>
      <c r="D310" s="17">
        <v>2</v>
      </c>
      <c r="E310" s="17" t="s">
        <v>31</v>
      </c>
      <c r="F310" s="17" t="s">
        <v>33</v>
      </c>
      <c r="G310" s="18">
        <v>692.11051955106996</v>
      </c>
      <c r="H310" s="17" t="s">
        <v>497</v>
      </c>
    </row>
    <row r="311" spans="1:8" x14ac:dyDescent="0.3">
      <c r="A311" s="17" t="s">
        <v>249</v>
      </c>
      <c r="B311" s="17">
        <v>1267</v>
      </c>
      <c r="C311" s="17">
        <v>1269</v>
      </c>
      <c r="D311" s="17">
        <v>3</v>
      </c>
      <c r="E311" s="17" t="s">
        <v>31</v>
      </c>
      <c r="F311" s="17" t="s">
        <v>33</v>
      </c>
      <c r="G311" s="18">
        <v>1012.1514719339</v>
      </c>
      <c r="H311" s="17" t="s">
        <v>498</v>
      </c>
    </row>
    <row r="312" spans="1:8" x14ac:dyDescent="0.3">
      <c r="A312" s="17" t="s">
        <v>193</v>
      </c>
      <c r="B312" s="17">
        <v>1270</v>
      </c>
      <c r="C312" s="17">
        <v>1272</v>
      </c>
      <c r="D312" s="17">
        <v>3</v>
      </c>
      <c r="E312" s="17" t="s">
        <v>31</v>
      </c>
      <c r="F312" s="17" t="s">
        <v>33</v>
      </c>
      <c r="G312" s="18">
        <v>1021.1630396758201</v>
      </c>
      <c r="H312" s="17" t="s">
        <v>499</v>
      </c>
    </row>
    <row r="313" spans="1:8" x14ac:dyDescent="0.3">
      <c r="A313" s="17" t="s">
        <v>99</v>
      </c>
      <c r="B313" s="17">
        <v>1273</v>
      </c>
      <c r="C313" s="17">
        <v>1274</v>
      </c>
      <c r="D313" s="17">
        <v>2</v>
      </c>
      <c r="E313" s="17" t="s">
        <v>31</v>
      </c>
      <c r="F313" s="17" t="s">
        <v>33</v>
      </c>
      <c r="G313" s="18">
        <v>683.09895180914998</v>
      </c>
      <c r="H313" s="17" t="s">
        <v>500</v>
      </c>
    </row>
    <row r="314" spans="1:8" x14ac:dyDescent="0.3">
      <c r="A314" s="17" t="s">
        <v>132</v>
      </c>
      <c r="B314" s="17">
        <v>1275</v>
      </c>
      <c r="C314" s="17">
        <v>1276</v>
      </c>
      <c r="D314" s="17">
        <v>2</v>
      </c>
      <c r="E314" s="17" t="s">
        <v>31</v>
      </c>
      <c r="F314" s="17" t="s">
        <v>33</v>
      </c>
      <c r="G314" s="18">
        <v>668.09928616178001</v>
      </c>
      <c r="H314" s="17" t="s">
        <v>501</v>
      </c>
    </row>
    <row r="315" spans="1:8" x14ac:dyDescent="0.3">
      <c r="A315" s="17" t="s">
        <v>27</v>
      </c>
      <c r="B315" s="17">
        <v>1277</v>
      </c>
      <c r="C315" s="17">
        <v>1277</v>
      </c>
      <c r="D315" s="17">
        <v>1</v>
      </c>
      <c r="E315" s="17" t="s">
        <v>31</v>
      </c>
      <c r="F315" s="17" t="s">
        <v>33</v>
      </c>
      <c r="G315" s="18">
        <v>363.05799942632001</v>
      </c>
      <c r="H315" s="17" t="s">
        <v>502</v>
      </c>
    </row>
    <row r="316" spans="1:8" x14ac:dyDescent="0.3">
      <c r="A316" s="17" t="s">
        <v>263</v>
      </c>
      <c r="B316" s="17">
        <v>1278</v>
      </c>
      <c r="C316" s="17">
        <v>1280</v>
      </c>
      <c r="D316" s="17">
        <v>3</v>
      </c>
      <c r="E316" s="17" t="s">
        <v>31</v>
      </c>
      <c r="F316" s="17" t="s">
        <v>33</v>
      </c>
      <c r="G316" s="18">
        <v>997.15180628653002</v>
      </c>
      <c r="H316" s="17" t="s">
        <v>503</v>
      </c>
    </row>
    <row r="317" spans="1:8" x14ac:dyDescent="0.3">
      <c r="A317" s="17" t="s">
        <v>392</v>
      </c>
      <c r="B317" s="17">
        <v>1281</v>
      </c>
      <c r="C317" s="17">
        <v>1284</v>
      </c>
      <c r="D317" s="17">
        <v>4</v>
      </c>
      <c r="E317" s="17" t="s">
        <v>31</v>
      </c>
      <c r="F317" s="17" t="s">
        <v>33</v>
      </c>
      <c r="G317" s="18">
        <v>1332.19242431673</v>
      </c>
      <c r="H317" s="17" t="s">
        <v>504</v>
      </c>
    </row>
    <row r="318" spans="1:8" x14ac:dyDescent="0.3">
      <c r="A318" s="17" t="s">
        <v>505</v>
      </c>
      <c r="B318" s="17">
        <v>1285</v>
      </c>
      <c r="C318" s="17">
        <v>1290</v>
      </c>
      <c r="D318" s="17">
        <v>6</v>
      </c>
      <c r="E318" s="17" t="s">
        <v>31</v>
      </c>
      <c r="F318" s="17" t="s">
        <v>33</v>
      </c>
      <c r="G318" s="18">
        <v>1903.2640987509901</v>
      </c>
      <c r="H318" s="17" t="s">
        <v>506</v>
      </c>
    </row>
    <row r="319" spans="1:8" x14ac:dyDescent="0.3">
      <c r="A319" s="17" t="s">
        <v>27</v>
      </c>
      <c r="B319" s="17">
        <v>1291</v>
      </c>
      <c r="C319" s="17">
        <v>1291</v>
      </c>
      <c r="D319" s="17">
        <v>1</v>
      </c>
      <c r="E319" s="17" t="s">
        <v>31</v>
      </c>
      <c r="F319" s="17" t="s">
        <v>33</v>
      </c>
      <c r="G319" s="18">
        <v>363.05799942632001</v>
      </c>
      <c r="H319" s="17" t="s">
        <v>507</v>
      </c>
    </row>
    <row r="320" spans="1:8" x14ac:dyDescent="0.3">
      <c r="A320" s="17" t="s">
        <v>207</v>
      </c>
      <c r="B320" s="17">
        <v>1292</v>
      </c>
      <c r="C320" s="17">
        <v>1295</v>
      </c>
      <c r="D320" s="17">
        <v>4</v>
      </c>
      <c r="E320" s="17" t="s">
        <v>31</v>
      </c>
      <c r="F320" s="17" t="s">
        <v>33</v>
      </c>
      <c r="G320" s="18">
        <v>1326.2043264112801</v>
      </c>
      <c r="H320" s="17" t="s">
        <v>508</v>
      </c>
    </row>
    <row r="321" spans="1:8" x14ac:dyDescent="0.3">
      <c r="A321" s="17" t="s">
        <v>207</v>
      </c>
      <c r="B321" s="17">
        <v>1296</v>
      </c>
      <c r="C321" s="17">
        <v>1299</v>
      </c>
      <c r="D321" s="17">
        <v>4</v>
      </c>
      <c r="E321" s="17" t="s">
        <v>31</v>
      </c>
      <c r="F321" s="17" t="s">
        <v>33</v>
      </c>
      <c r="G321" s="18">
        <v>1326.2043264112801</v>
      </c>
      <c r="H321" s="17" t="s">
        <v>509</v>
      </c>
    </row>
    <row r="322" spans="1:8" x14ac:dyDescent="0.3">
      <c r="A322" s="17" t="s">
        <v>27</v>
      </c>
      <c r="B322" s="17">
        <v>1300</v>
      </c>
      <c r="C322" s="17">
        <v>1300</v>
      </c>
      <c r="D322" s="17">
        <v>1</v>
      </c>
      <c r="E322" s="17" t="s">
        <v>31</v>
      </c>
      <c r="F322" s="17" t="s">
        <v>33</v>
      </c>
      <c r="G322" s="18">
        <v>363.05799942632001</v>
      </c>
      <c r="H322" s="17" t="s">
        <v>510</v>
      </c>
    </row>
    <row r="323" spans="1:8" x14ac:dyDescent="0.3">
      <c r="A323" s="17" t="s">
        <v>209</v>
      </c>
      <c r="B323" s="17">
        <v>1301</v>
      </c>
      <c r="C323" s="17">
        <v>1304</v>
      </c>
      <c r="D323" s="17">
        <v>4</v>
      </c>
      <c r="E323" s="17" t="s">
        <v>31</v>
      </c>
      <c r="F323" s="17" t="s">
        <v>33</v>
      </c>
      <c r="G323" s="18">
        <v>1326.2043264112801</v>
      </c>
      <c r="H323" s="17" t="s">
        <v>511</v>
      </c>
    </row>
    <row r="324" spans="1:8" x14ac:dyDescent="0.3">
      <c r="A324" s="17" t="s">
        <v>217</v>
      </c>
      <c r="B324" s="17">
        <v>1305</v>
      </c>
      <c r="C324" s="17">
        <v>1308</v>
      </c>
      <c r="D324" s="17">
        <v>4</v>
      </c>
      <c r="E324" s="17" t="s">
        <v>31</v>
      </c>
      <c r="F324" s="17" t="s">
        <v>33</v>
      </c>
      <c r="G324" s="18">
        <v>1317.19275866936</v>
      </c>
      <c r="H324" s="17" t="s">
        <v>512</v>
      </c>
    </row>
    <row r="325" spans="1:8" x14ac:dyDescent="0.3">
      <c r="A325" s="17" t="s">
        <v>364</v>
      </c>
      <c r="B325" s="17">
        <v>1309</v>
      </c>
      <c r="C325" s="17">
        <v>1311</v>
      </c>
      <c r="D325" s="17">
        <v>3</v>
      </c>
      <c r="E325" s="17" t="s">
        <v>31</v>
      </c>
      <c r="F325" s="17" t="s">
        <v>33</v>
      </c>
      <c r="G325" s="18">
        <v>973.14057289723996</v>
      </c>
      <c r="H325" s="17" t="s">
        <v>513</v>
      </c>
    </row>
    <row r="326" spans="1:8" x14ac:dyDescent="0.3">
      <c r="A326" s="17" t="s">
        <v>514</v>
      </c>
      <c r="B326" s="17">
        <v>1312</v>
      </c>
      <c r="C326" s="17">
        <v>1325</v>
      </c>
      <c r="D326" s="17">
        <v>14</v>
      </c>
      <c r="E326" s="17" t="s">
        <v>31</v>
      </c>
      <c r="F326" s="17" t="s">
        <v>33</v>
      </c>
      <c r="G326" s="18">
        <v>4526.6726920070696</v>
      </c>
      <c r="H326" s="17" t="s">
        <v>515</v>
      </c>
    </row>
    <row r="327" spans="1:8" x14ac:dyDescent="0.3">
      <c r="A327" s="17" t="s">
        <v>105</v>
      </c>
      <c r="B327" s="17">
        <v>1326</v>
      </c>
      <c r="C327" s="17">
        <v>1328</v>
      </c>
      <c r="D327" s="17">
        <v>3</v>
      </c>
      <c r="E327" s="17" t="s">
        <v>31</v>
      </c>
      <c r="F327" s="17" t="s">
        <v>33</v>
      </c>
      <c r="G327" s="18">
        <v>988.14023854460993</v>
      </c>
      <c r="H327" s="17" t="s">
        <v>516</v>
      </c>
    </row>
    <row r="328" spans="1:8" x14ac:dyDescent="0.3">
      <c r="A328" s="17" t="s">
        <v>517</v>
      </c>
      <c r="B328" s="17">
        <v>1329</v>
      </c>
      <c r="C328" s="17">
        <v>1332</v>
      </c>
      <c r="D328" s="17">
        <v>4</v>
      </c>
      <c r="E328" s="17" t="s">
        <v>31</v>
      </c>
      <c r="F328" s="17" t="s">
        <v>33</v>
      </c>
      <c r="G328" s="18">
        <v>1278.1818596327</v>
      </c>
      <c r="H328" s="17" t="s">
        <v>518</v>
      </c>
    </row>
    <row r="329" spans="1:8" x14ac:dyDescent="0.3">
      <c r="A329" s="17" t="s">
        <v>181</v>
      </c>
      <c r="B329" s="17">
        <v>1333</v>
      </c>
      <c r="C329" s="17">
        <v>1335</v>
      </c>
      <c r="D329" s="17">
        <v>3</v>
      </c>
      <c r="E329" s="17" t="s">
        <v>31</v>
      </c>
      <c r="F329" s="17" t="s">
        <v>33</v>
      </c>
      <c r="G329" s="18">
        <v>997.15180628653002</v>
      </c>
      <c r="H329" s="17" t="s">
        <v>519</v>
      </c>
    </row>
    <row r="330" spans="1:8" x14ac:dyDescent="0.3">
      <c r="A330" s="17" t="s">
        <v>520</v>
      </c>
      <c r="B330" s="17">
        <v>1336</v>
      </c>
      <c r="C330" s="17">
        <v>1344</v>
      </c>
      <c r="D330" s="17">
        <v>9</v>
      </c>
      <c r="E330" s="17" t="s">
        <v>31</v>
      </c>
      <c r="F330" s="17" t="s">
        <v>33</v>
      </c>
      <c r="G330" s="18">
        <v>2881.4100913833204</v>
      </c>
      <c r="H330" s="17" t="s">
        <v>521</v>
      </c>
    </row>
    <row r="331" spans="1:8" x14ac:dyDescent="0.3">
      <c r="A331" s="17" t="s">
        <v>27</v>
      </c>
      <c r="B331" s="17">
        <v>1345</v>
      </c>
      <c r="C331" s="17">
        <v>1345</v>
      </c>
      <c r="D331" s="17">
        <v>1</v>
      </c>
      <c r="E331" s="17" t="s">
        <v>31</v>
      </c>
      <c r="F331" s="17" t="s">
        <v>33</v>
      </c>
      <c r="G331" s="18">
        <v>363.05799942632001</v>
      </c>
      <c r="H331" s="17" t="s">
        <v>522</v>
      </c>
    </row>
    <row r="332" spans="1:8" x14ac:dyDescent="0.3">
      <c r="A332" s="17" t="s">
        <v>105</v>
      </c>
      <c r="B332" s="17">
        <v>1346</v>
      </c>
      <c r="C332" s="17">
        <v>1348</v>
      </c>
      <c r="D332" s="17">
        <v>3</v>
      </c>
      <c r="E332" s="17" t="s">
        <v>31</v>
      </c>
      <c r="F332" s="17" t="s">
        <v>33</v>
      </c>
      <c r="G332" s="18">
        <v>988.14023854460993</v>
      </c>
      <c r="H332" s="17" t="s">
        <v>523</v>
      </c>
    </row>
    <row r="333" spans="1:8" x14ac:dyDescent="0.3">
      <c r="A333" s="17" t="s">
        <v>99</v>
      </c>
      <c r="B333" s="17">
        <v>1349</v>
      </c>
      <c r="C333" s="17">
        <v>1350</v>
      </c>
      <c r="D333" s="17">
        <v>2</v>
      </c>
      <c r="E333" s="17" t="s">
        <v>31</v>
      </c>
      <c r="F333" s="17" t="s">
        <v>33</v>
      </c>
      <c r="G333" s="18">
        <v>683.09895180914998</v>
      </c>
      <c r="H333" s="17" t="s">
        <v>524</v>
      </c>
    </row>
    <row r="334" spans="1:8" x14ac:dyDescent="0.3">
      <c r="A334" s="17" t="s">
        <v>99</v>
      </c>
      <c r="B334" s="17">
        <v>1351</v>
      </c>
      <c r="C334" s="17">
        <v>1352</v>
      </c>
      <c r="D334" s="17">
        <v>2</v>
      </c>
      <c r="E334" s="17" t="s">
        <v>31</v>
      </c>
      <c r="F334" s="17" t="s">
        <v>33</v>
      </c>
      <c r="G334" s="18">
        <v>683.09895180914998</v>
      </c>
      <c r="H334" s="17" t="s">
        <v>525</v>
      </c>
    </row>
    <row r="335" spans="1:8" x14ac:dyDescent="0.3">
      <c r="A335" s="17" t="s">
        <v>392</v>
      </c>
      <c r="B335" s="17">
        <v>1353</v>
      </c>
      <c r="C335" s="17">
        <v>1356</v>
      </c>
      <c r="D335" s="17">
        <v>4</v>
      </c>
      <c r="E335" s="17" t="s">
        <v>31</v>
      </c>
      <c r="F335" s="17" t="s">
        <v>33</v>
      </c>
      <c r="G335" s="18">
        <v>1332.19242431673</v>
      </c>
      <c r="H335" s="17" t="s">
        <v>526</v>
      </c>
    </row>
    <row r="336" spans="1:8" x14ac:dyDescent="0.3">
      <c r="A336" s="17" t="s">
        <v>214</v>
      </c>
      <c r="B336" s="17">
        <v>1357</v>
      </c>
      <c r="C336" s="17">
        <v>1360</v>
      </c>
      <c r="D336" s="17">
        <v>4</v>
      </c>
      <c r="E336" s="17" t="s">
        <v>31</v>
      </c>
      <c r="F336" s="17" t="s">
        <v>33</v>
      </c>
      <c r="G336" s="18">
        <v>1293.18152528007</v>
      </c>
      <c r="H336" s="17" t="s">
        <v>527</v>
      </c>
    </row>
    <row r="337" spans="1:8" x14ac:dyDescent="0.3">
      <c r="A337" s="17" t="s">
        <v>27</v>
      </c>
      <c r="B337" s="17">
        <v>1361</v>
      </c>
      <c r="C337" s="17">
        <v>1361</v>
      </c>
      <c r="D337" s="17">
        <v>1</v>
      </c>
      <c r="E337" s="17" t="s">
        <v>31</v>
      </c>
      <c r="F337" s="17" t="s">
        <v>33</v>
      </c>
      <c r="G337" s="18">
        <v>363.05799942632001</v>
      </c>
      <c r="H337" s="17" t="s">
        <v>528</v>
      </c>
    </row>
    <row r="338" spans="1:8" x14ac:dyDescent="0.3">
      <c r="A338" s="17" t="s">
        <v>529</v>
      </c>
      <c r="B338" s="17">
        <v>1362</v>
      </c>
      <c r="C338" s="17">
        <v>1366</v>
      </c>
      <c r="D338" s="17">
        <v>5</v>
      </c>
      <c r="E338" s="17" t="s">
        <v>31</v>
      </c>
      <c r="F338" s="17" t="s">
        <v>33</v>
      </c>
      <c r="G338" s="18">
        <v>1655.25684653603</v>
      </c>
      <c r="H338" s="17" t="s">
        <v>530</v>
      </c>
    </row>
    <row r="339" spans="1:8" x14ac:dyDescent="0.3">
      <c r="A339" s="17" t="s">
        <v>1413</v>
      </c>
      <c r="B339" s="17">
        <v>1367</v>
      </c>
      <c r="C339" s="17">
        <v>1376</v>
      </c>
      <c r="D339" s="17">
        <v>10</v>
      </c>
      <c r="E339" s="17" t="s">
        <v>31</v>
      </c>
      <c r="F339" s="17" t="s">
        <v>33</v>
      </c>
      <c r="G339" s="18">
        <v>3219.4741792499899</v>
      </c>
      <c r="H339" s="17" t="s">
        <v>531</v>
      </c>
    </row>
    <row r="340" spans="1:8" x14ac:dyDescent="0.3">
      <c r="A340" s="17" t="s">
        <v>27</v>
      </c>
      <c r="B340" s="17">
        <v>1377</v>
      </c>
      <c r="C340" s="17">
        <v>1377</v>
      </c>
      <c r="D340" s="17">
        <v>1</v>
      </c>
      <c r="E340" s="17" t="s">
        <v>31</v>
      </c>
      <c r="F340" s="17" t="s">
        <v>33</v>
      </c>
      <c r="G340" s="18">
        <v>363.05799942632001</v>
      </c>
      <c r="H340" s="17" t="s">
        <v>532</v>
      </c>
    </row>
    <row r="341" spans="1:8" x14ac:dyDescent="0.3">
      <c r="A341" s="17" t="s">
        <v>533</v>
      </c>
      <c r="B341" s="17">
        <v>1378</v>
      </c>
      <c r="C341" s="17">
        <v>1386</v>
      </c>
      <c r="D341" s="17">
        <v>9</v>
      </c>
      <c r="E341" s="17" t="s">
        <v>31</v>
      </c>
      <c r="F341" s="17" t="s">
        <v>33</v>
      </c>
      <c r="G341" s="18">
        <v>2914.4328925145296</v>
      </c>
      <c r="H341" s="17" t="s">
        <v>534</v>
      </c>
    </row>
    <row r="342" spans="1:8" x14ac:dyDescent="0.3">
      <c r="A342" s="17" t="s">
        <v>535</v>
      </c>
      <c r="B342" s="17">
        <v>1387</v>
      </c>
      <c r="C342" s="17">
        <v>1389</v>
      </c>
      <c r="D342" s="17">
        <v>3</v>
      </c>
      <c r="E342" s="17" t="s">
        <v>31</v>
      </c>
      <c r="F342" s="17" t="s">
        <v>33</v>
      </c>
      <c r="G342" s="18">
        <v>988.14023854460993</v>
      </c>
      <c r="H342" s="17" t="s">
        <v>536</v>
      </c>
    </row>
    <row r="343" spans="1:8" x14ac:dyDescent="0.3">
      <c r="A343" s="17" t="s">
        <v>27</v>
      </c>
      <c r="B343" s="17">
        <v>1390</v>
      </c>
      <c r="C343" s="17">
        <v>1390</v>
      </c>
      <c r="D343" s="17">
        <v>1</v>
      </c>
      <c r="E343" s="17" t="s">
        <v>31</v>
      </c>
      <c r="F343" s="17" t="s">
        <v>33</v>
      </c>
      <c r="G343" s="18">
        <v>363.05799942632001</v>
      </c>
      <c r="H343" s="17" t="s">
        <v>537</v>
      </c>
    </row>
    <row r="344" spans="1:8" x14ac:dyDescent="0.3">
      <c r="A344" s="17" t="s">
        <v>132</v>
      </c>
      <c r="B344" s="17">
        <v>1391</v>
      </c>
      <c r="C344" s="17">
        <v>1392</v>
      </c>
      <c r="D344" s="17">
        <v>2</v>
      </c>
      <c r="E344" s="17" t="s">
        <v>31</v>
      </c>
      <c r="F344" s="17" t="s">
        <v>33</v>
      </c>
      <c r="G344" s="18">
        <v>668.09928616178001</v>
      </c>
      <c r="H344" s="17" t="s">
        <v>538</v>
      </c>
    </row>
    <row r="345" spans="1:8" x14ac:dyDescent="0.3">
      <c r="A345" s="17" t="s">
        <v>27</v>
      </c>
      <c r="B345" s="17">
        <v>1393</v>
      </c>
      <c r="C345" s="17">
        <v>1393</v>
      </c>
      <c r="D345" s="17">
        <v>1</v>
      </c>
      <c r="E345" s="17" t="s">
        <v>31</v>
      </c>
      <c r="F345" s="17" t="s">
        <v>33</v>
      </c>
      <c r="G345" s="18">
        <v>363.05799942632001</v>
      </c>
      <c r="H345" s="17" t="s">
        <v>539</v>
      </c>
    </row>
    <row r="346" spans="1:8" x14ac:dyDescent="0.3">
      <c r="A346" s="17" t="s">
        <v>1414</v>
      </c>
      <c r="B346" s="17">
        <v>1394</v>
      </c>
      <c r="C346" s="17">
        <v>1409</v>
      </c>
      <c r="D346" s="17">
        <v>16</v>
      </c>
      <c r="E346" s="17" t="s">
        <v>31</v>
      </c>
      <c r="F346" s="17" t="s">
        <v>33</v>
      </c>
      <c r="G346" s="18">
        <v>5142.7433633834398</v>
      </c>
      <c r="H346" s="17" t="s">
        <v>540</v>
      </c>
    </row>
    <row r="347" spans="1:8" x14ac:dyDescent="0.3">
      <c r="A347" s="17" t="s">
        <v>541</v>
      </c>
      <c r="B347" s="17">
        <v>1410</v>
      </c>
      <c r="C347" s="17">
        <v>1414</v>
      </c>
      <c r="D347" s="17">
        <v>5</v>
      </c>
      <c r="E347" s="17" t="s">
        <v>31</v>
      </c>
      <c r="F347" s="17" t="s">
        <v>33</v>
      </c>
      <c r="G347" s="18">
        <v>1622.2340454048201</v>
      </c>
      <c r="H347" s="17" t="s">
        <v>542</v>
      </c>
    </row>
    <row r="348" spans="1:8" x14ac:dyDescent="0.3">
      <c r="A348" s="17" t="s">
        <v>27</v>
      </c>
      <c r="B348" s="17">
        <v>1415</v>
      </c>
      <c r="C348" s="17">
        <v>1415</v>
      </c>
      <c r="D348" s="17">
        <v>1</v>
      </c>
      <c r="E348" s="17" t="s">
        <v>31</v>
      </c>
      <c r="F348" s="17" t="s">
        <v>33</v>
      </c>
      <c r="G348" s="18">
        <v>363.05799942632001</v>
      </c>
      <c r="H348" s="17" t="s">
        <v>543</v>
      </c>
    </row>
    <row r="349" spans="1:8" x14ac:dyDescent="0.3">
      <c r="A349" s="17" t="s">
        <v>105</v>
      </c>
      <c r="B349" s="17">
        <v>1416</v>
      </c>
      <c r="C349" s="17">
        <v>1418</v>
      </c>
      <c r="D349" s="17">
        <v>3</v>
      </c>
      <c r="E349" s="17" t="s">
        <v>31</v>
      </c>
      <c r="F349" s="17" t="s">
        <v>33</v>
      </c>
      <c r="G349" s="18">
        <v>988.14023854460993</v>
      </c>
      <c r="H349" s="17" t="s">
        <v>544</v>
      </c>
    </row>
    <row r="350" spans="1:8" x14ac:dyDescent="0.3">
      <c r="A350" s="17" t="s">
        <v>256</v>
      </c>
      <c r="B350" s="17">
        <v>1419</v>
      </c>
      <c r="C350" s="17">
        <v>1423</v>
      </c>
      <c r="D350" s="17">
        <v>5</v>
      </c>
      <c r="E350" s="17" t="s">
        <v>31</v>
      </c>
      <c r="F350" s="17" t="s">
        <v>33</v>
      </c>
      <c r="G350" s="18">
        <v>1613.2224776629</v>
      </c>
      <c r="H350" s="17" t="s">
        <v>545</v>
      </c>
    </row>
    <row r="351" spans="1:8" x14ac:dyDescent="0.3">
      <c r="A351" s="17" t="s">
        <v>27</v>
      </c>
      <c r="B351" s="17">
        <v>1424</v>
      </c>
      <c r="C351" s="17">
        <v>1424</v>
      </c>
      <c r="D351" s="17">
        <v>1</v>
      </c>
      <c r="E351" s="17" t="s">
        <v>31</v>
      </c>
      <c r="F351" s="17" t="s">
        <v>33</v>
      </c>
      <c r="G351" s="18">
        <v>363.05799942632001</v>
      </c>
      <c r="H351" s="17" t="s">
        <v>546</v>
      </c>
    </row>
    <row r="352" spans="1:8" x14ac:dyDescent="0.3">
      <c r="A352" s="17" t="s">
        <v>193</v>
      </c>
      <c r="B352" s="17">
        <v>1425</v>
      </c>
      <c r="C352" s="17">
        <v>1427</v>
      </c>
      <c r="D352" s="17">
        <v>3</v>
      </c>
      <c r="E352" s="17" t="s">
        <v>31</v>
      </c>
      <c r="F352" s="17" t="s">
        <v>33</v>
      </c>
      <c r="G352" s="18">
        <v>1021.1630396758201</v>
      </c>
      <c r="H352" s="17" t="s">
        <v>547</v>
      </c>
    </row>
    <row r="353" spans="1:8" x14ac:dyDescent="0.3">
      <c r="A353" s="17" t="s">
        <v>548</v>
      </c>
      <c r="B353" s="17">
        <v>1428</v>
      </c>
      <c r="C353" s="17">
        <v>1436</v>
      </c>
      <c r="D353" s="17">
        <v>9</v>
      </c>
      <c r="E353" s="17" t="s">
        <v>31</v>
      </c>
      <c r="F353" s="17" t="s">
        <v>33</v>
      </c>
      <c r="G353" s="18">
        <v>2896.4097570306899</v>
      </c>
      <c r="H353" s="17" t="s">
        <v>549</v>
      </c>
    </row>
    <row r="354" spans="1:8" x14ac:dyDescent="0.3">
      <c r="A354" s="17" t="s">
        <v>193</v>
      </c>
      <c r="B354" s="17">
        <v>1437</v>
      </c>
      <c r="C354" s="17">
        <v>1439</v>
      </c>
      <c r="D354" s="17">
        <v>3</v>
      </c>
      <c r="E354" s="17" t="s">
        <v>31</v>
      </c>
      <c r="F354" s="17" t="s">
        <v>33</v>
      </c>
      <c r="G354" s="18">
        <v>1021.1630396758201</v>
      </c>
      <c r="H354" s="17" t="s">
        <v>550</v>
      </c>
    </row>
    <row r="355" spans="1:8" x14ac:dyDescent="0.3">
      <c r="A355" s="17" t="s">
        <v>551</v>
      </c>
      <c r="B355" s="17">
        <v>1440</v>
      </c>
      <c r="C355" s="17">
        <v>1446</v>
      </c>
      <c r="D355" s="17">
        <v>7</v>
      </c>
      <c r="E355" s="17" t="s">
        <v>31</v>
      </c>
      <c r="F355" s="17" t="s">
        <v>33</v>
      </c>
      <c r="G355" s="18">
        <v>2223.3050511338201</v>
      </c>
      <c r="H355" s="17" t="s">
        <v>552</v>
      </c>
    </row>
    <row r="356" spans="1:8" x14ac:dyDescent="0.3">
      <c r="A356" s="17" t="s">
        <v>81</v>
      </c>
      <c r="B356" s="17">
        <v>1447</v>
      </c>
      <c r="C356" s="17">
        <v>1448</v>
      </c>
      <c r="D356" s="17">
        <v>2</v>
      </c>
      <c r="E356" s="17" t="s">
        <v>31</v>
      </c>
      <c r="F356" s="17" t="s">
        <v>33</v>
      </c>
      <c r="G356" s="18">
        <v>692.11051955106996</v>
      </c>
      <c r="H356" s="17" t="s">
        <v>553</v>
      </c>
    </row>
    <row r="357" spans="1:8" x14ac:dyDescent="0.3">
      <c r="A357" s="17" t="s">
        <v>132</v>
      </c>
      <c r="B357" s="17">
        <v>1449</v>
      </c>
      <c r="C357" s="17">
        <v>1450</v>
      </c>
      <c r="D357" s="17">
        <v>2</v>
      </c>
      <c r="E357" s="17" t="s">
        <v>31</v>
      </c>
      <c r="F357" s="17" t="s">
        <v>33</v>
      </c>
      <c r="G357" s="18">
        <v>668.09928616178001</v>
      </c>
      <c r="H357" s="17" t="s">
        <v>554</v>
      </c>
    </row>
    <row r="358" spans="1:8" x14ac:dyDescent="0.3">
      <c r="A358" s="17" t="s">
        <v>27</v>
      </c>
      <c r="B358" s="17">
        <v>1451</v>
      </c>
      <c r="C358" s="17">
        <v>1451</v>
      </c>
      <c r="D358" s="17">
        <v>1</v>
      </c>
      <c r="E358" s="17" t="s">
        <v>31</v>
      </c>
      <c r="F358" s="17" t="s">
        <v>33</v>
      </c>
      <c r="G358" s="18">
        <v>363.05799942632001</v>
      </c>
      <c r="H358" s="17" t="s">
        <v>555</v>
      </c>
    </row>
    <row r="359" spans="1:8" x14ac:dyDescent="0.3">
      <c r="A359" s="17" t="s">
        <v>27</v>
      </c>
      <c r="B359" s="17">
        <v>1452</v>
      </c>
      <c r="C359" s="17">
        <v>1452</v>
      </c>
      <c r="D359" s="17">
        <v>1</v>
      </c>
      <c r="E359" s="17" t="s">
        <v>31</v>
      </c>
      <c r="F359" s="17" t="s">
        <v>33</v>
      </c>
      <c r="G359" s="18">
        <v>363.05799942632001</v>
      </c>
      <c r="H359" s="17" t="s">
        <v>556</v>
      </c>
    </row>
    <row r="360" spans="1:8" x14ac:dyDescent="0.3">
      <c r="A360" s="17" t="s">
        <v>557</v>
      </c>
      <c r="B360" s="17">
        <v>1453</v>
      </c>
      <c r="C360" s="17">
        <v>1464</v>
      </c>
      <c r="D360" s="17">
        <v>12</v>
      </c>
      <c r="E360" s="17" t="s">
        <v>31</v>
      </c>
      <c r="F360" s="17" t="s">
        <v>33</v>
      </c>
      <c r="G360" s="18">
        <v>3820.5451849789902</v>
      </c>
      <c r="H360" s="17" t="s">
        <v>558</v>
      </c>
    </row>
    <row r="361" spans="1:8" x14ac:dyDescent="0.3">
      <c r="A361" s="17" t="s">
        <v>81</v>
      </c>
      <c r="B361" s="17">
        <v>1465</v>
      </c>
      <c r="C361" s="17">
        <v>1466</v>
      </c>
      <c r="D361" s="17">
        <v>2</v>
      </c>
      <c r="E361" s="17" t="s">
        <v>31</v>
      </c>
      <c r="F361" s="17" t="s">
        <v>33</v>
      </c>
      <c r="G361" s="18">
        <v>692.11051955106996</v>
      </c>
      <c r="H361" s="17" t="s">
        <v>559</v>
      </c>
    </row>
    <row r="362" spans="1:8" x14ac:dyDescent="0.3">
      <c r="A362" s="17" t="s">
        <v>560</v>
      </c>
      <c r="B362" s="17">
        <v>1467</v>
      </c>
      <c r="C362" s="17">
        <v>1475</v>
      </c>
      <c r="D362" s="17">
        <v>9</v>
      </c>
      <c r="E362" s="17" t="s">
        <v>31</v>
      </c>
      <c r="F362" s="17" t="s">
        <v>33</v>
      </c>
      <c r="G362" s="18">
        <v>2920.4209904199797</v>
      </c>
      <c r="H362" s="17" t="s">
        <v>561</v>
      </c>
    </row>
    <row r="363" spans="1:8" x14ac:dyDescent="0.3">
      <c r="A363" s="17" t="s">
        <v>27</v>
      </c>
      <c r="B363" s="17">
        <v>1476</v>
      </c>
      <c r="C363" s="17">
        <v>1476</v>
      </c>
      <c r="D363" s="17">
        <v>1</v>
      </c>
      <c r="E363" s="17" t="s">
        <v>31</v>
      </c>
      <c r="F363" s="17" t="s">
        <v>33</v>
      </c>
      <c r="G363" s="18">
        <v>363.05799942632001</v>
      </c>
      <c r="H363" s="17" t="s">
        <v>562</v>
      </c>
    </row>
    <row r="364" spans="1:8" x14ac:dyDescent="0.3">
      <c r="A364" s="17" t="s">
        <v>364</v>
      </c>
      <c r="B364" s="17">
        <v>1477</v>
      </c>
      <c r="C364" s="17">
        <v>1479</v>
      </c>
      <c r="D364" s="17">
        <v>3</v>
      </c>
      <c r="E364" s="17" t="s">
        <v>31</v>
      </c>
      <c r="F364" s="17" t="s">
        <v>33</v>
      </c>
      <c r="G364" s="18">
        <v>973.14057289723996</v>
      </c>
      <c r="H364" s="17" t="s">
        <v>563</v>
      </c>
    </row>
    <row r="365" spans="1:8" x14ac:dyDescent="0.3">
      <c r="A365" s="17" t="s">
        <v>27</v>
      </c>
      <c r="B365" s="17">
        <v>1480</v>
      </c>
      <c r="C365" s="17">
        <v>1480</v>
      </c>
      <c r="D365" s="17">
        <v>1</v>
      </c>
      <c r="E365" s="17" t="s">
        <v>31</v>
      </c>
      <c r="F365" s="17" t="s">
        <v>33</v>
      </c>
      <c r="G365" s="18">
        <v>363.05799942632001</v>
      </c>
      <c r="H365" s="17" t="s">
        <v>564</v>
      </c>
    </row>
    <row r="366" spans="1:8" x14ac:dyDescent="0.3">
      <c r="A366" s="17" t="s">
        <v>263</v>
      </c>
      <c r="B366" s="17">
        <v>1481</v>
      </c>
      <c r="C366" s="17">
        <v>1483</v>
      </c>
      <c r="D366" s="17">
        <v>3</v>
      </c>
      <c r="E366" s="17" t="s">
        <v>31</v>
      </c>
      <c r="F366" s="17" t="s">
        <v>33</v>
      </c>
      <c r="G366" s="18">
        <v>997.15180628653002</v>
      </c>
      <c r="H366" s="17" t="s">
        <v>565</v>
      </c>
    </row>
    <row r="367" spans="1:8" x14ac:dyDescent="0.3">
      <c r="A367" s="17" t="s">
        <v>1415</v>
      </c>
      <c r="B367" s="17">
        <v>1484</v>
      </c>
      <c r="C367" s="17">
        <v>1492</v>
      </c>
      <c r="D367" s="17">
        <v>9</v>
      </c>
      <c r="E367" s="17" t="s">
        <v>31</v>
      </c>
      <c r="F367" s="17" t="s">
        <v>33</v>
      </c>
      <c r="G367" s="18">
        <v>2857.3988579940301</v>
      </c>
      <c r="H367" s="17" t="s">
        <v>69</v>
      </c>
    </row>
    <row r="368" spans="1:8" x14ac:dyDescent="0.3">
      <c r="A368" s="17" t="s">
        <v>566</v>
      </c>
      <c r="B368" s="17">
        <v>1493</v>
      </c>
      <c r="C368" s="17">
        <v>1497</v>
      </c>
      <c r="D368" s="17">
        <v>5</v>
      </c>
      <c r="E368" s="17" t="s">
        <v>31</v>
      </c>
      <c r="F368" s="17" t="s">
        <v>33</v>
      </c>
      <c r="G368" s="18">
        <v>1646.2452787941102</v>
      </c>
      <c r="H368" s="17" t="s">
        <v>567</v>
      </c>
    </row>
    <row r="369" spans="1:8" x14ac:dyDescent="0.3">
      <c r="A369" s="17" t="s">
        <v>27</v>
      </c>
      <c r="B369" s="17">
        <v>1498</v>
      </c>
      <c r="C369" s="17">
        <v>1498</v>
      </c>
      <c r="D369" s="17">
        <v>1</v>
      </c>
      <c r="E369" s="17" t="s">
        <v>31</v>
      </c>
      <c r="F369" s="17" t="s">
        <v>33</v>
      </c>
      <c r="G369" s="18">
        <v>363.05799942632001</v>
      </c>
      <c r="H369" s="17" t="s">
        <v>568</v>
      </c>
    </row>
    <row r="370" spans="1:8" x14ac:dyDescent="0.3">
      <c r="A370" s="17" t="s">
        <v>132</v>
      </c>
      <c r="B370" s="17">
        <v>1499</v>
      </c>
      <c r="C370" s="17">
        <v>1500</v>
      </c>
      <c r="D370" s="17">
        <v>2</v>
      </c>
      <c r="E370" s="17" t="s">
        <v>31</v>
      </c>
      <c r="F370" s="17" t="s">
        <v>33</v>
      </c>
      <c r="G370" s="18">
        <v>668.09928616178001</v>
      </c>
      <c r="H370" s="17" t="s">
        <v>569</v>
      </c>
    </row>
    <row r="371" spans="1:8" x14ac:dyDescent="0.3">
      <c r="A371" s="17" t="s">
        <v>99</v>
      </c>
      <c r="B371" s="17">
        <v>1501</v>
      </c>
      <c r="C371" s="17">
        <v>1502</v>
      </c>
      <c r="D371" s="17">
        <v>2</v>
      </c>
      <c r="E371" s="17" t="s">
        <v>31</v>
      </c>
      <c r="F371" s="17" t="s">
        <v>33</v>
      </c>
      <c r="G371" s="18">
        <v>683.09895180914998</v>
      </c>
      <c r="H371" s="17" t="s">
        <v>570</v>
      </c>
    </row>
    <row r="372" spans="1:8" x14ac:dyDescent="0.3">
      <c r="A372" s="17" t="s">
        <v>27</v>
      </c>
      <c r="B372" s="17">
        <v>1503</v>
      </c>
      <c r="C372" s="17">
        <v>1503</v>
      </c>
      <c r="D372" s="17">
        <v>1</v>
      </c>
      <c r="E372" s="17" t="s">
        <v>31</v>
      </c>
      <c r="F372" s="17" t="s">
        <v>33</v>
      </c>
      <c r="G372" s="18">
        <v>363.05799942632001</v>
      </c>
      <c r="H372" s="17" t="s">
        <v>571</v>
      </c>
    </row>
    <row r="373" spans="1:8" x14ac:dyDescent="0.3">
      <c r="A373" s="17" t="s">
        <v>193</v>
      </c>
      <c r="B373" s="17">
        <v>1504</v>
      </c>
      <c r="C373" s="17">
        <v>1506</v>
      </c>
      <c r="D373" s="17">
        <v>3</v>
      </c>
      <c r="E373" s="17" t="s">
        <v>31</v>
      </c>
      <c r="F373" s="17" t="s">
        <v>33</v>
      </c>
      <c r="G373" s="18">
        <v>1021.1630396758201</v>
      </c>
      <c r="H373" s="17" t="s">
        <v>572</v>
      </c>
    </row>
    <row r="374" spans="1:8" x14ac:dyDescent="0.3">
      <c r="A374" s="17" t="s">
        <v>27</v>
      </c>
      <c r="B374" s="17">
        <v>1507</v>
      </c>
      <c r="C374" s="17">
        <v>1507</v>
      </c>
      <c r="D374" s="17">
        <v>1</v>
      </c>
      <c r="E374" s="17" t="s">
        <v>31</v>
      </c>
      <c r="F374" s="17" t="s">
        <v>33</v>
      </c>
      <c r="G374" s="18">
        <v>363.05799942632001</v>
      </c>
      <c r="H374" s="17" t="s">
        <v>573</v>
      </c>
    </row>
    <row r="375" spans="1:8" x14ac:dyDescent="0.3">
      <c r="A375" s="17" t="s">
        <v>1416</v>
      </c>
      <c r="B375" s="17">
        <v>1508</v>
      </c>
      <c r="C375" s="17">
        <v>1516</v>
      </c>
      <c r="D375" s="17">
        <v>9</v>
      </c>
      <c r="E375" s="17" t="s">
        <v>31</v>
      </c>
      <c r="F375" s="17" t="s">
        <v>33</v>
      </c>
      <c r="G375" s="18">
        <v>2896.4097570306899</v>
      </c>
      <c r="H375" s="17" t="s">
        <v>574</v>
      </c>
    </row>
    <row r="376" spans="1:8" x14ac:dyDescent="0.3">
      <c r="A376" s="17" t="s">
        <v>575</v>
      </c>
      <c r="B376" s="17">
        <v>1517</v>
      </c>
      <c r="C376" s="17">
        <v>1529</v>
      </c>
      <c r="D376" s="17">
        <v>13</v>
      </c>
      <c r="E376" s="17" t="s">
        <v>31</v>
      </c>
      <c r="F376" s="17" t="s">
        <v>33</v>
      </c>
      <c r="G376" s="18">
        <v>4131.5745696199001</v>
      </c>
      <c r="H376" s="17" t="s">
        <v>576</v>
      </c>
    </row>
    <row r="377" spans="1:8" x14ac:dyDescent="0.3">
      <c r="A377" s="17" t="s">
        <v>263</v>
      </c>
      <c r="B377" s="17">
        <v>1530</v>
      </c>
      <c r="C377" s="17">
        <v>1532</v>
      </c>
      <c r="D377" s="17">
        <v>3</v>
      </c>
      <c r="E377" s="17" t="s">
        <v>31</v>
      </c>
      <c r="F377" s="17" t="s">
        <v>33</v>
      </c>
      <c r="G377" s="18">
        <v>997.15180628653002</v>
      </c>
      <c r="H377" s="17" t="s">
        <v>577</v>
      </c>
    </row>
    <row r="378" spans="1:8" x14ac:dyDescent="0.3">
      <c r="A378" s="17" t="s">
        <v>578</v>
      </c>
      <c r="B378" s="17">
        <v>1533</v>
      </c>
      <c r="C378" s="17">
        <v>1539</v>
      </c>
      <c r="D378" s="17">
        <v>7</v>
      </c>
      <c r="E378" s="17" t="s">
        <v>31</v>
      </c>
      <c r="F378" s="17" t="s">
        <v>33</v>
      </c>
      <c r="G378" s="18">
        <v>2247.31628452311</v>
      </c>
      <c r="H378" s="17" t="s">
        <v>579</v>
      </c>
    </row>
    <row r="379" spans="1:8" x14ac:dyDescent="0.3">
      <c r="A379" s="17" t="s">
        <v>27</v>
      </c>
      <c r="B379" s="17">
        <v>1540</v>
      </c>
      <c r="C379" s="17">
        <v>1540</v>
      </c>
      <c r="D379" s="17">
        <v>1</v>
      </c>
      <c r="E379" s="17" t="s">
        <v>31</v>
      </c>
      <c r="F379" s="17" t="s">
        <v>33</v>
      </c>
      <c r="G379" s="18">
        <v>363.05799942632001</v>
      </c>
      <c r="H379" s="17" t="s">
        <v>580</v>
      </c>
    </row>
    <row r="380" spans="1:8" x14ac:dyDescent="0.3">
      <c r="A380" s="17" t="s">
        <v>1417</v>
      </c>
      <c r="B380" s="17">
        <v>1541</v>
      </c>
      <c r="C380" s="17">
        <v>1547</v>
      </c>
      <c r="D380" s="17">
        <v>7</v>
      </c>
      <c r="E380" s="17" t="s">
        <v>31</v>
      </c>
      <c r="F380" s="17" t="s">
        <v>33</v>
      </c>
      <c r="G380" s="18">
        <v>2262.3159501704799</v>
      </c>
      <c r="H380" s="17" t="s">
        <v>581</v>
      </c>
    </row>
    <row r="381" spans="1:8" x14ac:dyDescent="0.3">
      <c r="A381" s="17" t="s">
        <v>1418</v>
      </c>
      <c r="B381" s="17">
        <v>1548</v>
      </c>
      <c r="C381" s="17">
        <v>1557</v>
      </c>
      <c r="D381" s="17">
        <v>10</v>
      </c>
      <c r="E381" s="17" t="s">
        <v>31</v>
      </c>
      <c r="F381" s="17" t="s">
        <v>33</v>
      </c>
      <c r="G381" s="18">
        <v>3219.4741792499899</v>
      </c>
      <c r="H381" s="17" t="s">
        <v>582</v>
      </c>
    </row>
    <row r="382" spans="1:8" x14ac:dyDescent="0.3">
      <c r="A382" s="17" t="s">
        <v>27</v>
      </c>
      <c r="B382" s="17">
        <v>1558</v>
      </c>
      <c r="C382" s="17">
        <v>1558</v>
      </c>
      <c r="D382" s="17">
        <v>1</v>
      </c>
      <c r="E382" s="17" t="s">
        <v>31</v>
      </c>
      <c r="F382" s="17" t="s">
        <v>33</v>
      </c>
      <c r="G382" s="18">
        <v>363.05799942632001</v>
      </c>
      <c r="H382" s="17" t="s">
        <v>70</v>
      </c>
    </row>
    <row r="383" spans="1:8" x14ac:dyDescent="0.3">
      <c r="A383" s="17" t="s">
        <v>132</v>
      </c>
      <c r="B383" s="17">
        <v>1559</v>
      </c>
      <c r="C383" s="17">
        <v>1560</v>
      </c>
      <c r="D383" s="17">
        <v>2</v>
      </c>
      <c r="E383" s="17" t="s">
        <v>31</v>
      </c>
      <c r="F383" s="17" t="s">
        <v>33</v>
      </c>
      <c r="G383" s="18">
        <v>668.09928616178001</v>
      </c>
      <c r="H383" s="17" t="s">
        <v>583</v>
      </c>
    </row>
    <row r="384" spans="1:8" x14ac:dyDescent="0.3">
      <c r="A384" s="17" t="s">
        <v>99</v>
      </c>
      <c r="B384" s="17">
        <v>1561</v>
      </c>
      <c r="C384" s="17">
        <v>1562</v>
      </c>
      <c r="D384" s="17">
        <v>2</v>
      </c>
      <c r="E384" s="17" t="s">
        <v>31</v>
      </c>
      <c r="F384" s="17" t="s">
        <v>33</v>
      </c>
      <c r="G384" s="18">
        <v>683.09895180914998</v>
      </c>
      <c r="H384" s="17" t="s">
        <v>584</v>
      </c>
    </row>
    <row r="385" spans="1:8" x14ac:dyDescent="0.3">
      <c r="A385" s="17" t="s">
        <v>27</v>
      </c>
      <c r="B385" s="17">
        <v>1563</v>
      </c>
      <c r="C385" s="17">
        <v>1563</v>
      </c>
      <c r="D385" s="17">
        <v>1</v>
      </c>
      <c r="E385" s="17" t="s">
        <v>31</v>
      </c>
      <c r="F385" s="17" t="s">
        <v>33</v>
      </c>
      <c r="G385" s="18">
        <v>363.05799942632001</v>
      </c>
      <c r="H385" s="17" t="s">
        <v>585</v>
      </c>
    </row>
    <row r="386" spans="1:8" x14ac:dyDescent="0.3">
      <c r="A386" s="17" t="s">
        <v>27</v>
      </c>
      <c r="B386" s="17">
        <v>1564</v>
      </c>
      <c r="C386" s="17">
        <v>1564</v>
      </c>
      <c r="D386" s="17">
        <v>1</v>
      </c>
      <c r="E386" s="17" t="s">
        <v>31</v>
      </c>
      <c r="F386" s="17" t="s">
        <v>33</v>
      </c>
      <c r="G386" s="18">
        <v>363.05799942632001</v>
      </c>
      <c r="H386" s="17" t="s">
        <v>586</v>
      </c>
    </row>
    <row r="387" spans="1:8" x14ac:dyDescent="0.3">
      <c r="A387" s="17" t="s">
        <v>1419</v>
      </c>
      <c r="B387" s="17">
        <v>1565</v>
      </c>
      <c r="C387" s="17">
        <v>1571</v>
      </c>
      <c r="D387" s="17">
        <v>7</v>
      </c>
      <c r="E387" s="17" t="s">
        <v>31</v>
      </c>
      <c r="F387" s="17" t="s">
        <v>33</v>
      </c>
      <c r="G387" s="18">
        <v>2271.3275179124003</v>
      </c>
      <c r="H387" s="17" t="s">
        <v>587</v>
      </c>
    </row>
    <row r="388" spans="1:8" x14ac:dyDescent="0.3">
      <c r="A388" s="17" t="s">
        <v>588</v>
      </c>
      <c r="B388" s="17">
        <v>1572</v>
      </c>
      <c r="C388" s="17">
        <v>1579</v>
      </c>
      <c r="D388" s="17">
        <v>8</v>
      </c>
      <c r="E388" s="17" t="s">
        <v>31</v>
      </c>
      <c r="F388" s="17" t="s">
        <v>33</v>
      </c>
      <c r="G388" s="18">
        <v>2561.3691390004901</v>
      </c>
      <c r="H388" s="17" t="s">
        <v>589</v>
      </c>
    </row>
    <row r="389" spans="1:8" x14ac:dyDescent="0.3">
      <c r="A389" s="17" t="s">
        <v>81</v>
      </c>
      <c r="B389" s="17">
        <v>1580</v>
      </c>
      <c r="C389" s="17">
        <v>1581</v>
      </c>
      <c r="D389" s="17">
        <v>2</v>
      </c>
      <c r="E389" s="17" t="s">
        <v>31</v>
      </c>
      <c r="F389" s="17" t="s">
        <v>33</v>
      </c>
      <c r="G389" s="18">
        <v>692.11051955106996</v>
      </c>
      <c r="H389" s="17" t="s">
        <v>590</v>
      </c>
    </row>
    <row r="390" spans="1:8" x14ac:dyDescent="0.3">
      <c r="A390" s="17" t="s">
        <v>99</v>
      </c>
      <c r="B390" s="17">
        <v>1582</v>
      </c>
      <c r="C390" s="17">
        <v>1583</v>
      </c>
      <c r="D390" s="17">
        <v>2</v>
      </c>
      <c r="E390" s="17" t="s">
        <v>31</v>
      </c>
      <c r="F390" s="17" t="s">
        <v>33</v>
      </c>
      <c r="G390" s="18">
        <v>683.09895180914998</v>
      </c>
      <c r="H390" s="17" t="s">
        <v>591</v>
      </c>
    </row>
    <row r="391" spans="1:8" x14ac:dyDescent="0.3">
      <c r="A391" s="17" t="s">
        <v>27</v>
      </c>
      <c r="B391" s="17">
        <v>1584</v>
      </c>
      <c r="C391" s="17">
        <v>1584</v>
      </c>
      <c r="D391" s="17">
        <v>1</v>
      </c>
      <c r="E391" s="17" t="s">
        <v>31</v>
      </c>
      <c r="F391" s="17" t="s">
        <v>33</v>
      </c>
      <c r="G391" s="18">
        <v>363.05799942632001</v>
      </c>
      <c r="H391" s="17" t="s">
        <v>592</v>
      </c>
    </row>
    <row r="392" spans="1:8" x14ac:dyDescent="0.3">
      <c r="A392" s="17" t="s">
        <v>99</v>
      </c>
      <c r="B392" s="17">
        <v>1585</v>
      </c>
      <c r="C392" s="17">
        <v>1586</v>
      </c>
      <c r="D392" s="17">
        <v>2</v>
      </c>
      <c r="E392" s="17" t="s">
        <v>31</v>
      </c>
      <c r="F392" s="17" t="s">
        <v>33</v>
      </c>
      <c r="G392" s="18">
        <v>683.09895180914998</v>
      </c>
      <c r="H392" s="17" t="s">
        <v>593</v>
      </c>
    </row>
    <row r="393" spans="1:8" x14ac:dyDescent="0.3">
      <c r="A393" s="17" t="s">
        <v>27</v>
      </c>
      <c r="B393" s="17">
        <v>1587</v>
      </c>
      <c r="C393" s="17">
        <v>1587</v>
      </c>
      <c r="D393" s="17">
        <v>1</v>
      </c>
      <c r="E393" s="17" t="s">
        <v>31</v>
      </c>
      <c r="F393" s="17" t="s">
        <v>33</v>
      </c>
      <c r="G393" s="18">
        <v>363.05799942632001</v>
      </c>
      <c r="H393" s="17" t="s">
        <v>594</v>
      </c>
    </row>
    <row r="394" spans="1:8" x14ac:dyDescent="0.3">
      <c r="A394" s="17" t="s">
        <v>99</v>
      </c>
      <c r="B394" s="17">
        <v>1588</v>
      </c>
      <c r="C394" s="17">
        <v>1589</v>
      </c>
      <c r="D394" s="17">
        <v>2</v>
      </c>
      <c r="E394" s="17" t="s">
        <v>31</v>
      </c>
      <c r="F394" s="17" t="s">
        <v>33</v>
      </c>
      <c r="G394" s="18">
        <v>683.09895180914998</v>
      </c>
      <c r="H394" s="17" t="s">
        <v>595</v>
      </c>
    </row>
    <row r="395" spans="1:8" x14ac:dyDescent="0.3">
      <c r="A395" s="17" t="s">
        <v>105</v>
      </c>
      <c r="B395" s="17">
        <v>1590</v>
      </c>
      <c r="C395" s="17">
        <v>1592</v>
      </c>
      <c r="D395" s="17">
        <v>3</v>
      </c>
      <c r="E395" s="17" t="s">
        <v>31</v>
      </c>
      <c r="F395" s="17" t="s">
        <v>33</v>
      </c>
      <c r="G395" s="18">
        <v>988.14023854460993</v>
      </c>
      <c r="H395" s="17" t="s">
        <v>596</v>
      </c>
    </row>
    <row r="396" spans="1:8" x14ac:dyDescent="0.3">
      <c r="A396" s="17" t="s">
        <v>81</v>
      </c>
      <c r="B396" s="17">
        <v>1593</v>
      </c>
      <c r="C396" s="17">
        <v>1594</v>
      </c>
      <c r="D396" s="17">
        <v>2</v>
      </c>
      <c r="E396" s="17" t="s">
        <v>31</v>
      </c>
      <c r="F396" s="17" t="s">
        <v>33</v>
      </c>
      <c r="G396" s="18">
        <v>692.11051955106996</v>
      </c>
      <c r="H396" s="17" t="s">
        <v>597</v>
      </c>
    </row>
    <row r="397" spans="1:8" x14ac:dyDescent="0.3">
      <c r="A397" s="17" t="s">
        <v>489</v>
      </c>
      <c r="B397" s="17">
        <v>1595</v>
      </c>
      <c r="C397" s="17">
        <v>1599</v>
      </c>
      <c r="D397" s="17">
        <v>5</v>
      </c>
      <c r="E397" s="17" t="s">
        <v>31</v>
      </c>
      <c r="F397" s="17" t="s">
        <v>33</v>
      </c>
      <c r="G397" s="18">
        <v>1613.2224776629</v>
      </c>
      <c r="H397" s="17" t="s">
        <v>598</v>
      </c>
    </row>
    <row r="398" spans="1:8" x14ac:dyDescent="0.3">
      <c r="A398" s="17" t="s">
        <v>599</v>
      </c>
      <c r="B398" s="17">
        <v>1600</v>
      </c>
      <c r="C398" s="17">
        <v>1604</v>
      </c>
      <c r="D398" s="17">
        <v>5</v>
      </c>
      <c r="E398" s="17" t="s">
        <v>31</v>
      </c>
      <c r="F398" s="17" t="s">
        <v>33</v>
      </c>
      <c r="G398" s="18">
        <v>1646.2452787941102</v>
      </c>
      <c r="H398" s="17" t="s">
        <v>600</v>
      </c>
    </row>
    <row r="399" spans="1:8" x14ac:dyDescent="0.3">
      <c r="A399" s="17" t="s">
        <v>105</v>
      </c>
      <c r="B399" s="17">
        <v>1605</v>
      </c>
      <c r="C399" s="17">
        <v>1607</v>
      </c>
      <c r="D399" s="17">
        <v>3</v>
      </c>
      <c r="E399" s="17" t="s">
        <v>31</v>
      </c>
      <c r="F399" s="17" t="s">
        <v>33</v>
      </c>
      <c r="G399" s="18">
        <v>988.14023854460993</v>
      </c>
      <c r="H399" s="17" t="s">
        <v>601</v>
      </c>
    </row>
    <row r="400" spans="1:8" x14ac:dyDescent="0.3">
      <c r="A400" s="17" t="s">
        <v>602</v>
      </c>
      <c r="B400" s="17">
        <v>1608</v>
      </c>
      <c r="C400" s="17">
        <v>1611</v>
      </c>
      <c r="D400" s="17">
        <v>4</v>
      </c>
      <c r="E400" s="17" t="s">
        <v>31</v>
      </c>
      <c r="F400" s="17" t="s">
        <v>33</v>
      </c>
      <c r="G400" s="18">
        <v>1317.19275866936</v>
      </c>
      <c r="H400" s="17" t="s">
        <v>603</v>
      </c>
    </row>
    <row r="401" spans="1:8" x14ac:dyDescent="0.3">
      <c r="A401" s="17" t="s">
        <v>505</v>
      </c>
      <c r="B401" s="17">
        <v>1612</v>
      </c>
      <c r="C401" s="17">
        <v>1617</v>
      </c>
      <c r="D401" s="17">
        <v>6</v>
      </c>
      <c r="E401" s="17" t="s">
        <v>31</v>
      </c>
      <c r="F401" s="17" t="s">
        <v>33</v>
      </c>
      <c r="G401" s="18">
        <v>1903.2640987509901</v>
      </c>
      <c r="H401" s="17" t="s">
        <v>604</v>
      </c>
    </row>
    <row r="402" spans="1:8" x14ac:dyDescent="0.3">
      <c r="A402" s="17" t="s">
        <v>605</v>
      </c>
      <c r="B402" s="17">
        <v>1618</v>
      </c>
      <c r="C402" s="17">
        <v>1623</v>
      </c>
      <c r="D402" s="17">
        <v>6</v>
      </c>
      <c r="E402" s="17" t="s">
        <v>31</v>
      </c>
      <c r="F402" s="17" t="s">
        <v>33</v>
      </c>
      <c r="G402" s="18">
        <v>1936.2868998822</v>
      </c>
      <c r="H402" s="17" t="s">
        <v>606</v>
      </c>
    </row>
    <row r="403" spans="1:8" x14ac:dyDescent="0.3">
      <c r="A403" s="17" t="s">
        <v>99</v>
      </c>
      <c r="B403" s="17">
        <v>1624</v>
      </c>
      <c r="C403" s="17">
        <v>1625</v>
      </c>
      <c r="D403" s="17">
        <v>2</v>
      </c>
      <c r="E403" s="17" t="s">
        <v>31</v>
      </c>
      <c r="F403" s="17" t="s">
        <v>33</v>
      </c>
      <c r="G403" s="18">
        <v>683.09895180914998</v>
      </c>
      <c r="H403" s="17" t="s">
        <v>607</v>
      </c>
    </row>
    <row r="404" spans="1:8" x14ac:dyDescent="0.3">
      <c r="A404" s="17" t="s">
        <v>99</v>
      </c>
      <c r="B404" s="17">
        <v>1626</v>
      </c>
      <c r="C404" s="17">
        <v>1627</v>
      </c>
      <c r="D404" s="17">
        <v>2</v>
      </c>
      <c r="E404" s="17" t="s">
        <v>31</v>
      </c>
      <c r="F404" s="17" t="s">
        <v>33</v>
      </c>
      <c r="G404" s="18">
        <v>683.09895180914998</v>
      </c>
      <c r="H404" s="17" t="s">
        <v>608</v>
      </c>
    </row>
    <row r="405" spans="1:8" x14ac:dyDescent="0.3">
      <c r="A405" s="17" t="s">
        <v>132</v>
      </c>
      <c r="B405" s="17">
        <v>1628</v>
      </c>
      <c r="C405" s="17">
        <v>1629</v>
      </c>
      <c r="D405" s="17">
        <v>2</v>
      </c>
      <c r="E405" s="17" t="s">
        <v>31</v>
      </c>
      <c r="F405" s="17" t="s">
        <v>33</v>
      </c>
      <c r="G405" s="18">
        <v>668.09928616178001</v>
      </c>
      <c r="H405" s="17" t="s">
        <v>609</v>
      </c>
    </row>
    <row r="406" spans="1:8" x14ac:dyDescent="0.3">
      <c r="A406" s="17" t="s">
        <v>27</v>
      </c>
      <c r="B406" s="17">
        <v>1630</v>
      </c>
      <c r="C406" s="17">
        <v>1630</v>
      </c>
      <c r="D406" s="17">
        <v>1</v>
      </c>
      <c r="E406" s="17" t="s">
        <v>31</v>
      </c>
      <c r="F406" s="17" t="s">
        <v>33</v>
      </c>
      <c r="G406" s="18">
        <v>363.05799942632001</v>
      </c>
      <c r="H406" s="17" t="s">
        <v>610</v>
      </c>
    </row>
    <row r="407" spans="1:8" x14ac:dyDescent="0.3">
      <c r="A407" s="17" t="s">
        <v>611</v>
      </c>
      <c r="B407" s="17">
        <v>1631</v>
      </c>
      <c r="C407" s="17">
        <v>1637</v>
      </c>
      <c r="D407" s="17">
        <v>7</v>
      </c>
      <c r="E407" s="17" t="s">
        <v>31</v>
      </c>
      <c r="F407" s="17" t="s">
        <v>33</v>
      </c>
      <c r="G407" s="18">
        <v>2256.3278522650298</v>
      </c>
      <c r="H407" s="17" t="s">
        <v>612</v>
      </c>
    </row>
    <row r="408" spans="1:8" x14ac:dyDescent="0.3">
      <c r="A408" s="17" t="s">
        <v>411</v>
      </c>
      <c r="B408" s="17">
        <v>1638</v>
      </c>
      <c r="C408" s="17">
        <v>1642</v>
      </c>
      <c r="D408" s="17">
        <v>5</v>
      </c>
      <c r="E408" s="17" t="s">
        <v>31</v>
      </c>
      <c r="F408" s="17" t="s">
        <v>33</v>
      </c>
      <c r="G408" s="18">
        <v>1679.2680799253201</v>
      </c>
      <c r="H408" s="17" t="s">
        <v>613</v>
      </c>
    </row>
    <row r="409" spans="1:8" x14ac:dyDescent="0.3">
      <c r="A409" s="17" t="s">
        <v>614</v>
      </c>
      <c r="B409" s="17">
        <v>1643</v>
      </c>
      <c r="C409" s="17">
        <v>1653</v>
      </c>
      <c r="D409" s="17">
        <v>11</v>
      </c>
      <c r="E409" s="17" t="s">
        <v>31</v>
      </c>
      <c r="F409" s="17" t="s">
        <v>33</v>
      </c>
      <c r="G409" s="18">
        <v>3515.5038982435303</v>
      </c>
      <c r="H409" s="17" t="s">
        <v>615</v>
      </c>
    </row>
    <row r="410" spans="1:8" x14ac:dyDescent="0.3">
      <c r="A410" s="17" t="s">
        <v>99</v>
      </c>
      <c r="B410" s="17">
        <v>1654</v>
      </c>
      <c r="C410" s="17">
        <v>1655</v>
      </c>
      <c r="D410" s="17">
        <v>2</v>
      </c>
      <c r="E410" s="17" t="s">
        <v>31</v>
      </c>
      <c r="F410" s="17" t="s">
        <v>33</v>
      </c>
      <c r="G410" s="18">
        <v>683.09895180914998</v>
      </c>
      <c r="H410" s="17" t="s">
        <v>616</v>
      </c>
    </row>
    <row r="411" spans="1:8" x14ac:dyDescent="0.3">
      <c r="A411" s="17" t="s">
        <v>193</v>
      </c>
      <c r="B411" s="17">
        <v>1656</v>
      </c>
      <c r="C411" s="17">
        <v>1658</v>
      </c>
      <c r="D411" s="17">
        <v>3</v>
      </c>
      <c r="E411" s="17" t="s">
        <v>31</v>
      </c>
      <c r="F411" s="17" t="s">
        <v>33</v>
      </c>
      <c r="G411" s="18">
        <v>1021.1630396758201</v>
      </c>
      <c r="H411" s="17" t="s">
        <v>617</v>
      </c>
    </row>
    <row r="412" spans="1:8" x14ac:dyDescent="0.3">
      <c r="A412" s="17" t="s">
        <v>618</v>
      </c>
      <c r="B412" s="17">
        <v>1659</v>
      </c>
      <c r="C412" s="17">
        <v>1666</v>
      </c>
      <c r="D412" s="17">
        <v>8</v>
      </c>
      <c r="E412" s="17" t="s">
        <v>31</v>
      </c>
      <c r="F412" s="17" t="s">
        <v>33</v>
      </c>
      <c r="G412" s="18">
        <v>2633.4028391683601</v>
      </c>
      <c r="H412" s="17" t="s">
        <v>619</v>
      </c>
    </row>
    <row r="413" spans="1:8" x14ac:dyDescent="0.3">
      <c r="A413" s="17" t="s">
        <v>132</v>
      </c>
      <c r="B413" s="17">
        <v>1667</v>
      </c>
      <c r="C413" s="17">
        <v>1668</v>
      </c>
      <c r="D413" s="17">
        <v>2</v>
      </c>
      <c r="E413" s="17" t="s">
        <v>31</v>
      </c>
      <c r="F413" s="17" t="s">
        <v>33</v>
      </c>
      <c r="G413" s="18">
        <v>668.09928616178001</v>
      </c>
      <c r="H413" s="17" t="s">
        <v>620</v>
      </c>
    </row>
    <row r="414" spans="1:8" x14ac:dyDescent="0.3">
      <c r="A414" s="17" t="s">
        <v>99</v>
      </c>
      <c r="B414" s="17">
        <v>1669</v>
      </c>
      <c r="C414" s="17">
        <v>1670</v>
      </c>
      <c r="D414" s="17">
        <v>2</v>
      </c>
      <c r="E414" s="17" t="s">
        <v>31</v>
      </c>
      <c r="F414" s="17" t="s">
        <v>33</v>
      </c>
      <c r="G414" s="18">
        <v>683.09895180914998</v>
      </c>
      <c r="H414" s="17" t="s">
        <v>621</v>
      </c>
    </row>
    <row r="415" spans="1:8" x14ac:dyDescent="0.3">
      <c r="A415" s="17" t="s">
        <v>622</v>
      </c>
      <c r="B415" s="17">
        <v>1671</v>
      </c>
      <c r="C415" s="17">
        <v>1686</v>
      </c>
      <c r="D415" s="17">
        <v>16</v>
      </c>
      <c r="E415" s="17" t="s">
        <v>31</v>
      </c>
      <c r="F415" s="17" t="s">
        <v>33</v>
      </c>
      <c r="G415" s="18">
        <v>5142.7433633834398</v>
      </c>
      <c r="H415" s="17" t="s">
        <v>623</v>
      </c>
    </row>
    <row r="416" spans="1:8" x14ac:dyDescent="0.3">
      <c r="A416" s="17" t="s">
        <v>27</v>
      </c>
      <c r="B416" s="17">
        <v>1687</v>
      </c>
      <c r="C416" s="17">
        <v>1687</v>
      </c>
      <c r="D416" s="17">
        <v>1</v>
      </c>
      <c r="E416" s="17" t="s">
        <v>31</v>
      </c>
      <c r="F416" s="17" t="s">
        <v>33</v>
      </c>
      <c r="G416" s="18">
        <v>363.05799942632001</v>
      </c>
      <c r="H416" s="17" t="s">
        <v>624</v>
      </c>
    </row>
    <row r="417" spans="1:8" x14ac:dyDescent="0.3">
      <c r="A417" s="17" t="s">
        <v>214</v>
      </c>
      <c r="B417" s="17">
        <v>1688</v>
      </c>
      <c r="C417" s="17">
        <v>1691</v>
      </c>
      <c r="D417" s="17">
        <v>4</v>
      </c>
      <c r="E417" s="17" t="s">
        <v>31</v>
      </c>
      <c r="F417" s="17" t="s">
        <v>33</v>
      </c>
      <c r="G417" s="18">
        <v>1293.18152528007</v>
      </c>
      <c r="H417" s="17" t="s">
        <v>625</v>
      </c>
    </row>
    <row r="418" spans="1:8" x14ac:dyDescent="0.3">
      <c r="A418" s="17" t="s">
        <v>626</v>
      </c>
      <c r="B418" s="17">
        <v>1692</v>
      </c>
      <c r="C418" s="17">
        <v>1695</v>
      </c>
      <c r="D418" s="17">
        <v>4</v>
      </c>
      <c r="E418" s="17" t="s">
        <v>31</v>
      </c>
      <c r="F418" s="17" t="s">
        <v>33</v>
      </c>
      <c r="G418" s="18">
        <v>1302.1930930219901</v>
      </c>
      <c r="H418" s="17" t="s">
        <v>627</v>
      </c>
    </row>
    <row r="419" spans="1:8" x14ac:dyDescent="0.3">
      <c r="A419" s="17" t="s">
        <v>27</v>
      </c>
      <c r="B419" s="17">
        <v>1696</v>
      </c>
      <c r="C419" s="17">
        <v>1696</v>
      </c>
      <c r="D419" s="17">
        <v>1</v>
      </c>
      <c r="E419" s="17" t="s">
        <v>31</v>
      </c>
      <c r="F419" s="17" t="s">
        <v>33</v>
      </c>
      <c r="G419" s="18">
        <v>363.05799942632001</v>
      </c>
      <c r="H419" s="17" t="s">
        <v>628</v>
      </c>
    </row>
    <row r="420" spans="1:8" x14ac:dyDescent="0.3">
      <c r="A420" s="17" t="s">
        <v>190</v>
      </c>
      <c r="B420" s="17">
        <v>1697</v>
      </c>
      <c r="C420" s="17">
        <v>1701</v>
      </c>
      <c r="D420" s="17">
        <v>5</v>
      </c>
      <c r="E420" s="17" t="s">
        <v>31</v>
      </c>
      <c r="F420" s="17" t="s">
        <v>33</v>
      </c>
      <c r="G420" s="18">
        <v>1607.2343797574499</v>
      </c>
      <c r="H420" s="17" t="s">
        <v>629</v>
      </c>
    </row>
    <row r="421" spans="1:8" x14ac:dyDescent="0.3">
      <c r="A421" s="17" t="s">
        <v>27</v>
      </c>
      <c r="B421" s="17">
        <v>1702</v>
      </c>
      <c r="C421" s="17">
        <v>1702</v>
      </c>
      <c r="D421" s="17">
        <v>1</v>
      </c>
      <c r="E421" s="17" t="s">
        <v>31</v>
      </c>
      <c r="F421" s="17" t="s">
        <v>33</v>
      </c>
      <c r="G421" s="18">
        <v>363.05799942632001</v>
      </c>
      <c r="H421" s="17" t="s">
        <v>630</v>
      </c>
    </row>
    <row r="422" spans="1:8" x14ac:dyDescent="0.3">
      <c r="A422" s="17" t="s">
        <v>132</v>
      </c>
      <c r="B422" s="17">
        <v>1703</v>
      </c>
      <c r="C422" s="17">
        <v>1704</v>
      </c>
      <c r="D422" s="17">
        <v>2</v>
      </c>
      <c r="E422" s="17" t="s">
        <v>31</v>
      </c>
      <c r="F422" s="17" t="s">
        <v>33</v>
      </c>
      <c r="G422" s="18">
        <v>668.09928616178001</v>
      </c>
      <c r="H422" s="17" t="s">
        <v>631</v>
      </c>
    </row>
    <row r="423" spans="1:8" x14ac:dyDescent="0.3">
      <c r="A423" s="17" t="s">
        <v>99</v>
      </c>
      <c r="B423" s="17">
        <v>1705</v>
      </c>
      <c r="C423" s="17">
        <v>1706</v>
      </c>
      <c r="D423" s="17">
        <v>2</v>
      </c>
      <c r="E423" s="17" t="s">
        <v>31</v>
      </c>
      <c r="F423" s="17" t="s">
        <v>33</v>
      </c>
      <c r="G423" s="18">
        <v>683.09895180914998</v>
      </c>
      <c r="H423" s="17" t="s">
        <v>632</v>
      </c>
    </row>
    <row r="424" spans="1:8" x14ac:dyDescent="0.3">
      <c r="A424" s="17" t="s">
        <v>105</v>
      </c>
      <c r="B424" s="17">
        <v>1707</v>
      </c>
      <c r="C424" s="17">
        <v>1709</v>
      </c>
      <c r="D424" s="17">
        <v>3</v>
      </c>
      <c r="E424" s="17" t="s">
        <v>31</v>
      </c>
      <c r="F424" s="17" t="s">
        <v>33</v>
      </c>
      <c r="G424" s="18">
        <v>988.14023854460993</v>
      </c>
      <c r="H424" s="17" t="s">
        <v>633</v>
      </c>
    </row>
    <row r="425" spans="1:8" x14ac:dyDescent="0.3">
      <c r="A425" s="17" t="s">
        <v>207</v>
      </c>
      <c r="B425" s="17">
        <v>1710</v>
      </c>
      <c r="C425" s="17">
        <v>1713</v>
      </c>
      <c r="D425" s="17">
        <v>4</v>
      </c>
      <c r="E425" s="17" t="s">
        <v>31</v>
      </c>
      <c r="F425" s="17" t="s">
        <v>33</v>
      </c>
      <c r="G425" s="18">
        <v>1326.2043264112801</v>
      </c>
      <c r="H425" s="17" t="s">
        <v>634</v>
      </c>
    </row>
    <row r="426" spans="1:8" x14ac:dyDescent="0.3">
      <c r="A426" s="17" t="s">
        <v>81</v>
      </c>
      <c r="B426" s="17">
        <v>1714</v>
      </c>
      <c r="C426" s="17">
        <v>1715</v>
      </c>
      <c r="D426" s="17">
        <v>2</v>
      </c>
      <c r="E426" s="17" t="s">
        <v>31</v>
      </c>
      <c r="F426" s="17" t="s">
        <v>33</v>
      </c>
      <c r="G426" s="18">
        <v>692.11051955106996</v>
      </c>
      <c r="H426" s="17" t="s">
        <v>635</v>
      </c>
    </row>
    <row r="427" spans="1:8" x14ac:dyDescent="0.3">
      <c r="A427" s="17" t="s">
        <v>81</v>
      </c>
      <c r="B427" s="17">
        <v>1716</v>
      </c>
      <c r="C427" s="17">
        <v>1717</v>
      </c>
      <c r="D427" s="17">
        <v>2</v>
      </c>
      <c r="E427" s="17" t="s">
        <v>31</v>
      </c>
      <c r="F427" s="17" t="s">
        <v>33</v>
      </c>
      <c r="G427" s="18">
        <v>692.11051955106996</v>
      </c>
      <c r="H427" s="17" t="s">
        <v>636</v>
      </c>
    </row>
    <row r="428" spans="1:8" x14ac:dyDescent="0.3">
      <c r="A428" s="17" t="s">
        <v>637</v>
      </c>
      <c r="B428" s="17">
        <v>1718</v>
      </c>
      <c r="C428" s="17">
        <v>1724</v>
      </c>
      <c r="D428" s="17">
        <v>7</v>
      </c>
      <c r="E428" s="17" t="s">
        <v>31</v>
      </c>
      <c r="F428" s="17" t="s">
        <v>33</v>
      </c>
      <c r="G428" s="18">
        <v>2289.35065339624</v>
      </c>
      <c r="H428" s="17" t="s">
        <v>638</v>
      </c>
    </row>
    <row r="429" spans="1:8" x14ac:dyDescent="0.3">
      <c r="A429" s="17" t="s">
        <v>193</v>
      </c>
      <c r="B429" s="17">
        <v>1725</v>
      </c>
      <c r="C429" s="17">
        <v>1727</v>
      </c>
      <c r="D429" s="17">
        <v>3</v>
      </c>
      <c r="E429" s="17" t="s">
        <v>31</v>
      </c>
      <c r="F429" s="17" t="s">
        <v>33</v>
      </c>
      <c r="G429" s="18">
        <v>1021.1630396758201</v>
      </c>
      <c r="H429" s="17" t="s">
        <v>639</v>
      </c>
    </row>
    <row r="430" spans="1:8" x14ac:dyDescent="0.3">
      <c r="A430" s="17" t="s">
        <v>101</v>
      </c>
      <c r="B430" s="17">
        <v>1728</v>
      </c>
      <c r="C430" s="17">
        <v>1733</v>
      </c>
      <c r="D430" s="17">
        <v>6</v>
      </c>
      <c r="E430" s="17" t="s">
        <v>31</v>
      </c>
      <c r="F430" s="17" t="s">
        <v>33</v>
      </c>
      <c r="G430" s="18">
        <v>1933.2634300457298</v>
      </c>
      <c r="H430" s="17" t="s">
        <v>640</v>
      </c>
    </row>
    <row r="431" spans="1:8" x14ac:dyDescent="0.3">
      <c r="A431" s="17" t="s">
        <v>641</v>
      </c>
      <c r="B431" s="17">
        <v>1734</v>
      </c>
      <c r="C431" s="17">
        <v>1742</v>
      </c>
      <c r="D431" s="17">
        <v>9</v>
      </c>
      <c r="E431" s="17" t="s">
        <v>31</v>
      </c>
      <c r="F431" s="17" t="s">
        <v>33</v>
      </c>
      <c r="G431" s="18">
        <v>2881.4100913833204</v>
      </c>
      <c r="H431" s="17" t="s">
        <v>642</v>
      </c>
    </row>
    <row r="432" spans="1:8" x14ac:dyDescent="0.3">
      <c r="A432" s="17" t="s">
        <v>263</v>
      </c>
      <c r="B432" s="17">
        <v>1743</v>
      </c>
      <c r="C432" s="17">
        <v>1745</v>
      </c>
      <c r="D432" s="17">
        <v>3</v>
      </c>
      <c r="E432" s="17" t="s">
        <v>31</v>
      </c>
      <c r="F432" s="17" t="s">
        <v>33</v>
      </c>
      <c r="G432" s="18">
        <v>997.15180628653002</v>
      </c>
      <c r="H432" s="17" t="s">
        <v>643</v>
      </c>
    </row>
    <row r="433" spans="1:8" x14ac:dyDescent="0.3">
      <c r="A433" s="17" t="s">
        <v>644</v>
      </c>
      <c r="B433" s="17">
        <v>1746</v>
      </c>
      <c r="C433" s="17">
        <v>1749</v>
      </c>
      <c r="D433" s="17">
        <v>4</v>
      </c>
      <c r="E433" s="17" t="s">
        <v>31</v>
      </c>
      <c r="F433" s="17" t="s">
        <v>33</v>
      </c>
      <c r="G433" s="18">
        <v>1323.1808565748099</v>
      </c>
      <c r="H433" s="17" t="s">
        <v>645</v>
      </c>
    </row>
    <row r="434" spans="1:8" x14ac:dyDescent="0.3">
      <c r="A434" s="17" t="s">
        <v>27</v>
      </c>
      <c r="B434" s="17">
        <v>1750</v>
      </c>
      <c r="C434" s="17">
        <v>1750</v>
      </c>
      <c r="D434" s="17">
        <v>1</v>
      </c>
      <c r="E434" s="17" t="s">
        <v>31</v>
      </c>
      <c r="F434" s="17" t="s">
        <v>33</v>
      </c>
      <c r="G434" s="18">
        <v>363.05799942632001</v>
      </c>
      <c r="H434" s="17" t="s">
        <v>71</v>
      </c>
    </row>
    <row r="435" spans="1:8" x14ac:dyDescent="0.3">
      <c r="A435" s="17" t="s">
        <v>364</v>
      </c>
      <c r="B435" s="17">
        <v>1751</v>
      </c>
      <c r="C435" s="17">
        <v>1753</v>
      </c>
      <c r="D435" s="17">
        <v>3</v>
      </c>
      <c r="E435" s="17" t="s">
        <v>31</v>
      </c>
      <c r="F435" s="17" t="s">
        <v>33</v>
      </c>
      <c r="G435" s="18">
        <v>973.14057289723996</v>
      </c>
      <c r="H435" s="17" t="s">
        <v>646</v>
      </c>
    </row>
    <row r="436" spans="1:8" x14ac:dyDescent="0.3">
      <c r="A436" s="17" t="s">
        <v>27</v>
      </c>
      <c r="B436" s="17">
        <v>1754</v>
      </c>
      <c r="C436" s="17">
        <v>1754</v>
      </c>
      <c r="D436" s="17">
        <v>1</v>
      </c>
      <c r="E436" s="17" t="s">
        <v>31</v>
      </c>
      <c r="F436" s="17" t="s">
        <v>33</v>
      </c>
      <c r="G436" s="18">
        <v>363.05799942632001</v>
      </c>
      <c r="H436" s="17" t="s">
        <v>647</v>
      </c>
    </row>
    <row r="437" spans="1:8" x14ac:dyDescent="0.3">
      <c r="A437" s="17" t="s">
        <v>27</v>
      </c>
      <c r="B437" s="17">
        <v>1755</v>
      </c>
      <c r="C437" s="17">
        <v>1755</v>
      </c>
      <c r="D437" s="17">
        <v>1</v>
      </c>
      <c r="E437" s="17" t="s">
        <v>31</v>
      </c>
      <c r="F437" s="17" t="s">
        <v>33</v>
      </c>
      <c r="G437" s="18">
        <v>363.05799942632001</v>
      </c>
      <c r="H437" s="17" t="s">
        <v>648</v>
      </c>
    </row>
    <row r="438" spans="1:8" x14ac:dyDescent="0.3">
      <c r="A438" s="17" t="s">
        <v>649</v>
      </c>
      <c r="B438" s="17">
        <v>1756</v>
      </c>
      <c r="C438" s="17">
        <v>1761</v>
      </c>
      <c r="D438" s="17">
        <v>6</v>
      </c>
      <c r="E438" s="17" t="s">
        <v>31</v>
      </c>
      <c r="F438" s="17" t="s">
        <v>33</v>
      </c>
      <c r="G438" s="18">
        <v>1966.28623117694</v>
      </c>
      <c r="H438" s="17" t="s">
        <v>650</v>
      </c>
    </row>
    <row r="439" spans="1:8" x14ac:dyDescent="0.3">
      <c r="A439" s="17" t="s">
        <v>364</v>
      </c>
      <c r="B439" s="17">
        <v>1762</v>
      </c>
      <c r="C439" s="17">
        <v>1764</v>
      </c>
      <c r="D439" s="17">
        <v>3</v>
      </c>
      <c r="E439" s="17" t="s">
        <v>31</v>
      </c>
      <c r="F439" s="17" t="s">
        <v>33</v>
      </c>
      <c r="G439" s="18">
        <v>973.14057289723996</v>
      </c>
      <c r="H439" s="17" t="s">
        <v>651</v>
      </c>
    </row>
    <row r="440" spans="1:8" x14ac:dyDescent="0.3">
      <c r="A440" s="17" t="s">
        <v>652</v>
      </c>
      <c r="B440" s="17">
        <v>1765</v>
      </c>
      <c r="C440" s="17">
        <v>1773</v>
      </c>
      <c r="D440" s="17">
        <v>9</v>
      </c>
      <c r="E440" s="17" t="s">
        <v>31</v>
      </c>
      <c r="F440" s="17" t="s">
        <v>33</v>
      </c>
      <c r="G440" s="18">
        <v>2914.4328925145296</v>
      </c>
      <c r="H440" s="17" t="s">
        <v>653</v>
      </c>
    </row>
    <row r="441" spans="1:8" x14ac:dyDescent="0.3">
      <c r="A441" s="17" t="s">
        <v>181</v>
      </c>
      <c r="B441" s="17">
        <v>1774</v>
      </c>
      <c r="C441" s="17">
        <v>1776</v>
      </c>
      <c r="D441" s="17">
        <v>3</v>
      </c>
      <c r="E441" s="17" t="s">
        <v>31</v>
      </c>
      <c r="F441" s="17" t="s">
        <v>33</v>
      </c>
      <c r="G441" s="18">
        <v>997.15180628653002</v>
      </c>
      <c r="H441" s="17" t="s">
        <v>654</v>
      </c>
    </row>
    <row r="442" spans="1:8" x14ac:dyDescent="0.3">
      <c r="A442" s="17" t="s">
        <v>364</v>
      </c>
      <c r="B442" s="17">
        <v>1777</v>
      </c>
      <c r="C442" s="17">
        <v>1779</v>
      </c>
      <c r="D442" s="17">
        <v>3</v>
      </c>
      <c r="E442" s="17" t="s">
        <v>31</v>
      </c>
      <c r="F442" s="17" t="s">
        <v>33</v>
      </c>
      <c r="G442" s="18">
        <v>973.14057289723996</v>
      </c>
      <c r="H442" s="17" t="s">
        <v>655</v>
      </c>
    </row>
    <row r="443" spans="1:8" x14ac:dyDescent="0.3">
      <c r="A443" s="17" t="s">
        <v>656</v>
      </c>
      <c r="B443" s="17">
        <v>1780</v>
      </c>
      <c r="C443" s="17">
        <v>1783</v>
      </c>
      <c r="D443" s="17">
        <v>4</v>
      </c>
      <c r="E443" s="17" t="s">
        <v>31</v>
      </c>
      <c r="F443" s="17" t="s">
        <v>33</v>
      </c>
      <c r="G443" s="18">
        <v>1332.19242431673</v>
      </c>
      <c r="H443" s="17" t="s">
        <v>657</v>
      </c>
    </row>
    <row r="444" spans="1:8" x14ac:dyDescent="0.3">
      <c r="A444" s="17" t="s">
        <v>81</v>
      </c>
      <c r="B444" s="17">
        <v>1784</v>
      </c>
      <c r="C444" s="17">
        <v>1785</v>
      </c>
      <c r="D444" s="17">
        <v>2</v>
      </c>
      <c r="E444" s="17" t="s">
        <v>31</v>
      </c>
      <c r="F444" s="17" t="s">
        <v>33</v>
      </c>
      <c r="G444" s="18">
        <v>692.11051955106996</v>
      </c>
      <c r="H444" s="17" t="s">
        <v>658</v>
      </c>
    </row>
    <row r="445" spans="1:8" x14ac:dyDescent="0.3">
      <c r="A445" s="17" t="s">
        <v>659</v>
      </c>
      <c r="B445" s="17">
        <v>1786</v>
      </c>
      <c r="C445" s="17">
        <v>1793</v>
      </c>
      <c r="D445" s="17">
        <v>8</v>
      </c>
      <c r="E445" s="17" t="s">
        <v>31</v>
      </c>
      <c r="F445" s="17" t="s">
        <v>33</v>
      </c>
      <c r="G445" s="18">
        <v>2561.3691390004901</v>
      </c>
      <c r="H445" s="17" t="s">
        <v>660</v>
      </c>
    </row>
    <row r="446" spans="1:8" x14ac:dyDescent="0.3">
      <c r="A446" s="17" t="s">
        <v>338</v>
      </c>
      <c r="B446" s="17">
        <v>1794</v>
      </c>
      <c r="C446" s="17">
        <v>1799</v>
      </c>
      <c r="D446" s="17">
        <v>6</v>
      </c>
      <c r="E446" s="17" t="s">
        <v>31</v>
      </c>
      <c r="F446" s="17" t="s">
        <v>33</v>
      </c>
      <c r="G446" s="18">
        <v>1951.2865655295702</v>
      </c>
      <c r="H446" s="17" t="s">
        <v>661</v>
      </c>
    </row>
    <row r="447" spans="1:8" x14ac:dyDescent="0.3">
      <c r="A447" s="17" t="s">
        <v>27</v>
      </c>
      <c r="B447" s="17">
        <v>1800</v>
      </c>
      <c r="C447" s="17">
        <v>1800</v>
      </c>
      <c r="D447" s="17">
        <v>1</v>
      </c>
      <c r="E447" s="17" t="s">
        <v>31</v>
      </c>
      <c r="F447" s="17" t="s">
        <v>33</v>
      </c>
      <c r="G447" s="18">
        <v>363.05799942632001</v>
      </c>
      <c r="H447" s="17" t="s">
        <v>662</v>
      </c>
    </row>
    <row r="448" spans="1:8" x14ac:dyDescent="0.3">
      <c r="A448" s="17" t="s">
        <v>663</v>
      </c>
      <c r="B448" s="17">
        <v>1801</v>
      </c>
      <c r="C448" s="17">
        <v>1808</v>
      </c>
      <c r="D448" s="17">
        <v>8</v>
      </c>
      <c r="E448" s="17" t="s">
        <v>31</v>
      </c>
      <c r="F448" s="17" t="s">
        <v>33</v>
      </c>
      <c r="G448" s="18">
        <v>2600.3800380371499</v>
      </c>
      <c r="H448" s="17" t="s">
        <v>664</v>
      </c>
    </row>
    <row r="449" spans="1:8" x14ac:dyDescent="0.3">
      <c r="A449" s="17" t="s">
        <v>27</v>
      </c>
      <c r="B449" s="17">
        <v>1809</v>
      </c>
      <c r="C449" s="17">
        <v>1809</v>
      </c>
      <c r="D449" s="17">
        <v>1</v>
      </c>
      <c r="E449" s="17" t="s">
        <v>31</v>
      </c>
      <c r="F449" s="17" t="s">
        <v>33</v>
      </c>
      <c r="G449" s="18">
        <v>363.05799942632001</v>
      </c>
      <c r="H449" s="17" t="s">
        <v>665</v>
      </c>
    </row>
    <row r="450" spans="1:8" x14ac:dyDescent="0.3">
      <c r="A450" s="17" t="s">
        <v>666</v>
      </c>
      <c r="B450" s="17">
        <v>1810</v>
      </c>
      <c r="C450" s="17">
        <v>1822</v>
      </c>
      <c r="D450" s="17">
        <v>13</v>
      </c>
      <c r="E450" s="17" t="s">
        <v>31</v>
      </c>
      <c r="F450" s="17" t="s">
        <v>33</v>
      </c>
      <c r="G450" s="18">
        <v>4140.58613736182</v>
      </c>
      <c r="H450" s="17" t="s">
        <v>667</v>
      </c>
    </row>
    <row r="451" spans="1:8" x14ac:dyDescent="0.3">
      <c r="A451" s="17" t="s">
        <v>263</v>
      </c>
      <c r="B451" s="17">
        <v>1823</v>
      </c>
      <c r="C451" s="17">
        <v>1825</v>
      </c>
      <c r="D451" s="17">
        <v>3</v>
      </c>
      <c r="E451" s="17" t="s">
        <v>31</v>
      </c>
      <c r="F451" s="17" t="s">
        <v>33</v>
      </c>
      <c r="G451" s="18">
        <v>997.15180628653002</v>
      </c>
      <c r="H451" s="17" t="s">
        <v>668</v>
      </c>
    </row>
    <row r="452" spans="1:8" x14ac:dyDescent="0.3">
      <c r="A452" s="17" t="s">
        <v>489</v>
      </c>
      <c r="B452" s="17">
        <v>1826</v>
      </c>
      <c r="C452" s="17">
        <v>1830</v>
      </c>
      <c r="D452" s="17">
        <v>5</v>
      </c>
      <c r="E452" s="17" t="s">
        <v>31</v>
      </c>
      <c r="F452" s="17" t="s">
        <v>33</v>
      </c>
      <c r="G452" s="18">
        <v>1613.2224776629</v>
      </c>
      <c r="H452" s="17" t="s">
        <v>669</v>
      </c>
    </row>
    <row r="453" spans="1:8" x14ac:dyDescent="0.3">
      <c r="A453" s="17" t="s">
        <v>27</v>
      </c>
      <c r="B453" s="17">
        <v>1831</v>
      </c>
      <c r="C453" s="17">
        <v>1831</v>
      </c>
      <c r="D453" s="17">
        <v>1</v>
      </c>
      <c r="E453" s="17" t="s">
        <v>31</v>
      </c>
      <c r="F453" s="17" t="s">
        <v>33</v>
      </c>
      <c r="G453" s="18">
        <v>363.05799942632001</v>
      </c>
      <c r="H453" s="17" t="s">
        <v>670</v>
      </c>
    </row>
    <row r="454" spans="1:8" x14ac:dyDescent="0.3">
      <c r="A454" s="17" t="s">
        <v>132</v>
      </c>
      <c r="B454" s="17">
        <v>1832</v>
      </c>
      <c r="C454" s="17">
        <v>1833</v>
      </c>
      <c r="D454" s="17">
        <v>2</v>
      </c>
      <c r="E454" s="17" t="s">
        <v>31</v>
      </c>
      <c r="F454" s="17" t="s">
        <v>33</v>
      </c>
      <c r="G454" s="18">
        <v>668.09928616178001</v>
      </c>
      <c r="H454" s="17" t="s">
        <v>671</v>
      </c>
    </row>
    <row r="455" spans="1:8" x14ac:dyDescent="0.3">
      <c r="A455" s="17" t="s">
        <v>27</v>
      </c>
      <c r="B455" s="17">
        <v>1834</v>
      </c>
      <c r="C455" s="17">
        <v>1834</v>
      </c>
      <c r="D455" s="17">
        <v>1</v>
      </c>
      <c r="E455" s="17" t="s">
        <v>31</v>
      </c>
      <c r="F455" s="17" t="s">
        <v>33</v>
      </c>
      <c r="G455" s="18">
        <v>363.05799942632001</v>
      </c>
      <c r="H455" s="17" t="s">
        <v>672</v>
      </c>
    </row>
    <row r="456" spans="1:8" x14ac:dyDescent="0.3">
      <c r="A456" s="17" t="s">
        <v>81</v>
      </c>
      <c r="B456" s="17">
        <v>1835</v>
      </c>
      <c r="C456" s="17">
        <v>1836</v>
      </c>
      <c r="D456" s="17">
        <v>2</v>
      </c>
      <c r="E456" s="17" t="s">
        <v>31</v>
      </c>
      <c r="F456" s="17" t="s">
        <v>33</v>
      </c>
      <c r="G456" s="18">
        <v>692.11051955106996</v>
      </c>
      <c r="H456" s="17" t="s">
        <v>673</v>
      </c>
    </row>
    <row r="457" spans="1:8" x14ac:dyDescent="0.3">
      <c r="A457" s="17" t="s">
        <v>99</v>
      </c>
      <c r="B457" s="17">
        <v>1837</v>
      </c>
      <c r="C457" s="17">
        <v>1838</v>
      </c>
      <c r="D457" s="17">
        <v>2</v>
      </c>
      <c r="E457" s="17" t="s">
        <v>31</v>
      </c>
      <c r="F457" s="17" t="s">
        <v>33</v>
      </c>
      <c r="G457" s="18">
        <v>683.09895180914998</v>
      </c>
      <c r="H457" s="17" t="s">
        <v>674</v>
      </c>
    </row>
    <row r="458" spans="1:8" x14ac:dyDescent="0.3">
      <c r="A458" s="17" t="s">
        <v>675</v>
      </c>
      <c r="B458" s="17">
        <v>1839</v>
      </c>
      <c r="C458" s="17">
        <v>1842</v>
      </c>
      <c r="D458" s="17">
        <v>4</v>
      </c>
      <c r="E458" s="17" t="s">
        <v>31</v>
      </c>
      <c r="F458" s="17" t="s">
        <v>33</v>
      </c>
      <c r="G458" s="18">
        <v>1308.18119092744</v>
      </c>
      <c r="H458" s="17" t="s">
        <v>676</v>
      </c>
    </row>
    <row r="459" spans="1:8" x14ac:dyDescent="0.3">
      <c r="A459" s="17" t="s">
        <v>99</v>
      </c>
      <c r="B459" s="17">
        <v>1843</v>
      </c>
      <c r="C459" s="17">
        <v>1844</v>
      </c>
      <c r="D459" s="17">
        <v>2</v>
      </c>
      <c r="E459" s="17" t="s">
        <v>31</v>
      </c>
      <c r="F459" s="17" t="s">
        <v>33</v>
      </c>
      <c r="G459" s="18">
        <v>683.09895180914998</v>
      </c>
      <c r="H459" s="17" t="s">
        <v>677</v>
      </c>
    </row>
    <row r="460" spans="1:8" x14ac:dyDescent="0.3">
      <c r="A460" s="17" t="s">
        <v>678</v>
      </c>
      <c r="B460" s="17">
        <v>1845</v>
      </c>
      <c r="C460" s="17">
        <v>1854</v>
      </c>
      <c r="D460" s="17">
        <v>10</v>
      </c>
      <c r="E460" s="17" t="s">
        <v>31</v>
      </c>
      <c r="F460" s="17" t="s">
        <v>33</v>
      </c>
      <c r="G460" s="18">
        <v>3186.4513781187802</v>
      </c>
      <c r="H460" s="17" t="s">
        <v>679</v>
      </c>
    </row>
    <row r="461" spans="1:8" x14ac:dyDescent="0.3">
      <c r="A461" s="17" t="s">
        <v>27</v>
      </c>
      <c r="B461" s="17">
        <v>1855</v>
      </c>
      <c r="C461" s="17">
        <v>1855</v>
      </c>
      <c r="D461" s="17">
        <v>1</v>
      </c>
      <c r="E461" s="17" t="s">
        <v>31</v>
      </c>
      <c r="F461" s="17" t="s">
        <v>33</v>
      </c>
      <c r="G461" s="18">
        <v>363.05799942632001</v>
      </c>
      <c r="H461" s="17" t="s">
        <v>680</v>
      </c>
    </row>
    <row r="462" spans="1:8" x14ac:dyDescent="0.3">
      <c r="A462" s="17" t="s">
        <v>681</v>
      </c>
      <c r="B462" s="17">
        <v>1856</v>
      </c>
      <c r="C462" s="17">
        <v>1867</v>
      </c>
      <c r="D462" s="17">
        <v>12</v>
      </c>
      <c r="E462" s="17" t="s">
        <v>31</v>
      </c>
      <c r="F462" s="17" t="s">
        <v>33</v>
      </c>
      <c r="G462" s="18">
        <v>3838.5683204628303</v>
      </c>
      <c r="H462" s="17" t="s">
        <v>682</v>
      </c>
    </row>
    <row r="463" spans="1:8" x14ac:dyDescent="0.3">
      <c r="A463" s="17" t="s">
        <v>683</v>
      </c>
      <c r="B463" s="17">
        <v>1868</v>
      </c>
      <c r="C463" s="17">
        <v>1874</v>
      </c>
      <c r="D463" s="17">
        <v>7</v>
      </c>
      <c r="E463" s="17" t="s">
        <v>31</v>
      </c>
      <c r="F463" s="17" t="s">
        <v>33</v>
      </c>
      <c r="G463" s="18">
        <v>2280.3390856543197</v>
      </c>
      <c r="H463" s="17" t="s">
        <v>684</v>
      </c>
    </row>
    <row r="464" spans="1:8" x14ac:dyDescent="0.3">
      <c r="A464" s="17" t="s">
        <v>27</v>
      </c>
      <c r="B464" s="17">
        <v>1875</v>
      </c>
      <c r="C464" s="17">
        <v>1875</v>
      </c>
      <c r="D464" s="17">
        <v>1</v>
      </c>
      <c r="E464" s="17" t="s">
        <v>31</v>
      </c>
      <c r="F464" s="17" t="s">
        <v>33</v>
      </c>
      <c r="G464" s="18">
        <v>363.05799942632001</v>
      </c>
      <c r="H464" s="17" t="s">
        <v>685</v>
      </c>
    </row>
    <row r="465" spans="1:8" x14ac:dyDescent="0.3">
      <c r="A465" s="17" t="s">
        <v>99</v>
      </c>
      <c r="B465" s="17">
        <v>1876</v>
      </c>
      <c r="C465" s="17">
        <v>1877</v>
      </c>
      <c r="D465" s="17">
        <v>2</v>
      </c>
      <c r="E465" s="17" t="s">
        <v>31</v>
      </c>
      <c r="F465" s="17" t="s">
        <v>33</v>
      </c>
      <c r="G465" s="18">
        <v>683.09895180914998</v>
      </c>
      <c r="H465" s="17" t="s">
        <v>686</v>
      </c>
    </row>
    <row r="466" spans="1:8" x14ac:dyDescent="0.3">
      <c r="A466" s="17" t="s">
        <v>27</v>
      </c>
      <c r="B466" s="17">
        <v>1878</v>
      </c>
      <c r="C466" s="17">
        <v>1878</v>
      </c>
      <c r="D466" s="17">
        <v>1</v>
      </c>
      <c r="E466" s="17" t="s">
        <v>31</v>
      </c>
      <c r="F466" s="17" t="s">
        <v>33</v>
      </c>
      <c r="G466" s="18">
        <v>363.05799942632001</v>
      </c>
      <c r="H466" s="17" t="s">
        <v>687</v>
      </c>
    </row>
    <row r="467" spans="1:8" x14ac:dyDescent="0.3">
      <c r="A467" s="17" t="s">
        <v>263</v>
      </c>
      <c r="B467" s="17">
        <v>1879</v>
      </c>
      <c r="C467" s="17">
        <v>1881</v>
      </c>
      <c r="D467" s="17">
        <v>3</v>
      </c>
      <c r="E467" s="17" t="s">
        <v>31</v>
      </c>
      <c r="F467" s="17" t="s">
        <v>33</v>
      </c>
      <c r="G467" s="18">
        <v>997.15180628653002</v>
      </c>
      <c r="H467" s="17" t="s">
        <v>688</v>
      </c>
    </row>
    <row r="468" spans="1:8" x14ac:dyDescent="0.3">
      <c r="A468" s="17" t="s">
        <v>99</v>
      </c>
      <c r="B468" s="17">
        <v>1882</v>
      </c>
      <c r="C468" s="17">
        <v>1883</v>
      </c>
      <c r="D468" s="17">
        <v>2</v>
      </c>
      <c r="E468" s="17" t="s">
        <v>31</v>
      </c>
      <c r="F468" s="17" t="s">
        <v>33</v>
      </c>
      <c r="G468" s="18">
        <v>683.09895180914998</v>
      </c>
      <c r="H468" s="17" t="s">
        <v>689</v>
      </c>
    </row>
    <row r="469" spans="1:8" x14ac:dyDescent="0.3">
      <c r="A469" s="17" t="s">
        <v>105</v>
      </c>
      <c r="B469" s="17">
        <v>1884</v>
      </c>
      <c r="C469" s="17">
        <v>1886</v>
      </c>
      <c r="D469" s="17">
        <v>3</v>
      </c>
      <c r="E469" s="17" t="s">
        <v>31</v>
      </c>
      <c r="F469" s="17" t="s">
        <v>33</v>
      </c>
      <c r="G469" s="18">
        <v>988.14023854460993</v>
      </c>
      <c r="H469" s="17" t="s">
        <v>690</v>
      </c>
    </row>
    <row r="470" spans="1:8" x14ac:dyDescent="0.3">
      <c r="A470" s="17" t="s">
        <v>691</v>
      </c>
      <c r="B470" s="17">
        <v>1887</v>
      </c>
      <c r="C470" s="17">
        <v>1892</v>
      </c>
      <c r="D470" s="17">
        <v>6</v>
      </c>
      <c r="E470" s="17" t="s">
        <v>31</v>
      </c>
      <c r="F470" s="17" t="s">
        <v>33</v>
      </c>
      <c r="G470" s="18">
        <v>1951.2865655295702</v>
      </c>
      <c r="H470" s="17" t="s">
        <v>692</v>
      </c>
    </row>
    <row r="471" spans="1:8" x14ac:dyDescent="0.3">
      <c r="A471" s="17" t="s">
        <v>27</v>
      </c>
      <c r="B471" s="17">
        <v>1893</v>
      </c>
      <c r="C471" s="17">
        <v>1893</v>
      </c>
      <c r="D471" s="17">
        <v>1</v>
      </c>
      <c r="E471" s="17" t="s">
        <v>31</v>
      </c>
      <c r="F471" s="17" t="s">
        <v>33</v>
      </c>
      <c r="G471" s="18">
        <v>363.05799942632001</v>
      </c>
      <c r="H471" s="17" t="s">
        <v>693</v>
      </c>
    </row>
    <row r="472" spans="1:8" x14ac:dyDescent="0.3">
      <c r="A472" s="17" t="s">
        <v>181</v>
      </c>
      <c r="B472" s="17">
        <v>1894</v>
      </c>
      <c r="C472" s="17">
        <v>1896</v>
      </c>
      <c r="D472" s="17">
        <v>3</v>
      </c>
      <c r="E472" s="17" t="s">
        <v>31</v>
      </c>
      <c r="F472" s="17" t="s">
        <v>33</v>
      </c>
      <c r="G472" s="18">
        <v>997.15180628653002</v>
      </c>
      <c r="H472" s="17" t="s">
        <v>694</v>
      </c>
    </row>
    <row r="473" spans="1:8" x14ac:dyDescent="0.3">
      <c r="A473" s="17" t="s">
        <v>99</v>
      </c>
      <c r="B473" s="17">
        <v>1897</v>
      </c>
      <c r="C473" s="17">
        <v>1898</v>
      </c>
      <c r="D473" s="17">
        <v>2</v>
      </c>
      <c r="E473" s="17" t="s">
        <v>31</v>
      </c>
      <c r="F473" s="17" t="s">
        <v>33</v>
      </c>
      <c r="G473" s="18">
        <v>683.09895180914998</v>
      </c>
      <c r="H473" s="17" t="s">
        <v>695</v>
      </c>
    </row>
    <row r="474" spans="1:8" x14ac:dyDescent="0.3">
      <c r="A474" s="17" t="s">
        <v>599</v>
      </c>
      <c r="B474" s="17">
        <v>1899</v>
      </c>
      <c r="C474" s="17">
        <v>1903</v>
      </c>
      <c r="D474" s="17">
        <v>5</v>
      </c>
      <c r="E474" s="17" t="s">
        <v>31</v>
      </c>
      <c r="F474" s="17" t="s">
        <v>33</v>
      </c>
      <c r="G474" s="18">
        <v>1646.2452787941102</v>
      </c>
      <c r="H474" s="17" t="s">
        <v>696</v>
      </c>
    </row>
    <row r="475" spans="1:8" x14ac:dyDescent="0.3">
      <c r="A475" s="17" t="s">
        <v>541</v>
      </c>
      <c r="B475" s="17">
        <v>1904</v>
      </c>
      <c r="C475" s="17">
        <v>1908</v>
      </c>
      <c r="D475" s="17">
        <v>5</v>
      </c>
      <c r="E475" s="17" t="s">
        <v>31</v>
      </c>
      <c r="F475" s="17" t="s">
        <v>33</v>
      </c>
      <c r="G475" s="18">
        <v>1622.2340454048201</v>
      </c>
      <c r="H475" s="17" t="s">
        <v>697</v>
      </c>
    </row>
    <row r="476" spans="1:8" x14ac:dyDescent="0.3">
      <c r="A476" s="17" t="s">
        <v>193</v>
      </c>
      <c r="B476" s="17">
        <v>1909</v>
      </c>
      <c r="C476" s="17">
        <v>1911</v>
      </c>
      <c r="D476" s="17">
        <v>3</v>
      </c>
      <c r="E476" s="17" t="s">
        <v>31</v>
      </c>
      <c r="F476" s="17" t="s">
        <v>33</v>
      </c>
      <c r="G476" s="18">
        <v>1021.1630396758201</v>
      </c>
      <c r="H476" s="17" t="s">
        <v>698</v>
      </c>
    </row>
    <row r="477" spans="1:8" x14ac:dyDescent="0.3">
      <c r="A477" s="17" t="s">
        <v>99</v>
      </c>
      <c r="B477" s="17">
        <v>1912</v>
      </c>
      <c r="C477" s="17">
        <v>1913</v>
      </c>
      <c r="D477" s="17">
        <v>2</v>
      </c>
      <c r="E477" s="17" t="s">
        <v>31</v>
      </c>
      <c r="F477" s="17" t="s">
        <v>33</v>
      </c>
      <c r="G477" s="18">
        <v>683.09895180914998</v>
      </c>
      <c r="H477" s="17" t="s">
        <v>699</v>
      </c>
    </row>
    <row r="478" spans="1:8" x14ac:dyDescent="0.3">
      <c r="A478" s="17" t="s">
        <v>517</v>
      </c>
      <c r="B478" s="17">
        <v>1914</v>
      </c>
      <c r="C478" s="17">
        <v>1917</v>
      </c>
      <c r="D478" s="17">
        <v>4</v>
      </c>
      <c r="E478" s="17" t="s">
        <v>31</v>
      </c>
      <c r="F478" s="17" t="s">
        <v>33</v>
      </c>
      <c r="G478" s="18">
        <v>1278.1818596327</v>
      </c>
      <c r="H478" s="17" t="s">
        <v>700</v>
      </c>
    </row>
    <row r="479" spans="1:8" x14ac:dyDescent="0.3">
      <c r="A479" s="17" t="s">
        <v>99</v>
      </c>
      <c r="B479" s="17">
        <v>1918</v>
      </c>
      <c r="C479" s="17">
        <v>1919</v>
      </c>
      <c r="D479" s="17">
        <v>2</v>
      </c>
      <c r="E479" s="17" t="s">
        <v>31</v>
      </c>
      <c r="F479" s="17" t="s">
        <v>33</v>
      </c>
      <c r="G479" s="18">
        <v>683.09895180914998</v>
      </c>
      <c r="H479" s="17" t="s">
        <v>701</v>
      </c>
    </row>
    <row r="480" spans="1:8" x14ac:dyDescent="0.3">
      <c r="A480" s="17" t="s">
        <v>27</v>
      </c>
      <c r="B480" s="17">
        <v>1920</v>
      </c>
      <c r="C480" s="17">
        <v>1920</v>
      </c>
      <c r="D480" s="17">
        <v>1</v>
      </c>
      <c r="E480" s="17" t="s">
        <v>31</v>
      </c>
      <c r="F480" s="17" t="s">
        <v>33</v>
      </c>
      <c r="G480" s="18">
        <v>363.05799942632001</v>
      </c>
      <c r="H480" s="17" t="s">
        <v>702</v>
      </c>
    </row>
    <row r="481" spans="1:8" x14ac:dyDescent="0.3">
      <c r="A481" s="17" t="s">
        <v>703</v>
      </c>
      <c r="B481" s="17">
        <v>1921</v>
      </c>
      <c r="C481" s="17">
        <v>1929</v>
      </c>
      <c r="D481" s="17">
        <v>9</v>
      </c>
      <c r="E481" s="17" t="s">
        <v>31</v>
      </c>
      <c r="F481" s="17" t="s">
        <v>33</v>
      </c>
      <c r="G481" s="18">
        <v>2881.4100913833204</v>
      </c>
      <c r="H481" s="17" t="s">
        <v>704</v>
      </c>
    </row>
    <row r="482" spans="1:8" x14ac:dyDescent="0.3">
      <c r="A482" s="17" t="s">
        <v>364</v>
      </c>
      <c r="B482" s="17">
        <v>1930</v>
      </c>
      <c r="C482" s="17">
        <v>1932</v>
      </c>
      <c r="D482" s="17">
        <v>3</v>
      </c>
      <c r="E482" s="17" t="s">
        <v>31</v>
      </c>
      <c r="F482" s="17" t="s">
        <v>33</v>
      </c>
      <c r="G482" s="18">
        <v>973.14057289723996</v>
      </c>
      <c r="H482" s="17" t="s">
        <v>705</v>
      </c>
    </row>
    <row r="483" spans="1:8" x14ac:dyDescent="0.3">
      <c r="A483" s="17" t="s">
        <v>455</v>
      </c>
      <c r="B483" s="17">
        <v>1933</v>
      </c>
      <c r="C483" s="17">
        <v>1937</v>
      </c>
      <c r="D483" s="17">
        <v>5</v>
      </c>
      <c r="E483" s="17" t="s">
        <v>31</v>
      </c>
      <c r="F483" s="17" t="s">
        <v>33</v>
      </c>
      <c r="G483" s="18">
        <v>1646.2452787941102</v>
      </c>
      <c r="H483" s="17" t="s">
        <v>706</v>
      </c>
    </row>
    <row r="484" spans="1:8" x14ac:dyDescent="0.3">
      <c r="A484" s="17" t="s">
        <v>105</v>
      </c>
      <c r="B484" s="17">
        <v>1938</v>
      </c>
      <c r="C484" s="17">
        <v>1940</v>
      </c>
      <c r="D484" s="17">
        <v>3</v>
      </c>
      <c r="E484" s="17" t="s">
        <v>31</v>
      </c>
      <c r="F484" s="17" t="s">
        <v>33</v>
      </c>
      <c r="G484" s="18">
        <v>988.14023854460993</v>
      </c>
      <c r="H484" s="17" t="s">
        <v>707</v>
      </c>
    </row>
    <row r="485" spans="1:8" x14ac:dyDescent="0.3">
      <c r="A485" s="17" t="s">
        <v>708</v>
      </c>
      <c r="B485" s="17">
        <v>1941</v>
      </c>
      <c r="C485" s="17">
        <v>1951</v>
      </c>
      <c r="D485" s="17">
        <v>11</v>
      </c>
      <c r="E485" s="17" t="s">
        <v>31</v>
      </c>
      <c r="F485" s="17" t="s">
        <v>33</v>
      </c>
      <c r="G485" s="18">
        <v>3539.5151316328202</v>
      </c>
      <c r="H485" s="17" t="s">
        <v>709</v>
      </c>
    </row>
    <row r="486" spans="1:8" x14ac:dyDescent="0.3">
      <c r="A486" s="17" t="s">
        <v>27</v>
      </c>
      <c r="B486" s="17">
        <v>1952</v>
      </c>
      <c r="C486" s="17">
        <v>1952</v>
      </c>
      <c r="D486" s="17">
        <v>1</v>
      </c>
      <c r="E486" s="17" t="s">
        <v>31</v>
      </c>
      <c r="F486" s="17" t="s">
        <v>33</v>
      </c>
      <c r="G486" s="18">
        <v>363.05799942632001</v>
      </c>
      <c r="H486" s="17" t="s">
        <v>710</v>
      </c>
    </row>
    <row r="487" spans="1:8" x14ac:dyDescent="0.3">
      <c r="A487" s="17" t="s">
        <v>132</v>
      </c>
      <c r="B487" s="17">
        <v>1953</v>
      </c>
      <c r="C487" s="17">
        <v>1954</v>
      </c>
      <c r="D487" s="17">
        <v>2</v>
      </c>
      <c r="E487" s="17" t="s">
        <v>31</v>
      </c>
      <c r="F487" s="17" t="s">
        <v>33</v>
      </c>
      <c r="G487" s="18">
        <v>668.09928616178001</v>
      </c>
      <c r="H487" s="17" t="s">
        <v>711</v>
      </c>
    </row>
    <row r="488" spans="1:8" x14ac:dyDescent="0.3">
      <c r="A488" s="17" t="s">
        <v>27</v>
      </c>
      <c r="B488" s="17">
        <v>1955</v>
      </c>
      <c r="C488" s="17">
        <v>1955</v>
      </c>
      <c r="D488" s="17">
        <v>1</v>
      </c>
      <c r="E488" s="17" t="s">
        <v>31</v>
      </c>
      <c r="F488" s="17" t="s">
        <v>33</v>
      </c>
      <c r="G488" s="18">
        <v>363.05799942632001</v>
      </c>
      <c r="H488" s="17" t="s">
        <v>712</v>
      </c>
    </row>
    <row r="489" spans="1:8" x14ac:dyDescent="0.3">
      <c r="A489" s="17" t="s">
        <v>27</v>
      </c>
      <c r="B489" s="17">
        <v>1956</v>
      </c>
      <c r="C489" s="17">
        <v>1956</v>
      </c>
      <c r="D489" s="17">
        <v>1</v>
      </c>
      <c r="E489" s="17" t="s">
        <v>31</v>
      </c>
      <c r="F489" s="17" t="s">
        <v>33</v>
      </c>
      <c r="G489" s="18">
        <v>363.05799942632001</v>
      </c>
      <c r="H489" s="17" t="s">
        <v>713</v>
      </c>
    </row>
    <row r="490" spans="1:8" x14ac:dyDescent="0.3">
      <c r="A490" s="17" t="s">
        <v>99</v>
      </c>
      <c r="B490" s="17">
        <v>1957</v>
      </c>
      <c r="C490" s="17">
        <v>1958</v>
      </c>
      <c r="D490" s="17">
        <v>2</v>
      </c>
      <c r="E490" s="17" t="s">
        <v>31</v>
      </c>
      <c r="F490" s="17" t="s">
        <v>33</v>
      </c>
      <c r="G490" s="18">
        <v>683.09895180914998</v>
      </c>
      <c r="H490" s="17" t="s">
        <v>714</v>
      </c>
    </row>
    <row r="491" spans="1:8" x14ac:dyDescent="0.3">
      <c r="A491" s="17" t="s">
        <v>715</v>
      </c>
      <c r="B491" s="17">
        <v>1959</v>
      </c>
      <c r="C491" s="17">
        <v>1968</v>
      </c>
      <c r="D491" s="17">
        <v>10</v>
      </c>
      <c r="E491" s="17" t="s">
        <v>31</v>
      </c>
      <c r="F491" s="17" t="s">
        <v>33</v>
      </c>
      <c r="G491" s="18">
        <v>3186.4513781187802</v>
      </c>
      <c r="H491" s="17" t="s">
        <v>716</v>
      </c>
    </row>
    <row r="492" spans="1:8" x14ac:dyDescent="0.3">
      <c r="A492" s="17" t="s">
        <v>27</v>
      </c>
      <c r="B492" s="17">
        <v>1969</v>
      </c>
      <c r="C492" s="17">
        <v>1969</v>
      </c>
      <c r="D492" s="17">
        <v>1</v>
      </c>
      <c r="E492" s="17" t="s">
        <v>31</v>
      </c>
      <c r="F492" s="17" t="s">
        <v>33</v>
      </c>
      <c r="G492" s="18">
        <v>363.05799942632001</v>
      </c>
      <c r="H492" s="17" t="s">
        <v>717</v>
      </c>
    </row>
    <row r="493" spans="1:8" x14ac:dyDescent="0.3">
      <c r="A493" s="17" t="s">
        <v>263</v>
      </c>
      <c r="B493" s="17">
        <v>1970</v>
      </c>
      <c r="C493" s="17">
        <v>1972</v>
      </c>
      <c r="D493" s="17">
        <v>3</v>
      </c>
      <c r="E493" s="17" t="s">
        <v>31</v>
      </c>
      <c r="F493" s="17" t="s">
        <v>33</v>
      </c>
      <c r="G493" s="18">
        <v>997.15180628653002</v>
      </c>
      <c r="H493" s="17" t="s">
        <v>718</v>
      </c>
    </row>
    <row r="494" spans="1:8" x14ac:dyDescent="0.3">
      <c r="A494" s="17" t="s">
        <v>719</v>
      </c>
      <c r="B494" s="17">
        <v>1973</v>
      </c>
      <c r="C494" s="17">
        <v>1977</v>
      </c>
      <c r="D494" s="17">
        <v>5</v>
      </c>
      <c r="E494" s="17" t="s">
        <v>31</v>
      </c>
      <c r="F494" s="17" t="s">
        <v>33</v>
      </c>
      <c r="G494" s="18">
        <v>1646.2452787941102</v>
      </c>
      <c r="H494" s="17" t="s">
        <v>720</v>
      </c>
    </row>
    <row r="495" spans="1:8" x14ac:dyDescent="0.3">
      <c r="A495" s="17" t="s">
        <v>99</v>
      </c>
      <c r="B495" s="17">
        <v>1978</v>
      </c>
      <c r="C495" s="17">
        <v>1979</v>
      </c>
      <c r="D495" s="17">
        <v>2</v>
      </c>
      <c r="E495" s="17" t="s">
        <v>31</v>
      </c>
      <c r="F495" s="17" t="s">
        <v>33</v>
      </c>
      <c r="G495" s="18">
        <v>683.09895180914998</v>
      </c>
      <c r="H495" s="17" t="s">
        <v>721</v>
      </c>
    </row>
    <row r="496" spans="1:8" x14ac:dyDescent="0.3">
      <c r="A496" s="17" t="s">
        <v>336</v>
      </c>
      <c r="B496" s="17">
        <v>1980</v>
      </c>
      <c r="C496" s="17">
        <v>1985</v>
      </c>
      <c r="D496" s="17">
        <v>6</v>
      </c>
      <c r="E496" s="17" t="s">
        <v>31</v>
      </c>
      <c r="F496" s="17" t="s">
        <v>33</v>
      </c>
      <c r="G496" s="18">
        <v>1957.2746634350199</v>
      </c>
      <c r="H496" s="17" t="s">
        <v>722</v>
      </c>
    </row>
    <row r="497" spans="1:8" x14ac:dyDescent="0.3">
      <c r="A497" s="17" t="s">
        <v>51</v>
      </c>
      <c r="B497" s="17">
        <v>1986</v>
      </c>
      <c r="C497" s="17">
        <v>1990</v>
      </c>
      <c r="D497" s="17">
        <v>5</v>
      </c>
      <c r="E497" s="17" t="s">
        <v>31</v>
      </c>
      <c r="F497" s="17" t="s">
        <v>33</v>
      </c>
      <c r="G497" s="18">
        <v>1631.2456131467402</v>
      </c>
      <c r="H497" s="17" t="s">
        <v>723</v>
      </c>
    </row>
    <row r="498" spans="1:8" x14ac:dyDescent="0.3">
      <c r="A498" s="17" t="s">
        <v>81</v>
      </c>
      <c r="B498" s="17">
        <v>1991</v>
      </c>
      <c r="C498" s="17">
        <v>1992</v>
      </c>
      <c r="D498" s="17">
        <v>2</v>
      </c>
      <c r="E498" s="17" t="s">
        <v>31</v>
      </c>
      <c r="F498" s="17" t="s">
        <v>33</v>
      </c>
      <c r="G498" s="18">
        <v>692.11051955106996</v>
      </c>
      <c r="H498" s="17" t="s">
        <v>724</v>
      </c>
    </row>
    <row r="499" spans="1:8" x14ac:dyDescent="0.3">
      <c r="A499" s="17" t="s">
        <v>364</v>
      </c>
      <c r="B499" s="17">
        <v>1993</v>
      </c>
      <c r="C499" s="17">
        <v>1995</v>
      </c>
      <c r="D499" s="17">
        <v>3</v>
      </c>
      <c r="E499" s="17" t="s">
        <v>31</v>
      </c>
      <c r="F499" s="17" t="s">
        <v>33</v>
      </c>
      <c r="G499" s="18">
        <v>973.14057289723996</v>
      </c>
      <c r="H499" s="17" t="s">
        <v>725</v>
      </c>
    </row>
    <row r="500" spans="1:8" x14ac:dyDescent="0.3">
      <c r="A500" s="17" t="s">
        <v>27</v>
      </c>
      <c r="B500" s="17">
        <v>1996</v>
      </c>
      <c r="C500" s="17">
        <v>1996</v>
      </c>
      <c r="D500" s="17">
        <v>1</v>
      </c>
      <c r="E500" s="17" t="s">
        <v>31</v>
      </c>
      <c r="F500" s="17" t="s">
        <v>33</v>
      </c>
      <c r="G500" s="18">
        <v>363.05799942632001</v>
      </c>
      <c r="H500" s="17" t="s">
        <v>726</v>
      </c>
    </row>
    <row r="501" spans="1:8" x14ac:dyDescent="0.3">
      <c r="A501" s="17" t="s">
        <v>105</v>
      </c>
      <c r="B501" s="17">
        <v>1997</v>
      </c>
      <c r="C501" s="17">
        <v>1999</v>
      </c>
      <c r="D501" s="17">
        <v>3</v>
      </c>
      <c r="E501" s="17" t="s">
        <v>31</v>
      </c>
      <c r="F501" s="17" t="s">
        <v>33</v>
      </c>
      <c r="G501" s="18">
        <v>988.14023854460993</v>
      </c>
      <c r="H501" s="17" t="s">
        <v>727</v>
      </c>
    </row>
    <row r="502" spans="1:8" x14ac:dyDescent="0.3">
      <c r="A502" s="17" t="s">
        <v>675</v>
      </c>
      <c r="B502" s="17">
        <v>2000</v>
      </c>
      <c r="C502" s="17">
        <v>2003</v>
      </c>
      <c r="D502" s="17">
        <v>4</v>
      </c>
      <c r="E502" s="17" t="s">
        <v>31</v>
      </c>
      <c r="F502" s="17" t="s">
        <v>33</v>
      </c>
      <c r="G502" s="18">
        <v>1308.18119092744</v>
      </c>
      <c r="H502" s="17" t="s">
        <v>728</v>
      </c>
    </row>
    <row r="503" spans="1:8" x14ac:dyDescent="0.3">
      <c r="A503" s="17" t="s">
        <v>217</v>
      </c>
      <c r="B503" s="17">
        <v>2004</v>
      </c>
      <c r="C503" s="17">
        <v>2007</v>
      </c>
      <c r="D503" s="17">
        <v>4</v>
      </c>
      <c r="E503" s="17" t="s">
        <v>31</v>
      </c>
      <c r="F503" s="17" t="s">
        <v>33</v>
      </c>
      <c r="G503" s="18">
        <v>1317.19275866936</v>
      </c>
      <c r="H503" s="17" t="s">
        <v>729</v>
      </c>
    </row>
    <row r="504" spans="1:8" x14ac:dyDescent="0.3">
      <c r="A504" s="17" t="s">
        <v>27</v>
      </c>
      <c r="B504" s="17">
        <v>2008</v>
      </c>
      <c r="C504" s="17">
        <v>2008</v>
      </c>
      <c r="D504" s="17">
        <v>1</v>
      </c>
      <c r="E504" s="17" t="s">
        <v>31</v>
      </c>
      <c r="F504" s="17" t="s">
        <v>33</v>
      </c>
      <c r="G504" s="18">
        <v>363.05799942632001</v>
      </c>
      <c r="H504" s="17" t="s">
        <v>730</v>
      </c>
    </row>
    <row r="505" spans="1:8" x14ac:dyDescent="0.3">
      <c r="A505" s="17" t="s">
        <v>81</v>
      </c>
      <c r="B505" s="17">
        <v>2009</v>
      </c>
      <c r="C505" s="17">
        <v>2010</v>
      </c>
      <c r="D505" s="17">
        <v>2</v>
      </c>
      <c r="E505" s="17" t="s">
        <v>31</v>
      </c>
      <c r="F505" s="17" t="s">
        <v>33</v>
      </c>
      <c r="G505" s="18">
        <v>692.11051955106996</v>
      </c>
      <c r="H505" s="17" t="s">
        <v>731</v>
      </c>
    </row>
    <row r="506" spans="1:8" x14ac:dyDescent="0.3">
      <c r="A506" s="17" t="s">
        <v>364</v>
      </c>
      <c r="B506" s="17">
        <v>2011</v>
      </c>
      <c r="C506" s="17">
        <v>2013</v>
      </c>
      <c r="D506" s="17">
        <v>3</v>
      </c>
      <c r="E506" s="17" t="s">
        <v>31</v>
      </c>
      <c r="F506" s="17" t="s">
        <v>33</v>
      </c>
      <c r="G506" s="18">
        <v>973.14057289723996</v>
      </c>
      <c r="H506" s="17" t="s">
        <v>732</v>
      </c>
    </row>
    <row r="507" spans="1:8" x14ac:dyDescent="0.3">
      <c r="A507" s="17" t="s">
        <v>81</v>
      </c>
      <c r="B507" s="17">
        <v>2014</v>
      </c>
      <c r="C507" s="17">
        <v>2015</v>
      </c>
      <c r="D507" s="17">
        <v>2</v>
      </c>
      <c r="E507" s="17" t="s">
        <v>31</v>
      </c>
      <c r="F507" s="17" t="s">
        <v>33</v>
      </c>
      <c r="G507" s="18">
        <v>692.11051955106996</v>
      </c>
      <c r="H507" s="17" t="s">
        <v>733</v>
      </c>
    </row>
    <row r="508" spans="1:8" x14ac:dyDescent="0.3">
      <c r="A508" s="17" t="s">
        <v>734</v>
      </c>
      <c r="B508" s="17">
        <v>2016</v>
      </c>
      <c r="C508" s="17">
        <v>2019</v>
      </c>
      <c r="D508" s="17">
        <v>4</v>
      </c>
      <c r="E508" s="17" t="s">
        <v>31</v>
      </c>
      <c r="F508" s="17" t="s">
        <v>33</v>
      </c>
      <c r="G508" s="18">
        <v>1302.1930930219901</v>
      </c>
      <c r="H508" s="17" t="s">
        <v>735</v>
      </c>
    </row>
    <row r="509" spans="1:8" x14ac:dyDescent="0.3">
      <c r="A509" s="17" t="s">
        <v>99</v>
      </c>
      <c r="B509" s="17">
        <v>2020</v>
      </c>
      <c r="C509" s="17">
        <v>2021</v>
      </c>
      <c r="D509" s="17">
        <v>2</v>
      </c>
      <c r="E509" s="17" t="s">
        <v>31</v>
      </c>
      <c r="F509" s="17" t="s">
        <v>33</v>
      </c>
      <c r="G509" s="18">
        <v>683.09895180914998</v>
      </c>
      <c r="H509" s="17" t="s">
        <v>736</v>
      </c>
    </row>
    <row r="510" spans="1:8" x14ac:dyDescent="0.3">
      <c r="A510" s="17" t="s">
        <v>737</v>
      </c>
      <c r="B510" s="17">
        <v>2022</v>
      </c>
      <c r="C510" s="17">
        <v>2029</v>
      </c>
      <c r="D510" s="17">
        <v>8</v>
      </c>
      <c r="E510" s="17" t="s">
        <v>31</v>
      </c>
      <c r="F510" s="17" t="s">
        <v>33</v>
      </c>
      <c r="G510" s="18">
        <v>2633.4028391683601</v>
      </c>
      <c r="H510" s="17" t="s">
        <v>738</v>
      </c>
    </row>
    <row r="511" spans="1:8" x14ac:dyDescent="0.3">
      <c r="A511" s="17" t="s">
        <v>472</v>
      </c>
      <c r="B511" s="17">
        <v>2030</v>
      </c>
      <c r="C511" s="17">
        <v>2034</v>
      </c>
      <c r="D511" s="17">
        <v>5</v>
      </c>
      <c r="E511" s="17" t="s">
        <v>31</v>
      </c>
      <c r="F511" s="17" t="s">
        <v>33</v>
      </c>
      <c r="G511" s="18">
        <v>1622.2340454048201</v>
      </c>
      <c r="H511" s="17" t="s">
        <v>739</v>
      </c>
    </row>
    <row r="512" spans="1:8" x14ac:dyDescent="0.3">
      <c r="A512" s="17" t="s">
        <v>81</v>
      </c>
      <c r="B512" s="17">
        <v>2035</v>
      </c>
      <c r="C512" s="17">
        <v>2036</v>
      </c>
      <c r="D512" s="17">
        <v>2</v>
      </c>
      <c r="E512" s="17" t="s">
        <v>31</v>
      </c>
      <c r="F512" s="17" t="s">
        <v>33</v>
      </c>
      <c r="G512" s="18">
        <v>692.11051955106996</v>
      </c>
      <c r="H512" s="17" t="s">
        <v>740</v>
      </c>
    </row>
    <row r="513" spans="1:8" x14ac:dyDescent="0.3">
      <c r="A513" s="17" t="s">
        <v>99</v>
      </c>
      <c r="B513" s="17">
        <v>2037</v>
      </c>
      <c r="C513" s="17">
        <v>2038</v>
      </c>
      <c r="D513" s="17">
        <v>2</v>
      </c>
      <c r="E513" s="17" t="s">
        <v>31</v>
      </c>
      <c r="F513" s="17" t="s">
        <v>33</v>
      </c>
      <c r="G513" s="18">
        <v>683.09895180914998</v>
      </c>
      <c r="H513" s="17" t="s">
        <v>741</v>
      </c>
    </row>
    <row r="514" spans="1:8" x14ac:dyDescent="0.3">
      <c r="A514" s="17" t="s">
        <v>132</v>
      </c>
      <c r="B514" s="17">
        <v>2039</v>
      </c>
      <c r="C514" s="17">
        <v>2040</v>
      </c>
      <c r="D514" s="17">
        <v>2</v>
      </c>
      <c r="E514" s="17" t="s">
        <v>31</v>
      </c>
      <c r="F514" s="17" t="s">
        <v>33</v>
      </c>
      <c r="G514" s="18">
        <v>668.09928616178001</v>
      </c>
      <c r="H514" s="17" t="s">
        <v>742</v>
      </c>
    </row>
    <row r="515" spans="1:8" x14ac:dyDescent="0.3">
      <c r="A515" s="17" t="s">
        <v>743</v>
      </c>
      <c r="B515" s="17">
        <v>2041</v>
      </c>
      <c r="C515" s="17">
        <v>2052</v>
      </c>
      <c r="D515" s="17">
        <v>12</v>
      </c>
      <c r="E515" s="17" t="s">
        <v>31</v>
      </c>
      <c r="F515" s="17" t="s">
        <v>33</v>
      </c>
      <c r="G515" s="18">
        <v>3820.5451849789902</v>
      </c>
      <c r="H515" s="17" t="s">
        <v>744</v>
      </c>
    </row>
    <row r="516" spans="1:8" x14ac:dyDescent="0.3">
      <c r="A516" s="17" t="s">
        <v>27</v>
      </c>
      <c r="B516" s="17">
        <v>2053</v>
      </c>
      <c r="C516" s="17">
        <v>2053</v>
      </c>
      <c r="D516" s="17">
        <v>1</v>
      </c>
      <c r="E516" s="17" t="s">
        <v>31</v>
      </c>
      <c r="F516" s="17" t="s">
        <v>33</v>
      </c>
      <c r="G516" s="18">
        <v>363.05799942632001</v>
      </c>
      <c r="H516" s="17" t="s">
        <v>745</v>
      </c>
    </row>
    <row r="517" spans="1:8" x14ac:dyDescent="0.3">
      <c r="A517" s="17" t="s">
        <v>132</v>
      </c>
      <c r="B517" s="17">
        <v>2054</v>
      </c>
      <c r="C517" s="17">
        <v>2055</v>
      </c>
      <c r="D517" s="17">
        <v>2</v>
      </c>
      <c r="E517" s="17" t="s">
        <v>31</v>
      </c>
      <c r="F517" s="17" t="s">
        <v>33</v>
      </c>
      <c r="G517" s="18">
        <v>668.09928616178001</v>
      </c>
      <c r="H517" s="17" t="s">
        <v>746</v>
      </c>
    </row>
    <row r="518" spans="1:8" x14ac:dyDescent="0.3">
      <c r="A518" s="17" t="s">
        <v>105</v>
      </c>
      <c r="B518" s="17">
        <v>2056</v>
      </c>
      <c r="C518" s="17">
        <v>2058</v>
      </c>
      <c r="D518" s="17">
        <v>3</v>
      </c>
      <c r="E518" s="17" t="s">
        <v>31</v>
      </c>
      <c r="F518" s="17" t="s">
        <v>33</v>
      </c>
      <c r="G518" s="18">
        <v>988.14023854460993</v>
      </c>
      <c r="H518" s="17" t="s">
        <v>747</v>
      </c>
    </row>
    <row r="519" spans="1:8" x14ac:dyDescent="0.3">
      <c r="A519" s="17" t="s">
        <v>27</v>
      </c>
      <c r="B519" s="17">
        <v>2059</v>
      </c>
      <c r="C519" s="17">
        <v>2059</v>
      </c>
      <c r="D519" s="17">
        <v>1</v>
      </c>
      <c r="E519" s="17" t="s">
        <v>31</v>
      </c>
      <c r="F519" s="17" t="s">
        <v>33</v>
      </c>
      <c r="G519" s="18">
        <v>363.05799942632001</v>
      </c>
      <c r="H519" s="17" t="s">
        <v>748</v>
      </c>
    </row>
    <row r="520" spans="1:8" x14ac:dyDescent="0.3">
      <c r="A520" s="17" t="s">
        <v>749</v>
      </c>
      <c r="B520" s="17">
        <v>2060</v>
      </c>
      <c r="C520" s="17">
        <v>2065</v>
      </c>
      <c r="D520" s="17">
        <v>6</v>
      </c>
      <c r="E520" s="17" t="s">
        <v>31</v>
      </c>
      <c r="F520" s="17" t="s">
        <v>33</v>
      </c>
      <c r="G520" s="18">
        <v>1966.28623117694</v>
      </c>
      <c r="H520" s="17" t="s">
        <v>750</v>
      </c>
    </row>
    <row r="521" spans="1:8" x14ac:dyDescent="0.3">
      <c r="A521" s="17" t="s">
        <v>132</v>
      </c>
      <c r="B521" s="17">
        <v>2066</v>
      </c>
      <c r="C521" s="17">
        <v>2067</v>
      </c>
      <c r="D521" s="17">
        <v>2</v>
      </c>
      <c r="E521" s="17" t="s">
        <v>31</v>
      </c>
      <c r="F521" s="17" t="s">
        <v>33</v>
      </c>
      <c r="G521" s="18">
        <v>668.09928616178001</v>
      </c>
      <c r="H521" s="17" t="s">
        <v>751</v>
      </c>
    </row>
    <row r="522" spans="1:8" x14ac:dyDescent="0.3">
      <c r="A522" s="17" t="s">
        <v>114</v>
      </c>
      <c r="B522" s="17">
        <v>2068</v>
      </c>
      <c r="C522" s="17">
        <v>2071</v>
      </c>
      <c r="D522" s="17">
        <v>4</v>
      </c>
      <c r="E522" s="17" t="s">
        <v>31</v>
      </c>
      <c r="F522" s="17" t="s">
        <v>33</v>
      </c>
      <c r="G522" s="18">
        <v>1302.1930930219901</v>
      </c>
      <c r="H522" s="17" t="s">
        <v>752</v>
      </c>
    </row>
    <row r="523" spans="1:8" x14ac:dyDescent="0.3">
      <c r="A523" s="17" t="s">
        <v>753</v>
      </c>
      <c r="B523" s="17">
        <v>2072</v>
      </c>
      <c r="C523" s="17">
        <v>2078</v>
      </c>
      <c r="D523" s="17">
        <v>7</v>
      </c>
      <c r="E523" s="17" t="s">
        <v>31</v>
      </c>
      <c r="F523" s="17" t="s">
        <v>33</v>
      </c>
      <c r="G523" s="18">
        <v>2256.3278522650298</v>
      </c>
      <c r="H523" s="17" t="s">
        <v>754</v>
      </c>
    </row>
    <row r="524" spans="1:8" x14ac:dyDescent="0.3">
      <c r="A524" s="17" t="s">
        <v>755</v>
      </c>
      <c r="B524" s="17">
        <v>2079</v>
      </c>
      <c r="C524" s="17">
        <v>2084</v>
      </c>
      <c r="D524" s="17">
        <v>6</v>
      </c>
      <c r="E524" s="17" t="s">
        <v>31</v>
      </c>
      <c r="F524" s="17" t="s">
        <v>33</v>
      </c>
      <c r="G524" s="18">
        <v>1960.2981332714899</v>
      </c>
      <c r="H524" s="17" t="s">
        <v>756</v>
      </c>
    </row>
    <row r="525" spans="1:8" x14ac:dyDescent="0.3">
      <c r="A525" s="17" t="s">
        <v>1420</v>
      </c>
      <c r="B525" s="17">
        <v>2085</v>
      </c>
      <c r="C525" s="17">
        <v>2092</v>
      </c>
      <c r="D525" s="17">
        <v>8</v>
      </c>
      <c r="E525" s="17" t="s">
        <v>31</v>
      </c>
      <c r="F525" s="17" t="s">
        <v>33</v>
      </c>
      <c r="G525" s="18">
        <v>2618.4031735209901</v>
      </c>
      <c r="H525" s="17" t="s">
        <v>757</v>
      </c>
    </row>
    <row r="526" spans="1:8" x14ac:dyDescent="0.3">
      <c r="A526" s="17" t="s">
        <v>1421</v>
      </c>
      <c r="B526" s="17">
        <v>2093</v>
      </c>
      <c r="C526" s="17">
        <v>2098</v>
      </c>
      <c r="D526" s="17">
        <v>6</v>
      </c>
      <c r="E526" s="17" t="s">
        <v>31</v>
      </c>
      <c r="F526" s="17" t="s">
        <v>33</v>
      </c>
      <c r="G526" s="18">
        <v>1903.2640987509901</v>
      </c>
      <c r="H526" s="17" t="s">
        <v>758</v>
      </c>
    </row>
    <row r="527" spans="1:8" x14ac:dyDescent="0.3">
      <c r="A527" s="17" t="s">
        <v>27</v>
      </c>
      <c r="B527" s="17">
        <v>2099</v>
      </c>
      <c r="C527" s="17">
        <v>2099</v>
      </c>
      <c r="D527" s="17">
        <v>1</v>
      </c>
      <c r="E527" s="17" t="s">
        <v>31</v>
      </c>
      <c r="F527" s="17" t="s">
        <v>33</v>
      </c>
      <c r="G527" s="18">
        <v>363.05799942632001</v>
      </c>
      <c r="H527" s="17" t="s">
        <v>759</v>
      </c>
    </row>
    <row r="528" spans="1:8" x14ac:dyDescent="0.3">
      <c r="A528" s="17" t="s">
        <v>81</v>
      </c>
      <c r="B528" s="17">
        <v>2100</v>
      </c>
      <c r="C528" s="17">
        <v>2101</v>
      </c>
      <c r="D528" s="17">
        <v>2</v>
      </c>
      <c r="E528" s="17" t="s">
        <v>31</v>
      </c>
      <c r="F528" s="17" t="s">
        <v>33</v>
      </c>
      <c r="G528" s="18">
        <v>692.11051955106996</v>
      </c>
      <c r="H528" s="17" t="s">
        <v>760</v>
      </c>
    </row>
    <row r="529" spans="1:8" x14ac:dyDescent="0.3">
      <c r="A529" s="17" t="s">
        <v>81</v>
      </c>
      <c r="B529" s="17">
        <v>2102</v>
      </c>
      <c r="C529" s="17">
        <v>2103</v>
      </c>
      <c r="D529" s="17">
        <v>2</v>
      </c>
      <c r="E529" s="17" t="s">
        <v>31</v>
      </c>
      <c r="F529" s="17" t="s">
        <v>33</v>
      </c>
      <c r="G529" s="18">
        <v>692.11051955106996</v>
      </c>
      <c r="H529" s="17" t="s">
        <v>761</v>
      </c>
    </row>
    <row r="530" spans="1:8" x14ac:dyDescent="0.3">
      <c r="A530" s="17" t="s">
        <v>114</v>
      </c>
      <c r="B530" s="17">
        <v>2104</v>
      </c>
      <c r="C530" s="17">
        <v>2107</v>
      </c>
      <c r="D530" s="17">
        <v>4</v>
      </c>
      <c r="E530" s="17" t="s">
        <v>31</v>
      </c>
      <c r="F530" s="17" t="s">
        <v>33</v>
      </c>
      <c r="G530" s="18">
        <v>1302.1930930219901</v>
      </c>
      <c r="H530" s="17" t="s">
        <v>762</v>
      </c>
    </row>
    <row r="531" spans="1:8" x14ac:dyDescent="0.3">
      <c r="A531" s="17" t="s">
        <v>193</v>
      </c>
      <c r="B531" s="17">
        <v>2108</v>
      </c>
      <c r="C531" s="17">
        <v>2110</v>
      </c>
      <c r="D531" s="17">
        <v>3</v>
      </c>
      <c r="E531" s="17" t="s">
        <v>31</v>
      </c>
      <c r="F531" s="17" t="s">
        <v>33</v>
      </c>
      <c r="G531" s="18">
        <v>1021.1630396758201</v>
      </c>
      <c r="H531" s="17" t="s">
        <v>763</v>
      </c>
    </row>
    <row r="532" spans="1:8" x14ac:dyDescent="0.3">
      <c r="A532" s="17" t="s">
        <v>132</v>
      </c>
      <c r="B532" s="17">
        <v>2111</v>
      </c>
      <c r="C532" s="17">
        <v>2112</v>
      </c>
      <c r="D532" s="17">
        <v>2</v>
      </c>
      <c r="E532" s="17" t="s">
        <v>31</v>
      </c>
      <c r="F532" s="17" t="s">
        <v>33</v>
      </c>
      <c r="G532" s="18">
        <v>668.09928616178001</v>
      </c>
      <c r="H532" s="17" t="s">
        <v>764</v>
      </c>
    </row>
    <row r="533" spans="1:8" x14ac:dyDescent="0.3">
      <c r="A533" s="17" t="s">
        <v>99</v>
      </c>
      <c r="B533" s="17">
        <v>2113</v>
      </c>
      <c r="C533" s="17">
        <v>2114</v>
      </c>
      <c r="D533" s="17">
        <v>2</v>
      </c>
      <c r="E533" s="17" t="s">
        <v>31</v>
      </c>
      <c r="F533" s="17" t="s">
        <v>33</v>
      </c>
      <c r="G533" s="18">
        <v>683.09895180914998</v>
      </c>
      <c r="H533" s="17" t="s">
        <v>765</v>
      </c>
    </row>
    <row r="534" spans="1:8" x14ac:dyDescent="0.3">
      <c r="A534" s="17" t="s">
        <v>27</v>
      </c>
      <c r="B534" s="17">
        <v>2115</v>
      </c>
      <c r="C534" s="17">
        <v>2115</v>
      </c>
      <c r="D534" s="17">
        <v>1</v>
      </c>
      <c r="E534" s="17" t="s">
        <v>31</v>
      </c>
      <c r="F534" s="17" t="s">
        <v>33</v>
      </c>
      <c r="G534" s="18">
        <v>363.05799942632001</v>
      </c>
      <c r="H534" s="17" t="s">
        <v>766</v>
      </c>
    </row>
    <row r="535" spans="1:8" x14ac:dyDescent="0.3">
      <c r="A535" s="17" t="s">
        <v>114</v>
      </c>
      <c r="B535" s="17">
        <v>2116</v>
      </c>
      <c r="C535" s="17">
        <v>2119</v>
      </c>
      <c r="D535" s="17">
        <v>4</v>
      </c>
      <c r="E535" s="17" t="s">
        <v>31</v>
      </c>
      <c r="F535" s="17" t="s">
        <v>33</v>
      </c>
      <c r="G535" s="18">
        <v>1302.1930930219901</v>
      </c>
      <c r="H535" s="17" t="s">
        <v>767</v>
      </c>
    </row>
    <row r="536" spans="1:8" x14ac:dyDescent="0.3">
      <c r="A536" s="17" t="s">
        <v>114</v>
      </c>
      <c r="B536" s="17">
        <v>2120</v>
      </c>
      <c r="C536" s="17">
        <v>2123</v>
      </c>
      <c r="D536" s="17">
        <v>4</v>
      </c>
      <c r="E536" s="17" t="s">
        <v>31</v>
      </c>
      <c r="F536" s="17" t="s">
        <v>33</v>
      </c>
      <c r="G536" s="18">
        <v>1302.1930930219901</v>
      </c>
      <c r="H536" s="17" t="s">
        <v>768</v>
      </c>
    </row>
    <row r="537" spans="1:8" x14ac:dyDescent="0.3">
      <c r="A537" s="17" t="s">
        <v>81</v>
      </c>
      <c r="B537" s="17">
        <v>2124</v>
      </c>
      <c r="C537" s="17">
        <v>2125</v>
      </c>
      <c r="D537" s="17">
        <v>2</v>
      </c>
      <c r="E537" s="17" t="s">
        <v>31</v>
      </c>
      <c r="F537" s="17" t="s">
        <v>33</v>
      </c>
      <c r="G537" s="18">
        <v>692.11051955106996</v>
      </c>
      <c r="H537" s="17" t="s">
        <v>769</v>
      </c>
    </row>
    <row r="538" spans="1:8" x14ac:dyDescent="0.3">
      <c r="A538" s="17" t="s">
        <v>770</v>
      </c>
      <c r="B538" s="17">
        <v>2126</v>
      </c>
      <c r="C538" s="17">
        <v>2133</v>
      </c>
      <c r="D538" s="17">
        <v>8</v>
      </c>
      <c r="E538" s="17" t="s">
        <v>31</v>
      </c>
      <c r="F538" s="17" t="s">
        <v>33</v>
      </c>
      <c r="G538" s="18">
        <v>2591.3684702952301</v>
      </c>
      <c r="H538" s="17" t="s">
        <v>771</v>
      </c>
    </row>
    <row r="539" spans="1:8" x14ac:dyDescent="0.3">
      <c r="A539" s="17" t="s">
        <v>772</v>
      </c>
      <c r="B539" s="17">
        <v>2134</v>
      </c>
      <c r="C539" s="17">
        <v>2144</v>
      </c>
      <c r="D539" s="17">
        <v>11</v>
      </c>
      <c r="E539" s="17" t="s">
        <v>31</v>
      </c>
      <c r="F539" s="17" t="s">
        <v>33</v>
      </c>
      <c r="G539" s="18">
        <v>3539.5151316328202</v>
      </c>
      <c r="H539" s="17" t="s">
        <v>773</v>
      </c>
    </row>
    <row r="540" spans="1:8" x14ac:dyDescent="0.3">
      <c r="A540" s="17" t="s">
        <v>774</v>
      </c>
      <c r="B540" s="17">
        <v>2145</v>
      </c>
      <c r="C540" s="17">
        <v>2150</v>
      </c>
      <c r="D540" s="17">
        <v>6</v>
      </c>
      <c r="E540" s="17" t="s">
        <v>31</v>
      </c>
      <c r="F540" s="17" t="s">
        <v>33</v>
      </c>
      <c r="G540" s="18">
        <v>1933.2634300457298</v>
      </c>
      <c r="H540" s="17" t="s">
        <v>775</v>
      </c>
    </row>
    <row r="541" spans="1:8" x14ac:dyDescent="0.3">
      <c r="A541" s="17" t="s">
        <v>27</v>
      </c>
      <c r="B541" s="17">
        <v>2151</v>
      </c>
      <c r="C541" s="17">
        <v>2151</v>
      </c>
      <c r="D541" s="17">
        <v>1</v>
      </c>
      <c r="E541" s="17" t="s">
        <v>31</v>
      </c>
      <c r="F541" s="17" t="s">
        <v>33</v>
      </c>
      <c r="G541" s="18">
        <v>363.05799942632001</v>
      </c>
      <c r="H541" s="17" t="s">
        <v>776</v>
      </c>
    </row>
    <row r="542" spans="1:8" x14ac:dyDescent="0.3">
      <c r="A542" s="17" t="s">
        <v>27</v>
      </c>
      <c r="B542" s="17">
        <v>2152</v>
      </c>
      <c r="C542" s="17">
        <v>2152</v>
      </c>
      <c r="D542" s="17">
        <v>1</v>
      </c>
      <c r="E542" s="17" t="s">
        <v>31</v>
      </c>
      <c r="F542" s="17" t="s">
        <v>33</v>
      </c>
      <c r="G542" s="18">
        <v>363.05799942632001</v>
      </c>
      <c r="H542" s="17" t="s">
        <v>777</v>
      </c>
    </row>
    <row r="543" spans="1:8" x14ac:dyDescent="0.3">
      <c r="A543" s="17" t="s">
        <v>132</v>
      </c>
      <c r="B543" s="17">
        <v>2153</v>
      </c>
      <c r="C543" s="17">
        <v>2154</v>
      </c>
      <c r="D543" s="17">
        <v>2</v>
      </c>
      <c r="E543" s="17" t="s">
        <v>31</v>
      </c>
      <c r="F543" s="17" t="s">
        <v>33</v>
      </c>
      <c r="G543" s="18">
        <v>668.09928616178001</v>
      </c>
      <c r="H543" s="17" t="s">
        <v>778</v>
      </c>
    </row>
    <row r="544" spans="1:8" x14ac:dyDescent="0.3">
      <c r="A544" s="17" t="s">
        <v>364</v>
      </c>
      <c r="B544" s="17">
        <v>2155</v>
      </c>
      <c r="C544" s="17">
        <v>2157</v>
      </c>
      <c r="D544" s="17">
        <v>3</v>
      </c>
      <c r="E544" s="17" t="s">
        <v>31</v>
      </c>
      <c r="F544" s="17" t="s">
        <v>33</v>
      </c>
      <c r="G544" s="18">
        <v>973.14057289723996</v>
      </c>
      <c r="H544" s="17" t="s">
        <v>779</v>
      </c>
    </row>
    <row r="545" spans="1:8" x14ac:dyDescent="0.3">
      <c r="A545" s="17" t="s">
        <v>81</v>
      </c>
      <c r="B545" s="17">
        <v>2158</v>
      </c>
      <c r="C545" s="17">
        <v>2159</v>
      </c>
      <c r="D545" s="17">
        <v>2</v>
      </c>
      <c r="E545" s="17" t="s">
        <v>31</v>
      </c>
      <c r="F545" s="17" t="s">
        <v>33</v>
      </c>
      <c r="G545" s="18">
        <v>692.11051955106996</v>
      </c>
      <c r="H545" s="17" t="s">
        <v>780</v>
      </c>
    </row>
    <row r="546" spans="1:8" x14ac:dyDescent="0.3">
      <c r="A546" s="17" t="s">
        <v>529</v>
      </c>
      <c r="B546" s="17">
        <v>2160</v>
      </c>
      <c r="C546" s="17">
        <v>2164</v>
      </c>
      <c r="D546" s="17">
        <v>5</v>
      </c>
      <c r="E546" s="17" t="s">
        <v>31</v>
      </c>
      <c r="F546" s="17" t="s">
        <v>33</v>
      </c>
      <c r="G546" s="18">
        <v>1655.25684653603</v>
      </c>
      <c r="H546" s="17" t="s">
        <v>781</v>
      </c>
    </row>
    <row r="547" spans="1:8" x14ac:dyDescent="0.3">
      <c r="A547" s="17" t="s">
        <v>132</v>
      </c>
      <c r="B547" s="17">
        <v>2165</v>
      </c>
      <c r="C547" s="17">
        <v>2166</v>
      </c>
      <c r="D547" s="17">
        <v>2</v>
      </c>
      <c r="E547" s="17" t="s">
        <v>31</v>
      </c>
      <c r="F547" s="17" t="s">
        <v>33</v>
      </c>
      <c r="G547" s="18">
        <v>668.09928616178001</v>
      </c>
      <c r="H547" s="17" t="s">
        <v>782</v>
      </c>
    </row>
    <row r="548" spans="1:8" x14ac:dyDescent="0.3">
      <c r="A548" s="17" t="s">
        <v>99</v>
      </c>
      <c r="B548" s="17">
        <v>2167</v>
      </c>
      <c r="C548" s="17">
        <v>2168</v>
      </c>
      <c r="D548" s="17">
        <v>2</v>
      </c>
      <c r="E548" s="17" t="s">
        <v>31</v>
      </c>
      <c r="F548" s="17" t="s">
        <v>33</v>
      </c>
      <c r="G548" s="18">
        <v>683.09895180914998</v>
      </c>
      <c r="H548" s="17" t="s">
        <v>783</v>
      </c>
    </row>
    <row r="549" spans="1:8" x14ac:dyDescent="0.3">
      <c r="A549" s="17" t="s">
        <v>27</v>
      </c>
      <c r="B549" s="17">
        <v>2169</v>
      </c>
      <c r="C549" s="17">
        <v>2169</v>
      </c>
      <c r="D549" s="17">
        <v>1</v>
      </c>
      <c r="E549" s="17" t="s">
        <v>31</v>
      </c>
      <c r="F549" s="17" t="s">
        <v>33</v>
      </c>
      <c r="G549" s="18">
        <v>363.05799942632001</v>
      </c>
      <c r="H549" s="17" t="s">
        <v>784</v>
      </c>
    </row>
    <row r="550" spans="1:8" x14ac:dyDescent="0.3">
      <c r="A550" s="17" t="s">
        <v>785</v>
      </c>
      <c r="B550" s="17">
        <v>2170</v>
      </c>
      <c r="C550" s="17">
        <v>2190</v>
      </c>
      <c r="D550" s="17">
        <v>21</v>
      </c>
      <c r="E550" s="17" t="s">
        <v>31</v>
      </c>
      <c r="F550" s="17" t="s">
        <v>33</v>
      </c>
      <c r="G550" s="18">
        <v>6682.9494627081094</v>
      </c>
      <c r="H550" s="17" t="s">
        <v>786</v>
      </c>
    </row>
    <row r="551" spans="1:8" x14ac:dyDescent="0.3">
      <c r="A551" s="17" t="s">
        <v>787</v>
      </c>
      <c r="B551" s="17">
        <v>2191</v>
      </c>
      <c r="C551" s="17">
        <v>2215</v>
      </c>
      <c r="D551" s="17">
        <v>25</v>
      </c>
      <c r="E551" s="17" t="s">
        <v>31</v>
      </c>
      <c r="F551" s="17" t="s">
        <v>33</v>
      </c>
      <c r="G551" s="18">
        <v>7927.1258430392409</v>
      </c>
      <c r="H551" s="17" t="s">
        <v>788</v>
      </c>
    </row>
    <row r="552" spans="1:8" x14ac:dyDescent="0.3">
      <c r="A552" s="17" t="s">
        <v>132</v>
      </c>
      <c r="B552" s="17">
        <v>2216</v>
      </c>
      <c r="C552" s="17">
        <v>2217</v>
      </c>
      <c r="D552" s="17">
        <v>2</v>
      </c>
      <c r="E552" s="17" t="s">
        <v>31</v>
      </c>
      <c r="F552" s="17" t="s">
        <v>33</v>
      </c>
      <c r="G552" s="18">
        <v>668.09928616178001</v>
      </c>
      <c r="H552" s="17" t="s">
        <v>789</v>
      </c>
    </row>
    <row r="553" spans="1:8" x14ac:dyDescent="0.3">
      <c r="A553" s="17" t="s">
        <v>99</v>
      </c>
      <c r="B553" s="17">
        <v>2218</v>
      </c>
      <c r="C553" s="17">
        <v>2219</v>
      </c>
      <c r="D553" s="17">
        <v>2</v>
      </c>
      <c r="E553" s="17" t="s">
        <v>31</v>
      </c>
      <c r="F553" s="17" t="s">
        <v>33</v>
      </c>
      <c r="G553" s="18">
        <v>683.09895180914998</v>
      </c>
      <c r="H553" s="17" t="s">
        <v>790</v>
      </c>
    </row>
    <row r="554" spans="1:8" x14ac:dyDescent="0.3">
      <c r="A554" s="17" t="s">
        <v>791</v>
      </c>
      <c r="B554" s="17">
        <v>2220</v>
      </c>
      <c r="C554" s="17">
        <v>2226</v>
      </c>
      <c r="D554" s="17">
        <v>7</v>
      </c>
      <c r="E554" s="17" t="s">
        <v>31</v>
      </c>
      <c r="F554" s="17" t="s">
        <v>33</v>
      </c>
      <c r="G554" s="18">
        <v>2265.3394200069497</v>
      </c>
      <c r="H554" s="17" t="s">
        <v>792</v>
      </c>
    </row>
    <row r="555" spans="1:8" x14ac:dyDescent="0.3">
      <c r="A555" s="17" t="s">
        <v>81</v>
      </c>
      <c r="B555" s="17">
        <v>2227</v>
      </c>
      <c r="C555" s="17">
        <v>2228</v>
      </c>
      <c r="D555" s="17">
        <v>2</v>
      </c>
      <c r="E555" s="17" t="s">
        <v>31</v>
      </c>
      <c r="F555" s="17" t="s">
        <v>33</v>
      </c>
      <c r="G555" s="18">
        <v>692.11051955106996</v>
      </c>
      <c r="H555" s="17" t="s">
        <v>793</v>
      </c>
    </row>
    <row r="556" spans="1:8" x14ac:dyDescent="0.3">
      <c r="A556" s="17" t="s">
        <v>794</v>
      </c>
      <c r="B556" s="17">
        <v>2229</v>
      </c>
      <c r="C556" s="17">
        <v>2234</v>
      </c>
      <c r="D556" s="17">
        <v>6</v>
      </c>
      <c r="E556" s="17" t="s">
        <v>31</v>
      </c>
      <c r="F556" s="17" t="s">
        <v>33</v>
      </c>
      <c r="G556" s="18">
        <v>1942.2749977876501</v>
      </c>
      <c r="H556" s="17" t="s">
        <v>795</v>
      </c>
    </row>
    <row r="557" spans="1:8" x14ac:dyDescent="0.3">
      <c r="A557" s="17" t="s">
        <v>214</v>
      </c>
      <c r="B557" s="17">
        <v>2235</v>
      </c>
      <c r="C557" s="17">
        <v>2238</v>
      </c>
      <c r="D557" s="17">
        <v>4</v>
      </c>
      <c r="E557" s="17" t="s">
        <v>31</v>
      </c>
      <c r="F557" s="17" t="s">
        <v>33</v>
      </c>
      <c r="G557" s="18">
        <v>1293.18152528007</v>
      </c>
      <c r="H557" s="17" t="s">
        <v>796</v>
      </c>
    </row>
    <row r="558" spans="1:8" x14ac:dyDescent="0.3">
      <c r="A558" s="17" t="s">
        <v>99</v>
      </c>
      <c r="B558" s="17">
        <v>2239</v>
      </c>
      <c r="C558" s="17">
        <v>2240</v>
      </c>
      <c r="D558" s="17">
        <v>2</v>
      </c>
      <c r="E558" s="17" t="s">
        <v>31</v>
      </c>
      <c r="F558" s="17" t="s">
        <v>33</v>
      </c>
      <c r="G558" s="18">
        <v>683.09895180914998</v>
      </c>
      <c r="H558" s="17" t="s">
        <v>797</v>
      </c>
    </row>
    <row r="559" spans="1:8" x14ac:dyDescent="0.3">
      <c r="A559" s="17" t="s">
        <v>798</v>
      </c>
      <c r="B559" s="17">
        <v>2241</v>
      </c>
      <c r="C559" s="17">
        <v>2246</v>
      </c>
      <c r="D559" s="17">
        <v>6</v>
      </c>
      <c r="E559" s="17" t="s">
        <v>31</v>
      </c>
      <c r="F559" s="17" t="s">
        <v>33</v>
      </c>
      <c r="G559" s="18">
        <v>1942.2749977876501</v>
      </c>
      <c r="H559" s="17" t="s">
        <v>799</v>
      </c>
    </row>
    <row r="560" spans="1:8" x14ac:dyDescent="0.3">
      <c r="A560" s="17" t="s">
        <v>800</v>
      </c>
      <c r="B560" s="17">
        <v>2247</v>
      </c>
      <c r="C560" s="17">
        <v>2252</v>
      </c>
      <c r="D560" s="17">
        <v>6</v>
      </c>
      <c r="E560" s="17" t="s">
        <v>31</v>
      </c>
      <c r="F560" s="17" t="s">
        <v>33</v>
      </c>
      <c r="G560" s="18">
        <v>1960.2981332714899</v>
      </c>
      <c r="H560" s="17" t="s">
        <v>801</v>
      </c>
    </row>
    <row r="561" spans="1:8" x14ac:dyDescent="0.3">
      <c r="A561" s="17" t="s">
        <v>51</v>
      </c>
      <c r="B561" s="17">
        <v>2253</v>
      </c>
      <c r="C561" s="17">
        <v>2257</v>
      </c>
      <c r="D561" s="17">
        <v>5</v>
      </c>
      <c r="E561" s="17" t="s">
        <v>31</v>
      </c>
      <c r="F561" s="17" t="s">
        <v>33</v>
      </c>
      <c r="G561" s="18">
        <v>1631.2456131467402</v>
      </c>
      <c r="H561" s="17" t="s">
        <v>802</v>
      </c>
    </row>
    <row r="562" spans="1:8" x14ac:dyDescent="0.3">
      <c r="A562" s="17" t="s">
        <v>132</v>
      </c>
      <c r="B562" s="17">
        <v>2258</v>
      </c>
      <c r="C562" s="17">
        <v>2259</v>
      </c>
      <c r="D562" s="17">
        <v>2</v>
      </c>
      <c r="E562" s="17" t="s">
        <v>31</v>
      </c>
      <c r="F562" s="17" t="s">
        <v>33</v>
      </c>
      <c r="G562" s="18">
        <v>668.09928616178001</v>
      </c>
      <c r="H562" s="17" t="s">
        <v>803</v>
      </c>
    </row>
    <row r="563" spans="1:8" x14ac:dyDescent="0.3">
      <c r="A563" s="17" t="s">
        <v>99</v>
      </c>
      <c r="B563" s="17">
        <v>2260</v>
      </c>
      <c r="C563" s="17">
        <v>2261</v>
      </c>
      <c r="D563" s="17">
        <v>2</v>
      </c>
      <c r="E563" s="17" t="s">
        <v>31</v>
      </c>
      <c r="F563" s="17" t="s">
        <v>33</v>
      </c>
      <c r="G563" s="18">
        <v>683.09895180914998</v>
      </c>
      <c r="H563" s="17" t="s">
        <v>804</v>
      </c>
    </row>
    <row r="564" spans="1:8" x14ac:dyDescent="0.3">
      <c r="A564" s="17" t="s">
        <v>27</v>
      </c>
      <c r="B564" s="17">
        <v>2262</v>
      </c>
      <c r="C564" s="17">
        <v>2262</v>
      </c>
      <c r="D564" s="17">
        <v>1</v>
      </c>
      <c r="E564" s="17" t="s">
        <v>31</v>
      </c>
      <c r="F564" s="17" t="s">
        <v>33</v>
      </c>
      <c r="G564" s="18">
        <v>363.05799942632001</v>
      </c>
      <c r="H564" s="17" t="s">
        <v>805</v>
      </c>
    </row>
    <row r="565" spans="1:8" x14ac:dyDescent="0.3">
      <c r="A565" s="17" t="s">
        <v>806</v>
      </c>
      <c r="B565" s="17">
        <v>2263</v>
      </c>
      <c r="C565" s="17">
        <v>2266</v>
      </c>
      <c r="D565" s="17">
        <v>4</v>
      </c>
      <c r="E565" s="17" t="s">
        <v>31</v>
      </c>
      <c r="F565" s="17" t="s">
        <v>33</v>
      </c>
      <c r="G565" s="18">
        <v>1317.19275866936</v>
      </c>
      <c r="H565" s="17" t="s">
        <v>807</v>
      </c>
    </row>
    <row r="566" spans="1:8" x14ac:dyDescent="0.3">
      <c r="A566" s="17" t="s">
        <v>808</v>
      </c>
      <c r="B566" s="17">
        <v>2267</v>
      </c>
      <c r="C566" s="17">
        <v>2273</v>
      </c>
      <c r="D566" s="17">
        <v>7</v>
      </c>
      <c r="E566" s="17" t="s">
        <v>31</v>
      </c>
      <c r="F566" s="17" t="s">
        <v>33</v>
      </c>
      <c r="G566" s="18">
        <v>2256.3278522650298</v>
      </c>
      <c r="H566" s="17" t="s">
        <v>809</v>
      </c>
    </row>
    <row r="567" spans="1:8" x14ac:dyDescent="0.3">
      <c r="A567" s="17" t="s">
        <v>810</v>
      </c>
      <c r="B567" s="17">
        <v>2274</v>
      </c>
      <c r="C567" s="17">
        <v>2281</v>
      </c>
      <c r="D567" s="17">
        <v>8</v>
      </c>
      <c r="E567" s="17" t="s">
        <v>31</v>
      </c>
      <c r="F567" s="17" t="s">
        <v>33</v>
      </c>
      <c r="G567" s="18">
        <v>2591.3684702952301</v>
      </c>
      <c r="H567" s="17" t="s">
        <v>811</v>
      </c>
    </row>
    <row r="568" spans="1:8" x14ac:dyDescent="0.3">
      <c r="A568" s="17" t="s">
        <v>132</v>
      </c>
      <c r="B568" s="17">
        <v>2282</v>
      </c>
      <c r="C568" s="17">
        <v>2283</v>
      </c>
      <c r="D568" s="17">
        <v>2</v>
      </c>
      <c r="E568" s="17" t="s">
        <v>31</v>
      </c>
      <c r="F568" s="17" t="s">
        <v>33</v>
      </c>
      <c r="G568" s="18">
        <v>668.09928616178001</v>
      </c>
      <c r="H568" s="17" t="s">
        <v>812</v>
      </c>
    </row>
    <row r="569" spans="1:8" x14ac:dyDescent="0.3">
      <c r="A569" s="17" t="s">
        <v>27</v>
      </c>
      <c r="B569" s="17">
        <v>2284</v>
      </c>
      <c r="C569" s="17">
        <v>2284</v>
      </c>
      <c r="D569" s="17">
        <v>1</v>
      </c>
      <c r="E569" s="17" t="s">
        <v>31</v>
      </c>
      <c r="F569" s="17" t="s">
        <v>33</v>
      </c>
      <c r="G569" s="18">
        <v>363.05799942632001</v>
      </c>
      <c r="H569" s="17" t="s">
        <v>813</v>
      </c>
    </row>
    <row r="570" spans="1:8" x14ac:dyDescent="0.3">
      <c r="A570" s="17" t="s">
        <v>132</v>
      </c>
      <c r="B570" s="17">
        <v>2285</v>
      </c>
      <c r="C570" s="17">
        <v>2286</v>
      </c>
      <c r="D570" s="17">
        <v>2</v>
      </c>
      <c r="E570" s="17" t="s">
        <v>31</v>
      </c>
      <c r="F570" s="17" t="s">
        <v>33</v>
      </c>
      <c r="G570" s="18">
        <v>668.09928616178001</v>
      </c>
      <c r="H570" s="17" t="s">
        <v>814</v>
      </c>
    </row>
    <row r="571" spans="1:8" x14ac:dyDescent="0.3">
      <c r="A571" s="17" t="s">
        <v>815</v>
      </c>
      <c r="B571" s="17">
        <v>2287</v>
      </c>
      <c r="C571" s="17">
        <v>2295</v>
      </c>
      <c r="D571" s="17">
        <v>9</v>
      </c>
      <c r="E571" s="17" t="s">
        <v>31</v>
      </c>
      <c r="F571" s="17" t="s">
        <v>33</v>
      </c>
      <c r="G571" s="18">
        <v>2881.4100913833204</v>
      </c>
      <c r="H571" s="17" t="s">
        <v>816</v>
      </c>
    </row>
    <row r="572" spans="1:8" x14ac:dyDescent="0.3">
      <c r="A572" s="17" t="s">
        <v>81</v>
      </c>
      <c r="B572" s="17">
        <v>2296</v>
      </c>
      <c r="C572" s="17">
        <v>2297</v>
      </c>
      <c r="D572" s="17">
        <v>2</v>
      </c>
      <c r="E572" s="17" t="s">
        <v>31</v>
      </c>
      <c r="F572" s="17" t="s">
        <v>33</v>
      </c>
      <c r="G572" s="18">
        <v>692.11051955106996</v>
      </c>
      <c r="H572" s="17" t="s">
        <v>817</v>
      </c>
    </row>
    <row r="573" spans="1:8" x14ac:dyDescent="0.3">
      <c r="A573" s="17" t="s">
        <v>99</v>
      </c>
      <c r="B573" s="17">
        <v>2298</v>
      </c>
      <c r="C573" s="17">
        <v>2299</v>
      </c>
      <c r="D573" s="17">
        <v>2</v>
      </c>
      <c r="E573" s="17" t="s">
        <v>31</v>
      </c>
      <c r="F573" s="17" t="s">
        <v>33</v>
      </c>
      <c r="G573" s="18">
        <v>683.09895180914998</v>
      </c>
      <c r="H573" s="17" t="s">
        <v>818</v>
      </c>
    </row>
    <row r="574" spans="1:8" x14ac:dyDescent="0.3">
      <c r="A574" s="17" t="s">
        <v>819</v>
      </c>
      <c r="B574" s="17">
        <v>2300</v>
      </c>
      <c r="C574" s="17">
        <v>2309</v>
      </c>
      <c r="D574" s="17">
        <v>10</v>
      </c>
      <c r="E574" s="17" t="s">
        <v>31</v>
      </c>
      <c r="F574" s="17" t="s">
        <v>33</v>
      </c>
      <c r="G574" s="18">
        <v>3186.4513781187802</v>
      </c>
      <c r="H574" s="17" t="s">
        <v>820</v>
      </c>
    </row>
    <row r="575" spans="1:8" x14ac:dyDescent="0.3">
      <c r="A575" s="17" t="s">
        <v>105</v>
      </c>
      <c r="B575" s="17">
        <v>2310</v>
      </c>
      <c r="C575" s="17">
        <v>2312</v>
      </c>
      <c r="D575" s="17">
        <v>3</v>
      </c>
      <c r="E575" s="17" t="s">
        <v>31</v>
      </c>
      <c r="F575" s="17" t="s">
        <v>33</v>
      </c>
      <c r="G575" s="18">
        <v>988.14023854460993</v>
      </c>
      <c r="H575" s="17" t="s">
        <v>821</v>
      </c>
    </row>
    <row r="576" spans="1:8" x14ac:dyDescent="0.3">
      <c r="A576" s="17" t="s">
        <v>105</v>
      </c>
      <c r="B576" s="17">
        <v>2313</v>
      </c>
      <c r="C576" s="17">
        <v>2315</v>
      </c>
      <c r="D576" s="17">
        <v>3</v>
      </c>
      <c r="E576" s="17" t="s">
        <v>31</v>
      </c>
      <c r="F576" s="17" t="s">
        <v>33</v>
      </c>
      <c r="G576" s="18">
        <v>988.14023854460993</v>
      </c>
      <c r="H576" s="17" t="s">
        <v>822</v>
      </c>
    </row>
    <row r="577" spans="1:8" x14ac:dyDescent="0.3">
      <c r="A577" s="17" t="s">
        <v>263</v>
      </c>
      <c r="B577" s="17">
        <v>2316</v>
      </c>
      <c r="C577" s="17">
        <v>2318</v>
      </c>
      <c r="D577" s="17">
        <v>3</v>
      </c>
      <c r="E577" s="17" t="s">
        <v>31</v>
      </c>
      <c r="F577" s="17" t="s">
        <v>33</v>
      </c>
      <c r="G577" s="18">
        <v>997.15180628653002</v>
      </c>
      <c r="H577" s="17" t="s">
        <v>823</v>
      </c>
    </row>
    <row r="578" spans="1:8" x14ac:dyDescent="0.3">
      <c r="A578" s="17" t="s">
        <v>271</v>
      </c>
      <c r="B578" s="17">
        <v>2319</v>
      </c>
      <c r="C578" s="17">
        <v>2322</v>
      </c>
      <c r="D578" s="17">
        <v>4</v>
      </c>
      <c r="E578" s="17" t="s">
        <v>31</v>
      </c>
      <c r="F578" s="17" t="s">
        <v>33</v>
      </c>
      <c r="G578" s="18">
        <v>1317.19275866936</v>
      </c>
      <c r="H578" s="17" t="s">
        <v>824</v>
      </c>
    </row>
    <row r="579" spans="1:8" x14ac:dyDescent="0.3">
      <c r="A579" s="17" t="s">
        <v>27</v>
      </c>
      <c r="B579" s="17">
        <v>2323</v>
      </c>
      <c r="C579" s="17">
        <v>2323</v>
      </c>
      <c r="D579" s="17">
        <v>1</v>
      </c>
      <c r="E579" s="17" t="s">
        <v>31</v>
      </c>
      <c r="F579" s="17" t="s">
        <v>33</v>
      </c>
      <c r="G579" s="18">
        <v>363.05799942632001</v>
      </c>
      <c r="H579" s="17" t="s">
        <v>825</v>
      </c>
    </row>
    <row r="580" spans="1:8" x14ac:dyDescent="0.3">
      <c r="A580" s="17" t="s">
        <v>263</v>
      </c>
      <c r="B580" s="17">
        <v>2324</v>
      </c>
      <c r="C580" s="17">
        <v>2326</v>
      </c>
      <c r="D580" s="17">
        <v>3</v>
      </c>
      <c r="E580" s="17" t="s">
        <v>31</v>
      </c>
      <c r="F580" s="17" t="s">
        <v>33</v>
      </c>
      <c r="G580" s="18">
        <v>997.15180628653002</v>
      </c>
      <c r="H580" s="17" t="s">
        <v>826</v>
      </c>
    </row>
    <row r="581" spans="1:8" x14ac:dyDescent="0.3">
      <c r="A581" s="17" t="s">
        <v>827</v>
      </c>
      <c r="B581" s="17">
        <v>2327</v>
      </c>
      <c r="C581" s="17">
        <v>2332</v>
      </c>
      <c r="D581" s="17">
        <v>6</v>
      </c>
      <c r="E581" s="17" t="s">
        <v>31</v>
      </c>
      <c r="F581" s="17" t="s">
        <v>33</v>
      </c>
      <c r="G581" s="18">
        <v>1933.2634300457298</v>
      </c>
      <c r="H581" s="17" t="s">
        <v>828</v>
      </c>
    </row>
    <row r="582" spans="1:8" x14ac:dyDescent="0.3">
      <c r="A582" s="17" t="s">
        <v>829</v>
      </c>
      <c r="B582" s="17">
        <v>2333</v>
      </c>
      <c r="C582" s="17">
        <v>2339</v>
      </c>
      <c r="D582" s="17">
        <v>7</v>
      </c>
      <c r="E582" s="17" t="s">
        <v>31</v>
      </c>
      <c r="F582" s="17" t="s">
        <v>33</v>
      </c>
      <c r="G582" s="18">
        <v>2241.3281866176603</v>
      </c>
      <c r="H582" s="17" t="s">
        <v>830</v>
      </c>
    </row>
    <row r="583" spans="1:8" x14ac:dyDescent="0.3">
      <c r="A583" s="17" t="s">
        <v>105</v>
      </c>
      <c r="B583" s="17">
        <v>2340</v>
      </c>
      <c r="C583" s="17">
        <v>2342</v>
      </c>
      <c r="D583" s="17">
        <v>3</v>
      </c>
      <c r="E583" s="17" t="s">
        <v>31</v>
      </c>
      <c r="F583" s="17" t="s">
        <v>33</v>
      </c>
      <c r="G583" s="18">
        <v>988.14023854460993</v>
      </c>
      <c r="H583" s="17" t="s">
        <v>831</v>
      </c>
    </row>
    <row r="584" spans="1:8" x14ac:dyDescent="0.3">
      <c r="A584" s="17" t="s">
        <v>1422</v>
      </c>
      <c r="B584" s="17">
        <v>2343</v>
      </c>
      <c r="C584" s="17">
        <v>2347</v>
      </c>
      <c r="D584" s="17">
        <v>5</v>
      </c>
      <c r="E584" s="17" t="s">
        <v>31</v>
      </c>
      <c r="F584" s="17" t="s">
        <v>33</v>
      </c>
      <c r="G584" s="18">
        <v>1670.2565121834</v>
      </c>
      <c r="H584" s="17" t="s">
        <v>832</v>
      </c>
    </row>
    <row r="585" spans="1:8" x14ac:dyDescent="0.3">
      <c r="A585" s="17" t="s">
        <v>81</v>
      </c>
      <c r="B585" s="17">
        <v>2348</v>
      </c>
      <c r="C585" s="17">
        <v>2349</v>
      </c>
      <c r="D585" s="17">
        <v>2</v>
      </c>
      <c r="E585" s="17" t="s">
        <v>31</v>
      </c>
      <c r="F585" s="17" t="s">
        <v>33</v>
      </c>
      <c r="G585" s="18">
        <v>692.11051955106996</v>
      </c>
      <c r="H585" s="17" t="s">
        <v>833</v>
      </c>
    </row>
    <row r="586" spans="1:8" x14ac:dyDescent="0.3">
      <c r="A586" s="17" t="s">
        <v>342</v>
      </c>
      <c r="B586" s="17">
        <v>2350</v>
      </c>
      <c r="C586" s="17">
        <v>2354</v>
      </c>
      <c r="D586" s="17">
        <v>5</v>
      </c>
      <c r="E586" s="17" t="s">
        <v>31</v>
      </c>
      <c r="F586" s="17" t="s">
        <v>33</v>
      </c>
      <c r="G586" s="18">
        <v>1598.2228120155301</v>
      </c>
      <c r="H586" s="17" t="s">
        <v>834</v>
      </c>
    </row>
    <row r="587" spans="1:8" x14ac:dyDescent="0.3">
      <c r="A587" s="17" t="s">
        <v>207</v>
      </c>
      <c r="B587" s="17">
        <v>2355</v>
      </c>
      <c r="C587" s="17">
        <v>2358</v>
      </c>
      <c r="D587" s="17">
        <v>4</v>
      </c>
      <c r="E587" s="17" t="s">
        <v>31</v>
      </c>
      <c r="F587" s="17" t="s">
        <v>33</v>
      </c>
      <c r="G587" s="18">
        <v>1326.2043264112801</v>
      </c>
      <c r="H587" s="17" t="s">
        <v>835</v>
      </c>
    </row>
    <row r="588" spans="1:8" x14ac:dyDescent="0.3">
      <c r="A588" s="17" t="s">
        <v>27</v>
      </c>
      <c r="B588" s="17">
        <v>2359</v>
      </c>
      <c r="C588" s="17">
        <v>2359</v>
      </c>
      <c r="D588" s="17">
        <v>1</v>
      </c>
      <c r="E588" s="17" t="s">
        <v>31</v>
      </c>
      <c r="F588" s="17" t="s">
        <v>33</v>
      </c>
      <c r="G588" s="18">
        <v>363.05799942632001</v>
      </c>
      <c r="H588" s="17" t="s">
        <v>836</v>
      </c>
    </row>
    <row r="589" spans="1:8" x14ac:dyDescent="0.3">
      <c r="A589" s="17" t="s">
        <v>27</v>
      </c>
      <c r="B589" s="17">
        <v>2360</v>
      </c>
      <c r="C589" s="17">
        <v>2360</v>
      </c>
      <c r="D589" s="17">
        <v>1</v>
      </c>
      <c r="E589" s="17" t="s">
        <v>31</v>
      </c>
      <c r="F589" s="17" t="s">
        <v>33</v>
      </c>
      <c r="G589" s="18">
        <v>363.05799942632001</v>
      </c>
      <c r="H589" s="17" t="s">
        <v>837</v>
      </c>
    </row>
    <row r="590" spans="1:8" x14ac:dyDescent="0.3">
      <c r="A590" s="17" t="s">
        <v>217</v>
      </c>
      <c r="B590" s="17">
        <v>2361</v>
      </c>
      <c r="C590" s="17">
        <v>2364</v>
      </c>
      <c r="D590" s="17">
        <v>4</v>
      </c>
      <c r="E590" s="17" t="s">
        <v>31</v>
      </c>
      <c r="F590" s="17" t="s">
        <v>33</v>
      </c>
      <c r="G590" s="18">
        <v>1317.19275866936</v>
      </c>
      <c r="H590" s="17" t="s">
        <v>838</v>
      </c>
    </row>
    <row r="591" spans="1:8" x14ac:dyDescent="0.3">
      <c r="A591" s="17" t="s">
        <v>364</v>
      </c>
      <c r="B591" s="17">
        <v>2365</v>
      </c>
      <c r="C591" s="17">
        <v>2367</v>
      </c>
      <c r="D591" s="17">
        <v>3</v>
      </c>
      <c r="E591" s="17" t="s">
        <v>31</v>
      </c>
      <c r="F591" s="17" t="s">
        <v>33</v>
      </c>
      <c r="G591" s="18">
        <v>973.14057289723996</v>
      </c>
      <c r="H591" s="17" t="s">
        <v>839</v>
      </c>
    </row>
    <row r="592" spans="1:8" x14ac:dyDescent="0.3">
      <c r="A592" s="17" t="s">
        <v>99</v>
      </c>
      <c r="B592" s="17">
        <v>2368</v>
      </c>
      <c r="C592" s="17">
        <v>2369</v>
      </c>
      <c r="D592" s="17">
        <v>2</v>
      </c>
      <c r="E592" s="17" t="s">
        <v>31</v>
      </c>
      <c r="F592" s="17" t="s">
        <v>33</v>
      </c>
      <c r="G592" s="18">
        <v>683.09895180914998</v>
      </c>
      <c r="H592" s="17" t="s">
        <v>840</v>
      </c>
    </row>
    <row r="593" spans="1:8" x14ac:dyDescent="0.3">
      <c r="A593" s="17" t="s">
        <v>27</v>
      </c>
      <c r="B593" s="17">
        <v>2370</v>
      </c>
      <c r="C593" s="17">
        <v>2370</v>
      </c>
      <c r="D593" s="17">
        <v>1</v>
      </c>
      <c r="E593" s="17" t="s">
        <v>31</v>
      </c>
      <c r="F593" s="17" t="s">
        <v>33</v>
      </c>
      <c r="G593" s="18">
        <v>363.05799942632001</v>
      </c>
      <c r="H593" s="17" t="s">
        <v>841</v>
      </c>
    </row>
    <row r="594" spans="1:8" x14ac:dyDescent="0.3">
      <c r="A594" s="17" t="s">
        <v>529</v>
      </c>
      <c r="B594" s="17">
        <v>2371</v>
      </c>
      <c r="C594" s="17">
        <v>2375</v>
      </c>
      <c r="D594" s="17">
        <v>5</v>
      </c>
      <c r="E594" s="17" t="s">
        <v>31</v>
      </c>
      <c r="F594" s="17" t="s">
        <v>33</v>
      </c>
      <c r="G594" s="18">
        <v>1655.25684653603</v>
      </c>
      <c r="H594" s="17" t="s">
        <v>842</v>
      </c>
    </row>
    <row r="595" spans="1:8" x14ac:dyDescent="0.3">
      <c r="A595" s="17" t="s">
        <v>27</v>
      </c>
      <c r="B595" s="17">
        <v>2376</v>
      </c>
      <c r="C595" s="17">
        <v>2376</v>
      </c>
      <c r="D595" s="17">
        <v>1</v>
      </c>
      <c r="E595" s="17" t="s">
        <v>31</v>
      </c>
      <c r="F595" s="17" t="s">
        <v>33</v>
      </c>
      <c r="G595" s="18">
        <v>363.05799942632001</v>
      </c>
      <c r="H595" s="17" t="s">
        <v>843</v>
      </c>
    </row>
    <row r="596" spans="1:8" x14ac:dyDescent="0.3">
      <c r="A596" s="17" t="s">
        <v>137</v>
      </c>
      <c r="B596" s="17">
        <v>2377</v>
      </c>
      <c r="C596" s="17">
        <v>2381</v>
      </c>
      <c r="D596" s="17">
        <v>5</v>
      </c>
      <c r="E596" s="17" t="s">
        <v>31</v>
      </c>
      <c r="F596" s="17" t="s">
        <v>33</v>
      </c>
      <c r="G596" s="18">
        <v>1655.25684653603</v>
      </c>
      <c r="H596" s="17" t="s">
        <v>844</v>
      </c>
    </row>
    <row r="597" spans="1:8" x14ac:dyDescent="0.3">
      <c r="A597" s="17" t="s">
        <v>845</v>
      </c>
      <c r="B597" s="17">
        <v>2382</v>
      </c>
      <c r="C597" s="17">
        <v>2391</v>
      </c>
      <c r="D597" s="17">
        <v>10</v>
      </c>
      <c r="E597" s="17" t="s">
        <v>31</v>
      </c>
      <c r="F597" s="17" t="s">
        <v>33</v>
      </c>
      <c r="G597" s="18">
        <v>3228.4857469919102</v>
      </c>
      <c r="H597" s="17" t="s">
        <v>846</v>
      </c>
    </row>
    <row r="598" spans="1:8" x14ac:dyDescent="0.3">
      <c r="A598" s="17" t="s">
        <v>81</v>
      </c>
      <c r="B598" s="17">
        <v>2392</v>
      </c>
      <c r="C598" s="17">
        <v>2393</v>
      </c>
      <c r="D598" s="17">
        <v>2</v>
      </c>
      <c r="E598" s="17" t="s">
        <v>31</v>
      </c>
      <c r="F598" s="17" t="s">
        <v>33</v>
      </c>
      <c r="G598" s="18">
        <v>692.11051955106996</v>
      </c>
      <c r="H598" s="17" t="s">
        <v>847</v>
      </c>
    </row>
    <row r="599" spans="1:8" x14ac:dyDescent="0.3">
      <c r="A599" s="17" t="s">
        <v>27</v>
      </c>
      <c r="B599" s="17">
        <v>2394</v>
      </c>
      <c r="C599" s="17">
        <v>2394</v>
      </c>
      <c r="D599" s="17">
        <v>1</v>
      </c>
      <c r="E599" s="17" t="s">
        <v>31</v>
      </c>
      <c r="F599" s="17" t="s">
        <v>33</v>
      </c>
      <c r="G599" s="18">
        <v>363.05799942632001</v>
      </c>
      <c r="H599" s="17" t="s">
        <v>848</v>
      </c>
    </row>
    <row r="600" spans="1:8" x14ac:dyDescent="0.3">
      <c r="A600" s="17" t="s">
        <v>99</v>
      </c>
      <c r="B600" s="17">
        <v>2395</v>
      </c>
      <c r="C600" s="17">
        <v>2396</v>
      </c>
      <c r="D600" s="17">
        <v>2</v>
      </c>
      <c r="E600" s="17" t="s">
        <v>31</v>
      </c>
      <c r="F600" s="17" t="s">
        <v>33</v>
      </c>
      <c r="G600" s="18">
        <v>683.09895180914998</v>
      </c>
      <c r="H600" s="17" t="s">
        <v>849</v>
      </c>
    </row>
    <row r="601" spans="1:8" x14ac:dyDescent="0.3">
      <c r="A601" s="17" t="s">
        <v>97</v>
      </c>
      <c r="B601" s="17">
        <v>2397</v>
      </c>
      <c r="C601" s="17">
        <v>2400</v>
      </c>
      <c r="D601" s="17">
        <v>4</v>
      </c>
      <c r="E601" s="17" t="s">
        <v>31</v>
      </c>
      <c r="F601" s="17" t="s">
        <v>33</v>
      </c>
      <c r="G601" s="18">
        <v>1308.18119092744</v>
      </c>
      <c r="H601" s="17" t="s">
        <v>850</v>
      </c>
    </row>
    <row r="602" spans="1:8" x14ac:dyDescent="0.3">
      <c r="A602" s="17" t="s">
        <v>851</v>
      </c>
      <c r="B602" s="17">
        <v>2401</v>
      </c>
      <c r="C602" s="17">
        <v>2406</v>
      </c>
      <c r="D602" s="17">
        <v>6</v>
      </c>
      <c r="E602" s="17" t="s">
        <v>31</v>
      </c>
      <c r="F602" s="17" t="s">
        <v>33</v>
      </c>
      <c r="G602" s="18">
        <v>1936.2868998822</v>
      </c>
      <c r="H602" s="17" t="s">
        <v>852</v>
      </c>
    </row>
    <row r="603" spans="1:8" x14ac:dyDescent="0.3">
      <c r="A603" s="17" t="s">
        <v>99</v>
      </c>
      <c r="B603" s="17">
        <v>2407</v>
      </c>
      <c r="C603" s="17">
        <v>2408</v>
      </c>
      <c r="D603" s="17">
        <v>2</v>
      </c>
      <c r="E603" s="17" t="s">
        <v>31</v>
      </c>
      <c r="F603" s="17" t="s">
        <v>33</v>
      </c>
      <c r="G603" s="18">
        <v>683.09895180914998</v>
      </c>
      <c r="H603" s="17" t="s">
        <v>853</v>
      </c>
    </row>
    <row r="604" spans="1:8" x14ac:dyDescent="0.3">
      <c r="A604" s="17" t="s">
        <v>193</v>
      </c>
      <c r="B604" s="17">
        <v>2409</v>
      </c>
      <c r="C604" s="17">
        <v>2411</v>
      </c>
      <c r="D604" s="17">
        <v>3</v>
      </c>
      <c r="E604" s="17" t="s">
        <v>31</v>
      </c>
      <c r="F604" s="17" t="s">
        <v>33</v>
      </c>
      <c r="G604" s="18">
        <v>1021.1630396758201</v>
      </c>
      <c r="H604" s="17" t="s">
        <v>854</v>
      </c>
    </row>
    <row r="605" spans="1:8" x14ac:dyDescent="0.3">
      <c r="A605" s="17" t="s">
        <v>263</v>
      </c>
      <c r="B605" s="17">
        <v>2412</v>
      </c>
      <c r="C605" s="17">
        <v>2414</v>
      </c>
      <c r="D605" s="17">
        <v>3</v>
      </c>
      <c r="E605" s="17" t="s">
        <v>31</v>
      </c>
      <c r="F605" s="17" t="s">
        <v>33</v>
      </c>
      <c r="G605" s="18">
        <v>997.15180628653002</v>
      </c>
      <c r="H605" s="17" t="s">
        <v>855</v>
      </c>
    </row>
    <row r="606" spans="1:8" x14ac:dyDescent="0.3">
      <c r="A606" s="17" t="s">
        <v>856</v>
      </c>
      <c r="B606" s="17">
        <v>2415</v>
      </c>
      <c r="C606" s="17">
        <v>2423</v>
      </c>
      <c r="D606" s="17">
        <v>9</v>
      </c>
      <c r="E606" s="17" t="s">
        <v>31</v>
      </c>
      <c r="F606" s="17" t="s">
        <v>33</v>
      </c>
      <c r="G606" s="18">
        <v>2929.4325581619</v>
      </c>
      <c r="H606" s="17" t="s">
        <v>857</v>
      </c>
    </row>
    <row r="607" spans="1:8" x14ac:dyDescent="0.3">
      <c r="A607" s="17" t="s">
        <v>858</v>
      </c>
      <c r="B607" s="17">
        <v>2424</v>
      </c>
      <c r="C607" s="17">
        <v>2438</v>
      </c>
      <c r="D607" s="17">
        <v>15</v>
      </c>
      <c r="E607" s="17" t="s">
        <v>31</v>
      </c>
      <c r="F607" s="17" t="s">
        <v>33</v>
      </c>
      <c r="G607" s="18">
        <v>4774.6799442220299</v>
      </c>
      <c r="H607" s="17" t="s">
        <v>859</v>
      </c>
    </row>
    <row r="608" spans="1:8" x14ac:dyDescent="0.3">
      <c r="A608" s="17" t="s">
        <v>27</v>
      </c>
      <c r="B608" s="17">
        <v>2439</v>
      </c>
      <c r="C608" s="17">
        <v>2439</v>
      </c>
      <c r="D608" s="17">
        <v>1</v>
      </c>
      <c r="E608" s="17" t="s">
        <v>31</v>
      </c>
      <c r="F608" s="17" t="s">
        <v>33</v>
      </c>
      <c r="G608" s="18">
        <v>363.05799942632001</v>
      </c>
      <c r="H608" s="17" t="s">
        <v>860</v>
      </c>
    </row>
    <row r="609" spans="1:8" x14ac:dyDescent="0.3">
      <c r="A609" s="17" t="s">
        <v>1423</v>
      </c>
      <c r="B609" s="17">
        <v>2440</v>
      </c>
      <c r="C609" s="17">
        <v>2445</v>
      </c>
      <c r="D609" s="17">
        <v>6</v>
      </c>
      <c r="E609" s="17" t="s">
        <v>31</v>
      </c>
      <c r="F609" s="17" t="s">
        <v>33</v>
      </c>
      <c r="G609" s="18">
        <v>1942.2749977876501</v>
      </c>
      <c r="H609" s="17" t="s">
        <v>861</v>
      </c>
    </row>
    <row r="610" spans="1:8" x14ac:dyDescent="0.3">
      <c r="A610" s="17" t="s">
        <v>27</v>
      </c>
      <c r="B610" s="17">
        <v>2446</v>
      </c>
      <c r="C610" s="17">
        <v>2446</v>
      </c>
      <c r="D610" s="17">
        <v>1</v>
      </c>
      <c r="E610" s="17" t="s">
        <v>31</v>
      </c>
      <c r="F610" s="17" t="s">
        <v>33</v>
      </c>
      <c r="G610" s="18">
        <v>363.05799942632001</v>
      </c>
      <c r="H610" s="17" t="s">
        <v>862</v>
      </c>
    </row>
    <row r="611" spans="1:8" x14ac:dyDescent="0.3">
      <c r="A611" s="17" t="s">
        <v>132</v>
      </c>
      <c r="B611" s="17">
        <v>2447</v>
      </c>
      <c r="C611" s="17">
        <v>2448</v>
      </c>
      <c r="D611" s="17">
        <v>2</v>
      </c>
      <c r="E611" s="17" t="s">
        <v>31</v>
      </c>
      <c r="F611" s="17" t="s">
        <v>33</v>
      </c>
      <c r="G611" s="18">
        <v>668.09928616178001</v>
      </c>
      <c r="H611" s="17" t="s">
        <v>863</v>
      </c>
    </row>
    <row r="612" spans="1:8" x14ac:dyDescent="0.3">
      <c r="A612" s="17" t="s">
        <v>27</v>
      </c>
      <c r="B612" s="17">
        <v>2449</v>
      </c>
      <c r="C612" s="17">
        <v>2449</v>
      </c>
      <c r="D612" s="17">
        <v>1</v>
      </c>
      <c r="E612" s="17" t="s">
        <v>31</v>
      </c>
      <c r="F612" s="17" t="s">
        <v>33</v>
      </c>
      <c r="G612" s="18">
        <v>363.05799942632001</v>
      </c>
      <c r="H612" s="17" t="s">
        <v>864</v>
      </c>
    </row>
    <row r="613" spans="1:8" x14ac:dyDescent="0.3">
      <c r="A613" s="17" t="s">
        <v>865</v>
      </c>
      <c r="B613" s="17">
        <v>2450</v>
      </c>
      <c r="C613" s="17">
        <v>2461</v>
      </c>
      <c r="D613" s="17">
        <v>12</v>
      </c>
      <c r="E613" s="17" t="s">
        <v>31</v>
      </c>
      <c r="F613" s="17" t="s">
        <v>33</v>
      </c>
      <c r="G613" s="18">
        <v>3865.5441819210996</v>
      </c>
      <c r="H613" s="17" t="s">
        <v>866</v>
      </c>
    </row>
    <row r="614" spans="1:8" x14ac:dyDescent="0.3">
      <c r="A614" s="17" t="s">
        <v>114</v>
      </c>
      <c r="B614" s="17">
        <v>2462</v>
      </c>
      <c r="C614" s="17">
        <v>2465</v>
      </c>
      <c r="D614" s="17">
        <v>4</v>
      </c>
      <c r="E614" s="17" t="s">
        <v>31</v>
      </c>
      <c r="F614" s="17" t="s">
        <v>33</v>
      </c>
      <c r="G614" s="18">
        <v>1302.1930930219901</v>
      </c>
      <c r="H614" s="17" t="s">
        <v>867</v>
      </c>
    </row>
    <row r="615" spans="1:8" x14ac:dyDescent="0.3">
      <c r="A615" s="17" t="s">
        <v>868</v>
      </c>
      <c r="B615" s="17">
        <v>2466</v>
      </c>
      <c r="C615" s="17">
        <v>2471</v>
      </c>
      <c r="D615" s="17">
        <v>6</v>
      </c>
      <c r="E615" s="17" t="s">
        <v>31</v>
      </c>
      <c r="F615" s="17" t="s">
        <v>33</v>
      </c>
      <c r="G615" s="18">
        <v>1957.2746634350199</v>
      </c>
      <c r="H615" s="17" t="s">
        <v>869</v>
      </c>
    </row>
    <row r="616" spans="1:8" x14ac:dyDescent="0.3">
      <c r="A616" s="17" t="s">
        <v>517</v>
      </c>
      <c r="B616" s="17">
        <v>2472</v>
      </c>
      <c r="C616" s="17">
        <v>2475</v>
      </c>
      <c r="D616" s="17">
        <v>4</v>
      </c>
      <c r="E616" s="17" t="s">
        <v>31</v>
      </c>
      <c r="F616" s="17" t="s">
        <v>33</v>
      </c>
      <c r="G616" s="18">
        <v>1278.1818596327</v>
      </c>
      <c r="H616" s="17" t="s">
        <v>870</v>
      </c>
    </row>
    <row r="617" spans="1:8" x14ac:dyDescent="0.3">
      <c r="A617" s="17" t="s">
        <v>871</v>
      </c>
      <c r="B617" s="17">
        <v>2476</v>
      </c>
      <c r="C617" s="17">
        <v>2482</v>
      </c>
      <c r="D617" s="17">
        <v>7</v>
      </c>
      <c r="E617" s="17" t="s">
        <v>31</v>
      </c>
      <c r="F617" s="17" t="s">
        <v>33</v>
      </c>
      <c r="G617" s="18">
        <v>2271.3275179124003</v>
      </c>
      <c r="H617" s="17" t="s">
        <v>872</v>
      </c>
    </row>
    <row r="618" spans="1:8" x14ac:dyDescent="0.3">
      <c r="A618" s="17" t="s">
        <v>209</v>
      </c>
      <c r="B618" s="17">
        <v>2483</v>
      </c>
      <c r="C618" s="17">
        <v>2486</v>
      </c>
      <c r="D618" s="17">
        <v>4</v>
      </c>
      <c r="E618" s="17" t="s">
        <v>31</v>
      </c>
      <c r="F618" s="17" t="s">
        <v>33</v>
      </c>
      <c r="G618" s="18">
        <v>1326.2043264112801</v>
      </c>
      <c r="H618" s="17" t="s">
        <v>873</v>
      </c>
    </row>
    <row r="619" spans="1:8" x14ac:dyDescent="0.3">
      <c r="A619" s="17" t="s">
        <v>874</v>
      </c>
      <c r="B619" s="17">
        <v>2487</v>
      </c>
      <c r="C619" s="17">
        <v>2491</v>
      </c>
      <c r="D619" s="17">
        <v>5</v>
      </c>
      <c r="E619" s="17" t="s">
        <v>31</v>
      </c>
      <c r="F619" s="17" t="s">
        <v>33</v>
      </c>
      <c r="G619" s="18">
        <v>1607.2343797574499</v>
      </c>
      <c r="H619" s="17" t="s">
        <v>875</v>
      </c>
    </row>
    <row r="620" spans="1:8" x14ac:dyDescent="0.3">
      <c r="A620" s="17" t="s">
        <v>209</v>
      </c>
      <c r="B620" s="17">
        <v>2492</v>
      </c>
      <c r="C620" s="17">
        <v>2495</v>
      </c>
      <c r="D620" s="17">
        <v>4</v>
      </c>
      <c r="E620" s="17" t="s">
        <v>31</v>
      </c>
      <c r="F620" s="17" t="s">
        <v>33</v>
      </c>
      <c r="G620" s="18">
        <v>1326.2043264112801</v>
      </c>
      <c r="H620" s="17" t="s">
        <v>876</v>
      </c>
    </row>
    <row r="621" spans="1:8" x14ac:dyDescent="0.3">
      <c r="A621" s="17" t="s">
        <v>132</v>
      </c>
      <c r="B621" s="17">
        <v>2496</v>
      </c>
      <c r="C621" s="17">
        <v>2497</v>
      </c>
      <c r="D621" s="17">
        <v>2</v>
      </c>
      <c r="E621" s="17" t="s">
        <v>31</v>
      </c>
      <c r="F621" s="17" t="s">
        <v>33</v>
      </c>
      <c r="G621" s="18">
        <v>668.09928616178001</v>
      </c>
      <c r="H621" s="17" t="s">
        <v>877</v>
      </c>
    </row>
    <row r="622" spans="1:8" x14ac:dyDescent="0.3">
      <c r="A622" s="17" t="s">
        <v>27</v>
      </c>
      <c r="B622" s="17">
        <v>2498</v>
      </c>
      <c r="C622" s="17">
        <v>2498</v>
      </c>
      <c r="D622" s="17">
        <v>1</v>
      </c>
      <c r="E622" s="17" t="s">
        <v>31</v>
      </c>
      <c r="F622" s="17" t="s">
        <v>33</v>
      </c>
      <c r="G622" s="18">
        <v>363.05799942632001</v>
      </c>
      <c r="H622" s="17" t="s">
        <v>878</v>
      </c>
    </row>
    <row r="623" spans="1:8" x14ac:dyDescent="0.3">
      <c r="A623" s="17" t="s">
        <v>81</v>
      </c>
      <c r="B623" s="17">
        <v>2499</v>
      </c>
      <c r="C623" s="17">
        <v>2500</v>
      </c>
      <c r="D623" s="17">
        <v>2</v>
      </c>
      <c r="E623" s="17" t="s">
        <v>31</v>
      </c>
      <c r="F623" s="17" t="s">
        <v>33</v>
      </c>
      <c r="G623" s="18">
        <v>692.11051955106996</v>
      </c>
      <c r="H623" s="17" t="s">
        <v>879</v>
      </c>
    </row>
    <row r="624" spans="1:8" x14ac:dyDescent="0.3">
      <c r="A624" s="17" t="s">
        <v>880</v>
      </c>
      <c r="B624" s="17">
        <v>2501</v>
      </c>
      <c r="C624" s="17">
        <v>2508</v>
      </c>
      <c r="D624" s="17">
        <v>8</v>
      </c>
      <c r="E624" s="17" t="s">
        <v>31</v>
      </c>
      <c r="F624" s="17" t="s">
        <v>33</v>
      </c>
      <c r="G624" s="18">
        <v>2567.3572369059398</v>
      </c>
      <c r="H624" s="17" t="s">
        <v>881</v>
      </c>
    </row>
    <row r="625" spans="1:8" x14ac:dyDescent="0.3">
      <c r="A625" s="17" t="s">
        <v>81</v>
      </c>
      <c r="B625" s="17">
        <v>2509</v>
      </c>
      <c r="C625" s="17">
        <v>2510</v>
      </c>
      <c r="D625" s="17">
        <v>2</v>
      </c>
      <c r="E625" s="17" t="s">
        <v>31</v>
      </c>
      <c r="F625" s="17" t="s">
        <v>33</v>
      </c>
      <c r="G625" s="18">
        <v>692.11051955106996</v>
      </c>
      <c r="H625" s="17" t="s">
        <v>882</v>
      </c>
    </row>
    <row r="626" spans="1:8" x14ac:dyDescent="0.3">
      <c r="A626" s="17" t="s">
        <v>27</v>
      </c>
      <c r="B626" s="17">
        <v>2511</v>
      </c>
      <c r="C626" s="17">
        <v>2511</v>
      </c>
      <c r="D626" s="17">
        <v>1</v>
      </c>
      <c r="E626" s="17" t="s">
        <v>31</v>
      </c>
      <c r="F626" s="17" t="s">
        <v>33</v>
      </c>
      <c r="G626" s="18">
        <v>363.05799942632001</v>
      </c>
      <c r="H626" s="17" t="s">
        <v>883</v>
      </c>
    </row>
    <row r="627" spans="1:8" x14ac:dyDescent="0.3">
      <c r="A627" s="17" t="s">
        <v>151</v>
      </c>
      <c r="B627" s="17">
        <v>2512</v>
      </c>
      <c r="C627" s="17">
        <v>2516</v>
      </c>
      <c r="D627" s="17">
        <v>5</v>
      </c>
      <c r="E627" s="17" t="s">
        <v>31</v>
      </c>
      <c r="F627" s="17" t="s">
        <v>33</v>
      </c>
      <c r="G627" s="18">
        <v>1622.2340454048201</v>
      </c>
      <c r="H627" s="17" t="s">
        <v>884</v>
      </c>
    </row>
    <row r="628" spans="1:8" x14ac:dyDescent="0.3">
      <c r="A628" s="17" t="s">
        <v>105</v>
      </c>
      <c r="B628" s="17">
        <v>2517</v>
      </c>
      <c r="C628" s="17">
        <v>2519</v>
      </c>
      <c r="D628" s="17">
        <v>3</v>
      </c>
      <c r="E628" s="17" t="s">
        <v>31</v>
      </c>
      <c r="F628" s="17" t="s">
        <v>33</v>
      </c>
      <c r="G628" s="18">
        <v>988.14023854460993</v>
      </c>
      <c r="H628" s="17" t="s">
        <v>885</v>
      </c>
    </row>
    <row r="629" spans="1:8" x14ac:dyDescent="0.3">
      <c r="A629" s="17" t="s">
        <v>886</v>
      </c>
      <c r="B629" s="17">
        <v>2520</v>
      </c>
      <c r="C629" s="17">
        <v>2529</v>
      </c>
      <c r="D629" s="17">
        <v>10</v>
      </c>
      <c r="E629" s="17" t="s">
        <v>31</v>
      </c>
      <c r="F629" s="17" t="s">
        <v>33</v>
      </c>
      <c r="G629" s="18">
        <v>3258.4850782866502</v>
      </c>
      <c r="H629" s="17" t="s">
        <v>887</v>
      </c>
    </row>
    <row r="630" spans="1:8" x14ac:dyDescent="0.3">
      <c r="A630" s="17" t="s">
        <v>99</v>
      </c>
      <c r="B630" s="17">
        <v>2530</v>
      </c>
      <c r="C630" s="17">
        <v>2531</v>
      </c>
      <c r="D630" s="17">
        <v>2</v>
      </c>
      <c r="E630" s="17" t="s">
        <v>31</v>
      </c>
      <c r="F630" s="17" t="s">
        <v>33</v>
      </c>
      <c r="G630" s="18">
        <v>683.09895180914998</v>
      </c>
      <c r="H630" s="17" t="s">
        <v>888</v>
      </c>
    </row>
    <row r="631" spans="1:8" x14ac:dyDescent="0.3">
      <c r="A631" s="17" t="s">
        <v>338</v>
      </c>
      <c r="B631" s="17">
        <v>2532</v>
      </c>
      <c r="C631" s="17">
        <v>2537</v>
      </c>
      <c r="D631" s="17">
        <v>6</v>
      </c>
      <c r="E631" s="17" t="s">
        <v>31</v>
      </c>
      <c r="F631" s="17" t="s">
        <v>33</v>
      </c>
      <c r="G631" s="18">
        <v>1951.2865655295702</v>
      </c>
      <c r="H631" s="17" t="s">
        <v>889</v>
      </c>
    </row>
    <row r="632" spans="1:8" x14ac:dyDescent="0.3">
      <c r="A632" s="17" t="s">
        <v>27</v>
      </c>
      <c r="B632" s="17">
        <v>2538</v>
      </c>
      <c r="C632" s="17">
        <v>2538</v>
      </c>
      <c r="D632" s="17">
        <v>1</v>
      </c>
      <c r="E632" s="17" t="s">
        <v>31</v>
      </c>
      <c r="F632" s="17" t="s">
        <v>33</v>
      </c>
      <c r="G632" s="18">
        <v>363.05799942632001</v>
      </c>
      <c r="H632" s="17" t="s">
        <v>890</v>
      </c>
    </row>
    <row r="633" spans="1:8" x14ac:dyDescent="0.3">
      <c r="A633" s="17" t="s">
        <v>364</v>
      </c>
      <c r="B633" s="17">
        <v>2539</v>
      </c>
      <c r="C633" s="17">
        <v>2541</v>
      </c>
      <c r="D633" s="17">
        <v>3</v>
      </c>
      <c r="E633" s="17" t="s">
        <v>31</v>
      </c>
      <c r="F633" s="17" t="s">
        <v>33</v>
      </c>
      <c r="G633" s="18">
        <v>973.14057289723996</v>
      </c>
      <c r="H633" s="17" t="s">
        <v>891</v>
      </c>
    </row>
    <row r="634" spans="1:8" x14ac:dyDescent="0.3">
      <c r="A634" s="17" t="s">
        <v>181</v>
      </c>
      <c r="B634" s="17">
        <v>2542</v>
      </c>
      <c r="C634" s="17">
        <v>2544</v>
      </c>
      <c r="D634" s="17">
        <v>3</v>
      </c>
      <c r="E634" s="17" t="s">
        <v>31</v>
      </c>
      <c r="F634" s="17" t="s">
        <v>33</v>
      </c>
      <c r="G634" s="18">
        <v>997.15180628653002</v>
      </c>
      <c r="H634" s="17" t="s">
        <v>892</v>
      </c>
    </row>
    <row r="635" spans="1:8" x14ac:dyDescent="0.3">
      <c r="A635" s="17" t="s">
        <v>364</v>
      </c>
      <c r="B635" s="17">
        <v>2545</v>
      </c>
      <c r="C635" s="17">
        <v>2547</v>
      </c>
      <c r="D635" s="17">
        <v>3</v>
      </c>
      <c r="E635" s="17" t="s">
        <v>31</v>
      </c>
      <c r="F635" s="17" t="s">
        <v>33</v>
      </c>
      <c r="G635" s="18">
        <v>973.14057289723996</v>
      </c>
      <c r="H635" s="17" t="s">
        <v>893</v>
      </c>
    </row>
    <row r="636" spans="1:8" x14ac:dyDescent="0.3">
      <c r="A636" s="17" t="s">
        <v>27</v>
      </c>
      <c r="B636" s="17">
        <v>2548</v>
      </c>
      <c r="C636" s="17">
        <v>2548</v>
      </c>
      <c r="D636" s="17">
        <v>1</v>
      </c>
      <c r="E636" s="17" t="s">
        <v>31</v>
      </c>
      <c r="F636" s="17" t="s">
        <v>33</v>
      </c>
      <c r="G636" s="18">
        <v>363.05799942632001</v>
      </c>
      <c r="H636" s="17" t="s">
        <v>894</v>
      </c>
    </row>
    <row r="637" spans="1:8" x14ac:dyDescent="0.3">
      <c r="A637" s="17" t="s">
        <v>895</v>
      </c>
      <c r="B637" s="17">
        <v>2549</v>
      </c>
      <c r="C637" s="17">
        <v>2558</v>
      </c>
      <c r="D637" s="17">
        <v>10</v>
      </c>
      <c r="E637" s="17" t="s">
        <v>31</v>
      </c>
      <c r="F637" s="17" t="s">
        <v>33</v>
      </c>
      <c r="G637" s="18">
        <v>3225.4622771554396</v>
      </c>
      <c r="H637" s="17" t="s">
        <v>896</v>
      </c>
    </row>
    <row r="638" spans="1:8" x14ac:dyDescent="0.3">
      <c r="A638" s="17" t="s">
        <v>263</v>
      </c>
      <c r="B638" s="17">
        <v>2559</v>
      </c>
      <c r="C638" s="17">
        <v>2561</v>
      </c>
      <c r="D638" s="17">
        <v>3</v>
      </c>
      <c r="E638" s="17" t="s">
        <v>31</v>
      </c>
      <c r="F638" s="17" t="s">
        <v>33</v>
      </c>
      <c r="G638" s="18">
        <v>997.15180628653002</v>
      </c>
      <c r="H638" s="17" t="s">
        <v>897</v>
      </c>
    </row>
    <row r="639" spans="1:8" x14ac:dyDescent="0.3">
      <c r="A639" s="17" t="s">
        <v>898</v>
      </c>
      <c r="B639" s="17">
        <v>2562</v>
      </c>
      <c r="C639" s="17">
        <v>2565</v>
      </c>
      <c r="D639" s="17">
        <v>4</v>
      </c>
      <c r="E639" s="17" t="s">
        <v>31</v>
      </c>
      <c r="F639" s="17" t="s">
        <v>33</v>
      </c>
      <c r="G639" s="18">
        <v>1332.19242431673</v>
      </c>
      <c r="H639" s="17" t="s">
        <v>899</v>
      </c>
    </row>
    <row r="640" spans="1:8" x14ac:dyDescent="0.3">
      <c r="A640" s="17" t="s">
        <v>27</v>
      </c>
      <c r="B640" s="17">
        <v>2566</v>
      </c>
      <c r="C640" s="17">
        <v>2566</v>
      </c>
      <c r="D640" s="17">
        <v>1</v>
      </c>
      <c r="E640" s="17" t="s">
        <v>31</v>
      </c>
      <c r="F640" s="17" t="s">
        <v>33</v>
      </c>
      <c r="G640" s="18">
        <v>363.05799942632001</v>
      </c>
      <c r="H640" s="17" t="s">
        <v>900</v>
      </c>
    </row>
    <row r="641" spans="1:8" x14ac:dyDescent="0.3">
      <c r="A641" s="17" t="s">
        <v>132</v>
      </c>
      <c r="B641" s="17">
        <v>2567</v>
      </c>
      <c r="C641" s="17">
        <v>2568</v>
      </c>
      <c r="D641" s="17">
        <v>2</v>
      </c>
      <c r="E641" s="17" t="s">
        <v>31</v>
      </c>
      <c r="F641" s="17" t="s">
        <v>33</v>
      </c>
      <c r="G641" s="18">
        <v>668.09928616178001</v>
      </c>
      <c r="H641" s="17" t="s">
        <v>901</v>
      </c>
    </row>
    <row r="642" spans="1:8" x14ac:dyDescent="0.3">
      <c r="A642" s="17" t="s">
        <v>392</v>
      </c>
      <c r="B642" s="17">
        <v>2569</v>
      </c>
      <c r="C642" s="17">
        <v>2572</v>
      </c>
      <c r="D642" s="17">
        <v>4</v>
      </c>
      <c r="E642" s="17" t="s">
        <v>31</v>
      </c>
      <c r="F642" s="17" t="s">
        <v>33</v>
      </c>
      <c r="G642" s="18">
        <v>1332.19242431673</v>
      </c>
      <c r="H642" s="17" t="s">
        <v>902</v>
      </c>
    </row>
    <row r="643" spans="1:8" x14ac:dyDescent="0.3">
      <c r="A643" s="17" t="s">
        <v>675</v>
      </c>
      <c r="B643" s="17">
        <v>2573</v>
      </c>
      <c r="C643" s="17">
        <v>2576</v>
      </c>
      <c r="D643" s="17">
        <v>4</v>
      </c>
      <c r="E643" s="17" t="s">
        <v>31</v>
      </c>
      <c r="F643" s="17" t="s">
        <v>33</v>
      </c>
      <c r="G643" s="18">
        <v>1308.18119092744</v>
      </c>
      <c r="H643" s="17" t="s">
        <v>903</v>
      </c>
    </row>
    <row r="644" spans="1:8" x14ac:dyDescent="0.3">
      <c r="A644" s="17" t="s">
        <v>27</v>
      </c>
      <c r="B644" s="17">
        <v>2577</v>
      </c>
      <c r="C644" s="17">
        <v>2577</v>
      </c>
      <c r="D644" s="17">
        <v>1</v>
      </c>
      <c r="E644" s="17" t="s">
        <v>31</v>
      </c>
      <c r="F644" s="17" t="s">
        <v>33</v>
      </c>
      <c r="G644" s="18">
        <v>363.05799942632001</v>
      </c>
      <c r="H644" s="17" t="s">
        <v>904</v>
      </c>
    </row>
    <row r="645" spans="1:8" x14ac:dyDescent="0.3">
      <c r="A645" s="17" t="s">
        <v>27</v>
      </c>
      <c r="B645" s="17">
        <v>2578</v>
      </c>
      <c r="C645" s="17">
        <v>2578</v>
      </c>
      <c r="D645" s="17">
        <v>1</v>
      </c>
      <c r="E645" s="17" t="s">
        <v>31</v>
      </c>
      <c r="F645" s="17" t="s">
        <v>33</v>
      </c>
      <c r="G645" s="18">
        <v>363.05799942632001</v>
      </c>
      <c r="H645" s="17" t="s">
        <v>905</v>
      </c>
    </row>
    <row r="646" spans="1:8" x14ac:dyDescent="0.3">
      <c r="A646" s="17" t="s">
        <v>132</v>
      </c>
      <c r="B646" s="17">
        <v>2579</v>
      </c>
      <c r="C646" s="17">
        <v>2580</v>
      </c>
      <c r="D646" s="17">
        <v>2</v>
      </c>
      <c r="E646" s="17" t="s">
        <v>31</v>
      </c>
      <c r="F646" s="17" t="s">
        <v>33</v>
      </c>
      <c r="G646" s="18">
        <v>668.09928616178001</v>
      </c>
      <c r="H646" s="17" t="s">
        <v>906</v>
      </c>
    </row>
    <row r="647" spans="1:8" x14ac:dyDescent="0.3">
      <c r="A647" s="17" t="s">
        <v>907</v>
      </c>
      <c r="B647" s="17">
        <v>2581</v>
      </c>
      <c r="C647" s="17">
        <v>2586</v>
      </c>
      <c r="D647" s="17">
        <v>6</v>
      </c>
      <c r="E647" s="17" t="s">
        <v>31</v>
      </c>
      <c r="F647" s="17" t="s">
        <v>33</v>
      </c>
      <c r="G647" s="18">
        <v>1966.28623117694</v>
      </c>
      <c r="H647" s="17" t="s">
        <v>908</v>
      </c>
    </row>
    <row r="648" spans="1:8" x14ac:dyDescent="0.3">
      <c r="A648" s="17" t="s">
        <v>364</v>
      </c>
      <c r="B648" s="17">
        <v>2587</v>
      </c>
      <c r="C648" s="17">
        <v>2589</v>
      </c>
      <c r="D648" s="17">
        <v>3</v>
      </c>
      <c r="E648" s="17" t="s">
        <v>31</v>
      </c>
      <c r="F648" s="17" t="s">
        <v>33</v>
      </c>
      <c r="G648" s="18">
        <v>973.14057289723996</v>
      </c>
      <c r="H648" s="17" t="s">
        <v>909</v>
      </c>
    </row>
    <row r="649" spans="1:8" x14ac:dyDescent="0.3">
      <c r="A649" s="17" t="s">
        <v>114</v>
      </c>
      <c r="B649" s="17">
        <v>2590</v>
      </c>
      <c r="C649" s="17">
        <v>2593</v>
      </c>
      <c r="D649" s="17">
        <v>4</v>
      </c>
      <c r="E649" s="17" t="s">
        <v>31</v>
      </c>
      <c r="F649" s="17" t="s">
        <v>33</v>
      </c>
      <c r="G649" s="18">
        <v>1302.1930930219901</v>
      </c>
      <c r="H649" s="17" t="s">
        <v>910</v>
      </c>
    </row>
    <row r="650" spans="1:8" x14ac:dyDescent="0.3">
      <c r="A650" s="17" t="s">
        <v>27</v>
      </c>
      <c r="B650" s="17">
        <v>2594</v>
      </c>
      <c r="C650" s="17">
        <v>2594</v>
      </c>
      <c r="D650" s="17">
        <v>1</v>
      </c>
      <c r="E650" s="17" t="s">
        <v>31</v>
      </c>
      <c r="F650" s="17" t="s">
        <v>33</v>
      </c>
      <c r="G650" s="18">
        <v>363.05799942632001</v>
      </c>
      <c r="H650" s="17" t="s">
        <v>911</v>
      </c>
    </row>
    <row r="651" spans="1:8" x14ac:dyDescent="0.3">
      <c r="A651" s="17" t="s">
        <v>27</v>
      </c>
      <c r="B651" s="17">
        <v>2595</v>
      </c>
      <c r="C651" s="17">
        <v>2595</v>
      </c>
      <c r="D651" s="17">
        <v>1</v>
      </c>
      <c r="E651" s="17" t="s">
        <v>31</v>
      </c>
      <c r="F651" s="17" t="s">
        <v>33</v>
      </c>
      <c r="G651" s="18">
        <v>363.05799942632001</v>
      </c>
      <c r="H651" s="17" t="s">
        <v>912</v>
      </c>
    </row>
    <row r="652" spans="1:8" x14ac:dyDescent="0.3">
      <c r="A652" s="17" t="s">
        <v>313</v>
      </c>
      <c r="B652" s="17">
        <v>2596</v>
      </c>
      <c r="C652" s="17">
        <v>2600</v>
      </c>
      <c r="D652" s="17">
        <v>5</v>
      </c>
      <c r="E652" s="17" t="s">
        <v>31</v>
      </c>
      <c r="F652" s="17" t="s">
        <v>33</v>
      </c>
      <c r="G652" s="18">
        <v>1637.2337110521898</v>
      </c>
      <c r="H652" s="17" t="s">
        <v>913</v>
      </c>
    </row>
    <row r="653" spans="1:8" x14ac:dyDescent="0.3">
      <c r="A653" s="17" t="s">
        <v>914</v>
      </c>
      <c r="B653" s="17">
        <v>2601</v>
      </c>
      <c r="C653" s="17">
        <v>2605</v>
      </c>
      <c r="D653" s="17">
        <v>5</v>
      </c>
      <c r="E653" s="17" t="s">
        <v>31</v>
      </c>
      <c r="F653" s="17" t="s">
        <v>33</v>
      </c>
      <c r="G653" s="18">
        <v>1652.2333766995598</v>
      </c>
      <c r="H653" s="17" t="s">
        <v>915</v>
      </c>
    </row>
    <row r="654" spans="1:8" x14ac:dyDescent="0.3">
      <c r="A654" s="17" t="s">
        <v>132</v>
      </c>
      <c r="B654" s="17">
        <v>2606</v>
      </c>
      <c r="C654" s="17">
        <v>2607</v>
      </c>
      <c r="D654" s="17">
        <v>2</v>
      </c>
      <c r="E654" s="17" t="s">
        <v>31</v>
      </c>
      <c r="F654" s="17" t="s">
        <v>33</v>
      </c>
      <c r="G654" s="18">
        <v>668.09928616178001</v>
      </c>
      <c r="H654" s="17" t="s">
        <v>916</v>
      </c>
    </row>
    <row r="655" spans="1:8" x14ac:dyDescent="0.3">
      <c r="A655" s="17" t="s">
        <v>874</v>
      </c>
      <c r="B655" s="17">
        <v>2608</v>
      </c>
      <c r="C655" s="17">
        <v>2612</v>
      </c>
      <c r="D655" s="17">
        <v>5</v>
      </c>
      <c r="E655" s="17" t="s">
        <v>31</v>
      </c>
      <c r="F655" s="17" t="s">
        <v>33</v>
      </c>
      <c r="G655" s="18">
        <v>1607.2343797574499</v>
      </c>
      <c r="H655" s="17" t="s">
        <v>917</v>
      </c>
    </row>
    <row r="656" spans="1:8" x14ac:dyDescent="0.3">
      <c r="A656" s="17" t="s">
        <v>193</v>
      </c>
      <c r="B656" s="17">
        <v>2613</v>
      </c>
      <c r="C656" s="17">
        <v>2615</v>
      </c>
      <c r="D656" s="17">
        <v>3</v>
      </c>
      <c r="E656" s="17" t="s">
        <v>31</v>
      </c>
      <c r="F656" s="17" t="s">
        <v>33</v>
      </c>
      <c r="G656" s="18">
        <v>1021.1630396758201</v>
      </c>
      <c r="H656" s="17" t="s">
        <v>918</v>
      </c>
    </row>
    <row r="657" spans="1:8" x14ac:dyDescent="0.3">
      <c r="A657" s="17" t="s">
        <v>919</v>
      </c>
      <c r="B657" s="17">
        <v>2616</v>
      </c>
      <c r="C657" s="17">
        <v>2622</v>
      </c>
      <c r="D657" s="17">
        <v>7</v>
      </c>
      <c r="E657" s="17" t="s">
        <v>31</v>
      </c>
      <c r="F657" s="17" t="s">
        <v>33</v>
      </c>
      <c r="G657" s="18">
        <v>2286.3271835597698</v>
      </c>
      <c r="H657" s="17" t="s">
        <v>920</v>
      </c>
    </row>
    <row r="658" spans="1:8" x14ac:dyDescent="0.3">
      <c r="A658" s="17" t="s">
        <v>27</v>
      </c>
      <c r="B658" s="17">
        <v>2623</v>
      </c>
      <c r="C658" s="17">
        <v>2623</v>
      </c>
      <c r="D658" s="17">
        <v>1</v>
      </c>
      <c r="E658" s="17" t="s">
        <v>31</v>
      </c>
      <c r="F658" s="17" t="s">
        <v>33</v>
      </c>
      <c r="G658" s="18">
        <v>363.05799942632001</v>
      </c>
      <c r="H658" s="17" t="s">
        <v>921</v>
      </c>
    </row>
    <row r="659" spans="1:8" x14ac:dyDescent="0.3">
      <c r="A659" s="17" t="s">
        <v>806</v>
      </c>
      <c r="B659" s="17">
        <v>2624</v>
      </c>
      <c r="C659" s="17">
        <v>2627</v>
      </c>
      <c r="D659" s="17">
        <v>4</v>
      </c>
      <c r="E659" s="17" t="s">
        <v>31</v>
      </c>
      <c r="F659" s="17" t="s">
        <v>33</v>
      </c>
      <c r="G659" s="18">
        <v>1317.19275866936</v>
      </c>
      <c r="H659" s="17" t="s">
        <v>922</v>
      </c>
    </row>
    <row r="660" spans="1:8" x14ac:dyDescent="0.3">
      <c r="A660" s="17" t="s">
        <v>207</v>
      </c>
      <c r="B660" s="17">
        <v>2628</v>
      </c>
      <c r="C660" s="17">
        <v>2631</v>
      </c>
      <c r="D660" s="17">
        <v>4</v>
      </c>
      <c r="E660" s="17" t="s">
        <v>31</v>
      </c>
      <c r="F660" s="17" t="s">
        <v>33</v>
      </c>
      <c r="G660" s="18">
        <v>1326.2043264112801</v>
      </c>
      <c r="H660" s="17" t="s">
        <v>923</v>
      </c>
    </row>
    <row r="661" spans="1:8" x14ac:dyDescent="0.3">
      <c r="A661" s="17" t="s">
        <v>99</v>
      </c>
      <c r="B661" s="17">
        <v>2632</v>
      </c>
      <c r="C661" s="17">
        <v>2633</v>
      </c>
      <c r="D661" s="17">
        <v>2</v>
      </c>
      <c r="E661" s="17" t="s">
        <v>31</v>
      </c>
      <c r="F661" s="17" t="s">
        <v>33</v>
      </c>
      <c r="G661" s="18">
        <v>683.09895180914998</v>
      </c>
      <c r="H661" s="17" t="s">
        <v>924</v>
      </c>
    </row>
    <row r="662" spans="1:8" x14ac:dyDescent="0.3">
      <c r="A662" s="17" t="s">
        <v>105</v>
      </c>
      <c r="B662" s="17">
        <v>2634</v>
      </c>
      <c r="C662" s="17">
        <v>2636</v>
      </c>
      <c r="D662" s="17">
        <v>3</v>
      </c>
      <c r="E662" s="17" t="s">
        <v>31</v>
      </c>
      <c r="F662" s="17" t="s">
        <v>33</v>
      </c>
      <c r="G662" s="18">
        <v>988.14023854460993</v>
      </c>
      <c r="H662" s="17" t="s">
        <v>925</v>
      </c>
    </row>
    <row r="663" spans="1:8" x14ac:dyDescent="0.3">
      <c r="A663" s="17" t="s">
        <v>926</v>
      </c>
      <c r="B663" s="17">
        <v>2637</v>
      </c>
      <c r="C663" s="17">
        <v>2645</v>
      </c>
      <c r="D663" s="17">
        <v>9</v>
      </c>
      <c r="E663" s="17" t="s">
        <v>31</v>
      </c>
      <c r="F663" s="17" t="s">
        <v>33</v>
      </c>
      <c r="G663" s="18">
        <v>2848.3872902521098</v>
      </c>
      <c r="H663" s="17" t="s">
        <v>927</v>
      </c>
    </row>
    <row r="664" spans="1:8" x14ac:dyDescent="0.3">
      <c r="A664" s="17" t="s">
        <v>105</v>
      </c>
      <c r="B664" s="17">
        <v>2646</v>
      </c>
      <c r="C664" s="17">
        <v>2648</v>
      </c>
      <c r="D664" s="17">
        <v>3</v>
      </c>
      <c r="E664" s="17" t="s">
        <v>31</v>
      </c>
      <c r="F664" s="17" t="s">
        <v>33</v>
      </c>
      <c r="G664" s="18">
        <v>988.14023854460993</v>
      </c>
      <c r="H664" s="17" t="s">
        <v>928</v>
      </c>
    </row>
    <row r="665" spans="1:8" x14ac:dyDescent="0.3">
      <c r="A665" s="17" t="s">
        <v>626</v>
      </c>
      <c r="B665" s="17">
        <v>2649</v>
      </c>
      <c r="C665" s="17">
        <v>2652</v>
      </c>
      <c r="D665" s="17">
        <v>4</v>
      </c>
      <c r="E665" s="17" t="s">
        <v>31</v>
      </c>
      <c r="F665" s="17" t="s">
        <v>33</v>
      </c>
      <c r="G665" s="18">
        <v>1302.1930930219901</v>
      </c>
      <c r="H665" s="17" t="s">
        <v>929</v>
      </c>
    </row>
    <row r="666" spans="1:8" x14ac:dyDescent="0.3">
      <c r="A666" s="17" t="s">
        <v>249</v>
      </c>
      <c r="B666" s="17">
        <v>2653</v>
      </c>
      <c r="C666" s="17">
        <v>2655</v>
      </c>
      <c r="D666" s="17">
        <v>3</v>
      </c>
      <c r="E666" s="17" t="s">
        <v>31</v>
      </c>
      <c r="F666" s="17" t="s">
        <v>33</v>
      </c>
      <c r="G666" s="18">
        <v>1012.1514719339</v>
      </c>
      <c r="H666" s="17" t="s">
        <v>930</v>
      </c>
    </row>
    <row r="667" spans="1:8" x14ac:dyDescent="0.3">
      <c r="A667" s="17" t="s">
        <v>81</v>
      </c>
      <c r="B667" s="17">
        <v>2656</v>
      </c>
      <c r="C667" s="17">
        <v>2657</v>
      </c>
      <c r="D667" s="17">
        <v>2</v>
      </c>
      <c r="E667" s="17" t="s">
        <v>31</v>
      </c>
      <c r="F667" s="17" t="s">
        <v>33</v>
      </c>
      <c r="G667" s="18">
        <v>692.11051955106996</v>
      </c>
      <c r="H667" s="17" t="s">
        <v>931</v>
      </c>
    </row>
    <row r="668" spans="1:8" x14ac:dyDescent="0.3">
      <c r="A668" s="17" t="s">
        <v>249</v>
      </c>
      <c r="B668" s="17">
        <v>2658</v>
      </c>
      <c r="C668" s="17">
        <v>2660</v>
      </c>
      <c r="D668" s="17">
        <v>3</v>
      </c>
      <c r="E668" s="17" t="s">
        <v>31</v>
      </c>
      <c r="F668" s="17" t="s">
        <v>33</v>
      </c>
      <c r="G668" s="18">
        <v>1012.1514719339</v>
      </c>
      <c r="H668" s="17" t="s">
        <v>932</v>
      </c>
    </row>
    <row r="669" spans="1:8" x14ac:dyDescent="0.3">
      <c r="A669" s="17" t="s">
        <v>217</v>
      </c>
      <c r="B669" s="17">
        <v>2661</v>
      </c>
      <c r="C669" s="17">
        <v>2664</v>
      </c>
      <c r="D669" s="17">
        <v>4</v>
      </c>
      <c r="E669" s="17" t="s">
        <v>31</v>
      </c>
      <c r="F669" s="17" t="s">
        <v>33</v>
      </c>
      <c r="G669" s="18">
        <v>1317.19275866936</v>
      </c>
      <c r="H669" s="17" t="s">
        <v>933</v>
      </c>
    </row>
    <row r="670" spans="1:8" x14ac:dyDescent="0.3">
      <c r="A670" s="17" t="s">
        <v>874</v>
      </c>
      <c r="B670" s="17">
        <v>2665</v>
      </c>
      <c r="C670" s="17">
        <v>2669</v>
      </c>
      <c r="D670" s="17">
        <v>5</v>
      </c>
      <c r="E670" s="17" t="s">
        <v>31</v>
      </c>
      <c r="F670" s="17" t="s">
        <v>33</v>
      </c>
      <c r="G670" s="18">
        <v>1607.2343797574499</v>
      </c>
      <c r="H670" s="17" t="s">
        <v>934</v>
      </c>
    </row>
    <row r="671" spans="1:8" x14ac:dyDescent="0.3">
      <c r="A671" s="17" t="s">
        <v>935</v>
      </c>
      <c r="B671" s="17">
        <v>2670</v>
      </c>
      <c r="C671" s="17">
        <v>2679</v>
      </c>
      <c r="D671" s="17">
        <v>10</v>
      </c>
      <c r="E671" s="17" t="s">
        <v>31</v>
      </c>
      <c r="F671" s="17" t="s">
        <v>33</v>
      </c>
      <c r="G671" s="18">
        <v>3225.4622771554396</v>
      </c>
      <c r="H671" s="17" t="s">
        <v>936</v>
      </c>
    </row>
    <row r="672" spans="1:8" x14ac:dyDescent="0.3">
      <c r="A672" s="17" t="s">
        <v>342</v>
      </c>
      <c r="B672" s="17">
        <v>2680</v>
      </c>
      <c r="C672" s="17">
        <v>2684</v>
      </c>
      <c r="D672" s="17">
        <v>5</v>
      </c>
      <c r="E672" s="17" t="s">
        <v>31</v>
      </c>
      <c r="F672" s="17" t="s">
        <v>33</v>
      </c>
      <c r="G672" s="18">
        <v>1598.2228120155301</v>
      </c>
      <c r="H672" s="17" t="s">
        <v>937</v>
      </c>
    </row>
    <row r="673" spans="1:8" x14ac:dyDescent="0.3">
      <c r="A673" s="17" t="s">
        <v>105</v>
      </c>
      <c r="B673" s="17">
        <v>2685</v>
      </c>
      <c r="C673" s="17">
        <v>2687</v>
      </c>
      <c r="D673" s="17">
        <v>3</v>
      </c>
      <c r="E673" s="17" t="s">
        <v>31</v>
      </c>
      <c r="F673" s="17" t="s">
        <v>33</v>
      </c>
      <c r="G673" s="18">
        <v>988.14023854460993</v>
      </c>
      <c r="H673" s="17" t="s">
        <v>938</v>
      </c>
    </row>
    <row r="674" spans="1:8" x14ac:dyDescent="0.3">
      <c r="A674" s="17" t="s">
        <v>27</v>
      </c>
      <c r="B674" s="17">
        <v>2688</v>
      </c>
      <c r="C674" s="17">
        <v>2688</v>
      </c>
      <c r="D674" s="17">
        <v>1</v>
      </c>
      <c r="E674" s="17" t="s">
        <v>31</v>
      </c>
      <c r="F674" s="17" t="s">
        <v>33</v>
      </c>
      <c r="G674" s="18">
        <v>363.05799942632001</v>
      </c>
      <c r="H674" s="17" t="s">
        <v>939</v>
      </c>
    </row>
    <row r="675" spans="1:8" x14ac:dyDescent="0.3">
      <c r="A675" s="17" t="s">
        <v>364</v>
      </c>
      <c r="B675" s="17">
        <v>2689</v>
      </c>
      <c r="C675" s="17">
        <v>2691</v>
      </c>
      <c r="D675" s="17">
        <v>3</v>
      </c>
      <c r="E675" s="17" t="s">
        <v>31</v>
      </c>
      <c r="F675" s="17" t="s">
        <v>33</v>
      </c>
      <c r="G675" s="18">
        <v>973.14057289723996</v>
      </c>
      <c r="H675" s="17" t="s">
        <v>940</v>
      </c>
    </row>
    <row r="676" spans="1:8" x14ac:dyDescent="0.3">
      <c r="A676" s="17" t="s">
        <v>27</v>
      </c>
      <c r="B676" s="17">
        <v>2692</v>
      </c>
      <c r="C676" s="17">
        <v>2692</v>
      </c>
      <c r="D676" s="17">
        <v>1</v>
      </c>
      <c r="E676" s="17" t="s">
        <v>31</v>
      </c>
      <c r="F676" s="17" t="s">
        <v>33</v>
      </c>
      <c r="G676" s="18">
        <v>363.05799942632001</v>
      </c>
      <c r="H676" s="17" t="s">
        <v>941</v>
      </c>
    </row>
    <row r="677" spans="1:8" x14ac:dyDescent="0.3">
      <c r="A677" s="17" t="s">
        <v>942</v>
      </c>
      <c r="B677" s="17">
        <v>2693</v>
      </c>
      <c r="C677" s="17">
        <v>2704</v>
      </c>
      <c r="D677" s="17">
        <v>12</v>
      </c>
      <c r="E677" s="17" t="s">
        <v>31</v>
      </c>
      <c r="F677" s="17" t="s">
        <v>33</v>
      </c>
      <c r="G677" s="18">
        <v>3877.5792194994897</v>
      </c>
      <c r="H677" s="17" t="s">
        <v>943</v>
      </c>
    </row>
    <row r="678" spans="1:8" x14ac:dyDescent="0.3">
      <c r="A678" s="17" t="s">
        <v>132</v>
      </c>
      <c r="B678" s="17">
        <v>2705</v>
      </c>
      <c r="C678" s="17">
        <v>2706</v>
      </c>
      <c r="D678" s="17">
        <v>2</v>
      </c>
      <c r="E678" s="17" t="s">
        <v>31</v>
      </c>
      <c r="F678" s="17" t="s">
        <v>33</v>
      </c>
      <c r="G678" s="18">
        <v>668.09928616178001</v>
      </c>
      <c r="H678" s="17" t="s">
        <v>944</v>
      </c>
    </row>
    <row r="679" spans="1:8" x14ac:dyDescent="0.3">
      <c r="A679" s="17" t="s">
        <v>27</v>
      </c>
      <c r="B679" s="17">
        <v>2707</v>
      </c>
      <c r="C679" s="17">
        <v>2707</v>
      </c>
      <c r="D679" s="17">
        <v>1</v>
      </c>
      <c r="E679" s="17" t="s">
        <v>31</v>
      </c>
      <c r="F679" s="17" t="s">
        <v>33</v>
      </c>
      <c r="G679" s="18">
        <v>363.05799942632001</v>
      </c>
      <c r="H679" s="17" t="s">
        <v>945</v>
      </c>
    </row>
    <row r="680" spans="1:8" x14ac:dyDescent="0.3">
      <c r="A680" s="17" t="s">
        <v>105</v>
      </c>
      <c r="B680" s="17">
        <v>2708</v>
      </c>
      <c r="C680" s="17">
        <v>2710</v>
      </c>
      <c r="D680" s="17">
        <v>3</v>
      </c>
      <c r="E680" s="17" t="s">
        <v>31</v>
      </c>
      <c r="F680" s="17" t="s">
        <v>33</v>
      </c>
      <c r="G680" s="18">
        <v>988.14023854460993</v>
      </c>
      <c r="H680" s="17" t="s">
        <v>946</v>
      </c>
    </row>
    <row r="681" spans="1:8" x14ac:dyDescent="0.3">
      <c r="A681" s="17" t="s">
        <v>27</v>
      </c>
      <c r="B681" s="17">
        <v>2711</v>
      </c>
      <c r="C681" s="17">
        <v>2711</v>
      </c>
      <c r="D681" s="17">
        <v>1</v>
      </c>
      <c r="E681" s="17" t="s">
        <v>31</v>
      </c>
      <c r="F681" s="17" t="s">
        <v>33</v>
      </c>
      <c r="G681" s="18">
        <v>363.05799942632001</v>
      </c>
      <c r="H681" s="17" t="s">
        <v>947</v>
      </c>
    </row>
    <row r="682" spans="1:8" x14ac:dyDescent="0.3">
      <c r="A682" s="17" t="s">
        <v>948</v>
      </c>
      <c r="B682" s="17">
        <v>2712</v>
      </c>
      <c r="C682" s="17">
        <v>2718</v>
      </c>
      <c r="D682" s="17">
        <v>7</v>
      </c>
      <c r="E682" s="17" t="s">
        <v>31</v>
      </c>
      <c r="F682" s="17" t="s">
        <v>33</v>
      </c>
      <c r="G682" s="18">
        <v>2286.3271835597698</v>
      </c>
      <c r="H682" s="17" t="s">
        <v>949</v>
      </c>
    </row>
    <row r="683" spans="1:8" x14ac:dyDescent="0.3">
      <c r="A683" s="17" t="s">
        <v>27</v>
      </c>
      <c r="B683" s="17">
        <v>2719</v>
      </c>
      <c r="C683" s="17">
        <v>2719</v>
      </c>
      <c r="D683" s="17">
        <v>1</v>
      </c>
      <c r="E683" s="17" t="s">
        <v>31</v>
      </c>
      <c r="F683" s="17" t="s">
        <v>33</v>
      </c>
      <c r="G683" s="18">
        <v>363.05799942632001</v>
      </c>
      <c r="H683" s="17" t="s">
        <v>950</v>
      </c>
    </row>
    <row r="684" spans="1:8" x14ac:dyDescent="0.3">
      <c r="A684" s="17" t="s">
        <v>81</v>
      </c>
      <c r="B684" s="17">
        <v>2720</v>
      </c>
      <c r="C684" s="17">
        <v>2721</v>
      </c>
      <c r="D684" s="17">
        <v>2</v>
      </c>
      <c r="E684" s="17" t="s">
        <v>31</v>
      </c>
      <c r="F684" s="17" t="s">
        <v>33</v>
      </c>
      <c r="G684" s="18">
        <v>692.11051955106996</v>
      </c>
      <c r="H684" s="17" t="s">
        <v>951</v>
      </c>
    </row>
    <row r="685" spans="1:8" x14ac:dyDescent="0.3">
      <c r="A685" s="17" t="s">
        <v>263</v>
      </c>
      <c r="B685" s="17">
        <v>2722</v>
      </c>
      <c r="C685" s="17">
        <v>2724</v>
      </c>
      <c r="D685" s="17">
        <v>3</v>
      </c>
      <c r="E685" s="17" t="s">
        <v>31</v>
      </c>
      <c r="F685" s="17" t="s">
        <v>33</v>
      </c>
      <c r="G685" s="18">
        <v>997.15180628653002</v>
      </c>
      <c r="H685" s="17" t="s">
        <v>952</v>
      </c>
    </row>
    <row r="686" spans="1:8" x14ac:dyDescent="0.3">
      <c r="A686" s="17" t="s">
        <v>27</v>
      </c>
      <c r="B686" s="17">
        <v>2725</v>
      </c>
      <c r="C686" s="17">
        <v>2725</v>
      </c>
      <c r="D686" s="17">
        <v>1</v>
      </c>
      <c r="E686" s="17" t="s">
        <v>31</v>
      </c>
      <c r="F686" s="17" t="s">
        <v>33</v>
      </c>
      <c r="G686" s="18">
        <v>363.05799942632001</v>
      </c>
      <c r="H686" s="17" t="s">
        <v>953</v>
      </c>
    </row>
    <row r="687" spans="1:8" x14ac:dyDescent="0.3">
      <c r="A687" s="17" t="s">
        <v>132</v>
      </c>
      <c r="B687" s="17">
        <v>2726</v>
      </c>
      <c r="C687" s="17">
        <v>2727</v>
      </c>
      <c r="D687" s="17">
        <v>2</v>
      </c>
      <c r="E687" s="17" t="s">
        <v>31</v>
      </c>
      <c r="F687" s="17" t="s">
        <v>33</v>
      </c>
      <c r="G687" s="18">
        <v>668.09928616178001</v>
      </c>
      <c r="H687" s="17" t="s">
        <v>954</v>
      </c>
    </row>
    <row r="688" spans="1:8" x14ac:dyDescent="0.3">
      <c r="A688" s="17" t="s">
        <v>364</v>
      </c>
      <c r="B688" s="17">
        <v>2728</v>
      </c>
      <c r="C688" s="17">
        <v>2730</v>
      </c>
      <c r="D688" s="17">
        <v>3</v>
      </c>
      <c r="E688" s="17" t="s">
        <v>31</v>
      </c>
      <c r="F688" s="17" t="s">
        <v>33</v>
      </c>
      <c r="G688" s="18">
        <v>973.14057289723996</v>
      </c>
      <c r="H688" s="17" t="s">
        <v>955</v>
      </c>
    </row>
    <row r="689" spans="1:8" x14ac:dyDescent="0.3">
      <c r="A689" s="17" t="s">
        <v>321</v>
      </c>
      <c r="B689" s="17">
        <v>2731</v>
      </c>
      <c r="C689" s="17">
        <v>2735</v>
      </c>
      <c r="D689" s="17">
        <v>5</v>
      </c>
      <c r="E689" s="17" t="s">
        <v>31</v>
      </c>
      <c r="F689" s="17" t="s">
        <v>33</v>
      </c>
      <c r="G689" s="18">
        <v>1613.2224776629</v>
      </c>
      <c r="H689" s="17" t="s">
        <v>956</v>
      </c>
    </row>
    <row r="690" spans="1:8" x14ac:dyDescent="0.3">
      <c r="A690" s="17" t="s">
        <v>263</v>
      </c>
      <c r="B690" s="17">
        <v>2736</v>
      </c>
      <c r="C690" s="17">
        <v>2738</v>
      </c>
      <c r="D690" s="17">
        <v>3</v>
      </c>
      <c r="E690" s="17" t="s">
        <v>31</v>
      </c>
      <c r="F690" s="17" t="s">
        <v>33</v>
      </c>
      <c r="G690" s="18">
        <v>997.15180628653002</v>
      </c>
      <c r="H690" s="17" t="s">
        <v>957</v>
      </c>
    </row>
    <row r="691" spans="1:8" x14ac:dyDescent="0.3">
      <c r="A691" s="17" t="s">
        <v>958</v>
      </c>
      <c r="B691" s="17">
        <v>2739</v>
      </c>
      <c r="C691" s="17">
        <v>2748</v>
      </c>
      <c r="D691" s="17">
        <v>10</v>
      </c>
      <c r="E691" s="17" t="s">
        <v>31</v>
      </c>
      <c r="F691" s="17" t="s">
        <v>33</v>
      </c>
      <c r="G691" s="18">
        <v>3192.4394760242299</v>
      </c>
      <c r="H691" s="17" t="s">
        <v>959</v>
      </c>
    </row>
    <row r="692" spans="1:8" x14ac:dyDescent="0.3">
      <c r="A692" s="17" t="s">
        <v>960</v>
      </c>
      <c r="B692" s="17">
        <v>2749</v>
      </c>
      <c r="C692" s="17">
        <v>2753</v>
      </c>
      <c r="D692" s="17">
        <v>5</v>
      </c>
      <c r="E692" s="17" t="s">
        <v>31</v>
      </c>
      <c r="F692" s="17" t="s">
        <v>33</v>
      </c>
      <c r="G692" s="18">
        <v>1637.2337110521898</v>
      </c>
      <c r="H692" s="17" t="s">
        <v>961</v>
      </c>
    </row>
    <row r="693" spans="1:8" x14ac:dyDescent="0.3">
      <c r="A693" s="17" t="s">
        <v>263</v>
      </c>
      <c r="B693" s="17">
        <v>2754</v>
      </c>
      <c r="C693" s="17">
        <v>2756</v>
      </c>
      <c r="D693" s="17">
        <v>3</v>
      </c>
      <c r="E693" s="17" t="s">
        <v>31</v>
      </c>
      <c r="F693" s="17" t="s">
        <v>33</v>
      </c>
      <c r="G693" s="18">
        <v>997.15180628653002</v>
      </c>
      <c r="H693" s="17" t="s">
        <v>962</v>
      </c>
    </row>
    <row r="694" spans="1:8" x14ac:dyDescent="0.3">
      <c r="A694" s="17" t="s">
        <v>249</v>
      </c>
      <c r="B694" s="17">
        <v>2757</v>
      </c>
      <c r="C694" s="17">
        <v>2759</v>
      </c>
      <c r="D694" s="17">
        <v>3</v>
      </c>
      <c r="E694" s="17" t="s">
        <v>31</v>
      </c>
      <c r="F694" s="17" t="s">
        <v>33</v>
      </c>
      <c r="G694" s="18">
        <v>1012.1514719339</v>
      </c>
      <c r="H694" s="17" t="s">
        <v>963</v>
      </c>
    </row>
    <row r="695" spans="1:8" x14ac:dyDescent="0.3">
      <c r="A695" s="17" t="s">
        <v>27</v>
      </c>
      <c r="B695" s="17">
        <v>2760</v>
      </c>
      <c r="C695" s="17">
        <v>2760</v>
      </c>
      <c r="D695" s="17">
        <v>1</v>
      </c>
      <c r="E695" s="17" t="s">
        <v>31</v>
      </c>
      <c r="F695" s="17" t="s">
        <v>33</v>
      </c>
      <c r="G695" s="18">
        <v>363.05799942632001</v>
      </c>
      <c r="H695" s="17" t="s">
        <v>964</v>
      </c>
    </row>
    <row r="696" spans="1:8" x14ac:dyDescent="0.3">
      <c r="A696" s="17" t="s">
        <v>965</v>
      </c>
      <c r="B696" s="17">
        <v>2761</v>
      </c>
      <c r="C696" s="17">
        <v>2767</v>
      </c>
      <c r="D696" s="17">
        <v>7</v>
      </c>
      <c r="E696" s="17" t="s">
        <v>31</v>
      </c>
      <c r="F696" s="17" t="s">
        <v>33</v>
      </c>
      <c r="G696" s="18">
        <v>2232.31661887574</v>
      </c>
      <c r="H696" s="17" t="s">
        <v>966</v>
      </c>
    </row>
    <row r="697" spans="1:8" x14ac:dyDescent="0.3">
      <c r="A697" s="17" t="s">
        <v>27</v>
      </c>
      <c r="B697" s="17">
        <v>2768</v>
      </c>
      <c r="C697" s="17">
        <v>2768</v>
      </c>
      <c r="D697" s="17">
        <v>1</v>
      </c>
      <c r="E697" s="17" t="s">
        <v>31</v>
      </c>
      <c r="F697" s="17" t="s">
        <v>33</v>
      </c>
      <c r="G697" s="18">
        <v>363.05799942632001</v>
      </c>
      <c r="H697" s="17" t="s">
        <v>967</v>
      </c>
    </row>
    <row r="698" spans="1:8" x14ac:dyDescent="0.3">
      <c r="A698" s="17" t="s">
        <v>968</v>
      </c>
      <c r="B698" s="17">
        <v>2769</v>
      </c>
      <c r="C698" s="17">
        <v>2775</v>
      </c>
      <c r="D698" s="17">
        <v>7</v>
      </c>
      <c r="E698" s="17" t="s">
        <v>31</v>
      </c>
      <c r="F698" s="17" t="s">
        <v>33</v>
      </c>
      <c r="G698" s="18">
        <v>2271.3275179124003</v>
      </c>
      <c r="H698" s="17" t="s">
        <v>969</v>
      </c>
    </row>
    <row r="699" spans="1:8" x14ac:dyDescent="0.3">
      <c r="A699" s="17" t="s">
        <v>27</v>
      </c>
      <c r="B699" s="17">
        <v>2776</v>
      </c>
      <c r="C699" s="17">
        <v>2776</v>
      </c>
      <c r="D699" s="17">
        <v>1</v>
      </c>
      <c r="E699" s="17" t="s">
        <v>31</v>
      </c>
      <c r="F699" s="17" t="s">
        <v>33</v>
      </c>
      <c r="G699" s="18">
        <v>363.05799942632001</v>
      </c>
      <c r="H699" s="17" t="s">
        <v>970</v>
      </c>
    </row>
    <row r="700" spans="1:8" x14ac:dyDescent="0.3">
      <c r="A700" s="17" t="s">
        <v>971</v>
      </c>
      <c r="B700" s="17">
        <v>2777</v>
      </c>
      <c r="C700" s="17">
        <v>2781</v>
      </c>
      <c r="D700" s="17">
        <v>5</v>
      </c>
      <c r="E700" s="17" t="s">
        <v>31</v>
      </c>
      <c r="F700" s="17" t="s">
        <v>33</v>
      </c>
      <c r="G700" s="18">
        <v>1622.2340454048201</v>
      </c>
      <c r="H700" s="17" t="s">
        <v>972</v>
      </c>
    </row>
    <row r="701" spans="1:8" x14ac:dyDescent="0.3">
      <c r="A701" s="17" t="s">
        <v>27</v>
      </c>
      <c r="B701" s="17">
        <v>2782</v>
      </c>
      <c r="C701" s="17">
        <v>2782</v>
      </c>
      <c r="D701" s="17">
        <v>1</v>
      </c>
      <c r="E701" s="17" t="s">
        <v>31</v>
      </c>
      <c r="F701" s="17" t="s">
        <v>33</v>
      </c>
      <c r="G701" s="18">
        <v>363.05799942632001</v>
      </c>
      <c r="H701" s="17" t="s">
        <v>973</v>
      </c>
    </row>
    <row r="702" spans="1:8" x14ac:dyDescent="0.3">
      <c r="A702" s="17" t="s">
        <v>81</v>
      </c>
      <c r="B702" s="17">
        <v>2783</v>
      </c>
      <c r="C702" s="17">
        <v>2784</v>
      </c>
      <c r="D702" s="17">
        <v>2</v>
      </c>
      <c r="E702" s="17" t="s">
        <v>31</v>
      </c>
      <c r="F702" s="17" t="s">
        <v>33</v>
      </c>
      <c r="G702" s="18">
        <v>692.11051955106996</v>
      </c>
      <c r="H702" s="17" t="s">
        <v>974</v>
      </c>
    </row>
    <row r="703" spans="1:8" x14ac:dyDescent="0.3">
      <c r="A703" s="17" t="s">
        <v>99</v>
      </c>
      <c r="B703" s="17">
        <v>2785</v>
      </c>
      <c r="C703" s="17">
        <v>2786</v>
      </c>
      <c r="D703" s="17">
        <v>2</v>
      </c>
      <c r="E703" s="17" t="s">
        <v>31</v>
      </c>
      <c r="F703" s="17" t="s">
        <v>33</v>
      </c>
      <c r="G703" s="18">
        <v>683.09895180914998</v>
      </c>
      <c r="H703" s="17" t="s">
        <v>975</v>
      </c>
    </row>
    <row r="704" spans="1:8" x14ac:dyDescent="0.3">
      <c r="A704" s="17" t="s">
        <v>211</v>
      </c>
      <c r="B704" s="17">
        <v>2787</v>
      </c>
      <c r="C704" s="17">
        <v>2792</v>
      </c>
      <c r="D704" s="17">
        <v>6</v>
      </c>
      <c r="E704" s="17" t="s">
        <v>31</v>
      </c>
      <c r="F704" s="17" t="s">
        <v>33</v>
      </c>
      <c r="G704" s="18">
        <v>1936.2868998822</v>
      </c>
      <c r="H704" s="17" t="s">
        <v>976</v>
      </c>
    </row>
    <row r="705" spans="1:8" x14ac:dyDescent="0.3">
      <c r="A705" s="17" t="s">
        <v>977</v>
      </c>
      <c r="B705" s="17">
        <v>2793</v>
      </c>
      <c r="C705" s="17">
        <v>2796</v>
      </c>
      <c r="D705" s="17">
        <v>4</v>
      </c>
      <c r="E705" s="17" t="s">
        <v>31</v>
      </c>
      <c r="F705" s="17" t="s">
        <v>33</v>
      </c>
      <c r="G705" s="18">
        <v>1341.2039920586501</v>
      </c>
      <c r="H705" s="17" t="s">
        <v>978</v>
      </c>
    </row>
    <row r="706" spans="1:8" x14ac:dyDescent="0.3">
      <c r="A706" s="17" t="s">
        <v>99</v>
      </c>
      <c r="B706" s="17">
        <v>2797</v>
      </c>
      <c r="C706" s="17">
        <v>2798</v>
      </c>
      <c r="D706" s="17">
        <v>2</v>
      </c>
      <c r="E706" s="17" t="s">
        <v>31</v>
      </c>
      <c r="F706" s="17" t="s">
        <v>33</v>
      </c>
      <c r="G706" s="18">
        <v>683.09895180914998</v>
      </c>
      <c r="H706" s="17" t="s">
        <v>979</v>
      </c>
    </row>
    <row r="707" spans="1:8" x14ac:dyDescent="0.3">
      <c r="A707" s="17" t="s">
        <v>105</v>
      </c>
      <c r="B707" s="17">
        <v>2799</v>
      </c>
      <c r="C707" s="17">
        <v>2801</v>
      </c>
      <c r="D707" s="17">
        <v>3</v>
      </c>
      <c r="E707" s="17" t="s">
        <v>31</v>
      </c>
      <c r="F707" s="17" t="s">
        <v>33</v>
      </c>
      <c r="G707" s="18">
        <v>988.14023854460993</v>
      </c>
      <c r="H707" s="17" t="s">
        <v>980</v>
      </c>
    </row>
    <row r="708" spans="1:8" x14ac:dyDescent="0.3">
      <c r="A708" s="17" t="s">
        <v>271</v>
      </c>
      <c r="B708" s="17">
        <v>2802</v>
      </c>
      <c r="C708" s="17">
        <v>2805</v>
      </c>
      <c r="D708" s="17">
        <v>4</v>
      </c>
      <c r="E708" s="17" t="s">
        <v>31</v>
      </c>
      <c r="F708" s="17" t="s">
        <v>33</v>
      </c>
      <c r="G708" s="18">
        <v>1317.19275866936</v>
      </c>
      <c r="H708" s="17" t="s">
        <v>981</v>
      </c>
    </row>
    <row r="709" spans="1:8" x14ac:dyDescent="0.3">
      <c r="A709" s="17" t="s">
        <v>81</v>
      </c>
      <c r="B709" s="17">
        <v>2806</v>
      </c>
      <c r="C709" s="17">
        <v>2807</v>
      </c>
      <c r="D709" s="17">
        <v>2</v>
      </c>
      <c r="E709" s="17" t="s">
        <v>31</v>
      </c>
      <c r="F709" s="17" t="s">
        <v>33</v>
      </c>
      <c r="G709" s="18">
        <v>692.11051955106996</v>
      </c>
      <c r="H709" s="17" t="s">
        <v>982</v>
      </c>
    </row>
    <row r="710" spans="1:8" x14ac:dyDescent="0.3">
      <c r="A710" s="17" t="s">
        <v>983</v>
      </c>
      <c r="B710" s="17">
        <v>2808</v>
      </c>
      <c r="C710" s="17">
        <v>2813</v>
      </c>
      <c r="D710" s="17">
        <v>6</v>
      </c>
      <c r="E710" s="17" t="s">
        <v>31</v>
      </c>
      <c r="F710" s="17" t="s">
        <v>33</v>
      </c>
      <c r="G710" s="18">
        <v>1960.2981332714899</v>
      </c>
      <c r="H710" s="17" t="s">
        <v>984</v>
      </c>
    </row>
    <row r="711" spans="1:8" x14ac:dyDescent="0.3">
      <c r="A711" s="17" t="s">
        <v>193</v>
      </c>
      <c r="B711" s="17">
        <v>2814</v>
      </c>
      <c r="C711" s="17">
        <v>2816</v>
      </c>
      <c r="D711" s="17">
        <v>3</v>
      </c>
      <c r="E711" s="17" t="s">
        <v>31</v>
      </c>
      <c r="F711" s="17" t="s">
        <v>33</v>
      </c>
      <c r="G711" s="18">
        <v>1021.1630396758201</v>
      </c>
      <c r="H711" s="17" t="s">
        <v>985</v>
      </c>
    </row>
    <row r="712" spans="1:8" x14ac:dyDescent="0.3">
      <c r="A712" s="17" t="s">
        <v>105</v>
      </c>
      <c r="B712" s="17">
        <v>2817</v>
      </c>
      <c r="C712" s="17">
        <v>2819</v>
      </c>
      <c r="D712" s="17">
        <v>3</v>
      </c>
      <c r="E712" s="17" t="s">
        <v>31</v>
      </c>
      <c r="F712" s="17" t="s">
        <v>33</v>
      </c>
      <c r="G712" s="18">
        <v>988.14023854460993</v>
      </c>
      <c r="H712" s="17" t="s">
        <v>986</v>
      </c>
    </row>
    <row r="713" spans="1:8" x14ac:dyDescent="0.3">
      <c r="A713" s="17" t="s">
        <v>217</v>
      </c>
      <c r="B713" s="17">
        <v>2820</v>
      </c>
      <c r="C713" s="17">
        <v>2823</v>
      </c>
      <c r="D713" s="17">
        <v>4</v>
      </c>
      <c r="E713" s="17" t="s">
        <v>31</v>
      </c>
      <c r="F713" s="17" t="s">
        <v>33</v>
      </c>
      <c r="G713" s="18">
        <v>1317.19275866936</v>
      </c>
      <c r="H713" s="17" t="s">
        <v>987</v>
      </c>
    </row>
    <row r="714" spans="1:8" x14ac:dyDescent="0.3">
      <c r="A714" s="17" t="s">
        <v>988</v>
      </c>
      <c r="B714" s="17">
        <v>2824</v>
      </c>
      <c r="C714" s="17">
        <v>2831</v>
      </c>
      <c r="D714" s="17">
        <v>8</v>
      </c>
      <c r="E714" s="17" t="s">
        <v>31</v>
      </c>
      <c r="F714" s="17" t="s">
        <v>33</v>
      </c>
      <c r="G714" s="18">
        <v>2570.38070674241</v>
      </c>
      <c r="H714" s="17" t="s">
        <v>989</v>
      </c>
    </row>
    <row r="715" spans="1:8" x14ac:dyDescent="0.3">
      <c r="A715" s="17" t="s">
        <v>990</v>
      </c>
      <c r="B715" s="17">
        <v>2832</v>
      </c>
      <c r="C715" s="17">
        <v>2839</v>
      </c>
      <c r="D715" s="17">
        <v>8</v>
      </c>
      <c r="E715" s="17" t="s">
        <v>31</v>
      </c>
      <c r="F715" s="17" t="s">
        <v>33</v>
      </c>
      <c r="G715" s="18">
        <v>2600.3800380371499</v>
      </c>
      <c r="H715" s="17" t="s">
        <v>991</v>
      </c>
    </row>
    <row r="716" spans="1:8" x14ac:dyDescent="0.3">
      <c r="A716" s="17" t="s">
        <v>132</v>
      </c>
      <c r="B716" s="17">
        <v>2840</v>
      </c>
      <c r="C716" s="17">
        <v>2841</v>
      </c>
      <c r="D716" s="17">
        <v>2</v>
      </c>
      <c r="E716" s="17" t="s">
        <v>31</v>
      </c>
      <c r="F716" s="17" t="s">
        <v>33</v>
      </c>
      <c r="G716" s="18">
        <v>668.09928616178001</v>
      </c>
      <c r="H716" s="17" t="s">
        <v>992</v>
      </c>
    </row>
    <row r="717" spans="1:8" x14ac:dyDescent="0.3">
      <c r="A717" s="17" t="s">
        <v>993</v>
      </c>
      <c r="B717" s="17">
        <v>2842</v>
      </c>
      <c r="C717" s="17">
        <v>2847</v>
      </c>
      <c r="D717" s="17">
        <v>6</v>
      </c>
      <c r="E717" s="17" t="s">
        <v>31</v>
      </c>
      <c r="F717" s="17" t="s">
        <v>33</v>
      </c>
      <c r="G717" s="18">
        <v>1927.2753321402799</v>
      </c>
      <c r="H717" s="17" t="s">
        <v>994</v>
      </c>
    </row>
    <row r="718" spans="1:8" x14ac:dyDescent="0.3">
      <c r="A718" s="17" t="s">
        <v>27</v>
      </c>
      <c r="B718" s="17">
        <v>2848</v>
      </c>
      <c r="C718" s="17">
        <v>2848</v>
      </c>
      <c r="D718" s="17">
        <v>1</v>
      </c>
      <c r="E718" s="17" t="s">
        <v>31</v>
      </c>
      <c r="F718" s="17" t="s">
        <v>33</v>
      </c>
      <c r="G718" s="18">
        <v>363.05799942632001</v>
      </c>
      <c r="H718" s="17" t="s">
        <v>995</v>
      </c>
    </row>
    <row r="719" spans="1:8" x14ac:dyDescent="0.3">
      <c r="A719" s="17" t="s">
        <v>209</v>
      </c>
      <c r="B719" s="17">
        <v>2849</v>
      </c>
      <c r="C719" s="17">
        <v>2852</v>
      </c>
      <c r="D719" s="17">
        <v>4</v>
      </c>
      <c r="E719" s="17" t="s">
        <v>31</v>
      </c>
      <c r="F719" s="17" t="s">
        <v>33</v>
      </c>
      <c r="G719" s="18">
        <v>1326.2043264112801</v>
      </c>
      <c r="H719" s="17" t="s">
        <v>996</v>
      </c>
    </row>
    <row r="720" spans="1:8" x14ac:dyDescent="0.3">
      <c r="A720" s="17" t="s">
        <v>143</v>
      </c>
      <c r="B720" s="17">
        <v>2853</v>
      </c>
      <c r="C720" s="17">
        <v>2858</v>
      </c>
      <c r="D720" s="17">
        <v>6</v>
      </c>
      <c r="E720" s="17" t="s">
        <v>31</v>
      </c>
      <c r="F720" s="17" t="s">
        <v>33</v>
      </c>
      <c r="G720" s="18">
        <v>1951.2865655295702</v>
      </c>
      <c r="H720" s="17" t="s">
        <v>997</v>
      </c>
    </row>
    <row r="721" spans="1:8" x14ac:dyDescent="0.3">
      <c r="A721" s="17" t="s">
        <v>27</v>
      </c>
      <c r="B721" s="17">
        <v>2859</v>
      </c>
      <c r="C721" s="17">
        <v>2859</v>
      </c>
      <c r="D721" s="17">
        <v>1</v>
      </c>
      <c r="E721" s="17" t="s">
        <v>31</v>
      </c>
      <c r="F721" s="17" t="s">
        <v>33</v>
      </c>
      <c r="G721" s="18">
        <v>363.05799942632001</v>
      </c>
      <c r="H721" s="17" t="s">
        <v>998</v>
      </c>
    </row>
    <row r="722" spans="1:8" x14ac:dyDescent="0.3">
      <c r="A722" s="17" t="s">
        <v>207</v>
      </c>
      <c r="B722" s="17">
        <v>2860</v>
      </c>
      <c r="C722" s="17">
        <v>2863</v>
      </c>
      <c r="D722" s="17">
        <v>4</v>
      </c>
      <c r="E722" s="17" t="s">
        <v>31</v>
      </c>
      <c r="F722" s="17" t="s">
        <v>33</v>
      </c>
      <c r="G722" s="18">
        <v>1326.2043264112801</v>
      </c>
      <c r="H722" s="17" t="s">
        <v>999</v>
      </c>
    </row>
    <row r="723" spans="1:8" x14ac:dyDescent="0.3">
      <c r="A723" s="17" t="s">
        <v>214</v>
      </c>
      <c r="B723" s="17">
        <v>2864</v>
      </c>
      <c r="C723" s="17">
        <v>2867</v>
      </c>
      <c r="D723" s="17">
        <v>4</v>
      </c>
      <c r="E723" s="17" t="s">
        <v>31</v>
      </c>
      <c r="F723" s="17" t="s">
        <v>33</v>
      </c>
      <c r="G723" s="18">
        <v>1293.18152528007</v>
      </c>
      <c r="H723" s="17" t="s">
        <v>1000</v>
      </c>
    </row>
    <row r="724" spans="1:8" x14ac:dyDescent="0.3">
      <c r="A724" s="17" t="s">
        <v>81</v>
      </c>
      <c r="B724" s="17">
        <v>2868</v>
      </c>
      <c r="C724" s="17">
        <v>2869</v>
      </c>
      <c r="D724" s="17">
        <v>2</v>
      </c>
      <c r="E724" s="17" t="s">
        <v>31</v>
      </c>
      <c r="F724" s="17" t="s">
        <v>33</v>
      </c>
      <c r="G724" s="18">
        <v>692.11051955106996</v>
      </c>
      <c r="H724" s="17" t="s">
        <v>1001</v>
      </c>
    </row>
    <row r="725" spans="1:8" x14ac:dyDescent="0.3">
      <c r="A725" s="17" t="s">
        <v>263</v>
      </c>
      <c r="B725" s="17">
        <v>2870</v>
      </c>
      <c r="C725" s="17">
        <v>2872</v>
      </c>
      <c r="D725" s="17">
        <v>3</v>
      </c>
      <c r="E725" s="17" t="s">
        <v>31</v>
      </c>
      <c r="F725" s="17" t="s">
        <v>33</v>
      </c>
      <c r="G725" s="18">
        <v>997.15180628653002</v>
      </c>
      <c r="H725" s="17" t="s">
        <v>1002</v>
      </c>
    </row>
    <row r="726" spans="1:8" x14ac:dyDescent="0.3">
      <c r="A726" s="17" t="s">
        <v>58</v>
      </c>
      <c r="B726" s="17">
        <v>2873</v>
      </c>
      <c r="C726" s="17">
        <v>2877</v>
      </c>
      <c r="D726" s="17">
        <v>5</v>
      </c>
      <c r="E726" s="17" t="s">
        <v>31</v>
      </c>
      <c r="F726" s="17" t="s">
        <v>33</v>
      </c>
      <c r="G726" s="18">
        <v>1631.2456131467402</v>
      </c>
      <c r="H726" s="17" t="s">
        <v>1003</v>
      </c>
    </row>
    <row r="727" spans="1:8" x14ac:dyDescent="0.3">
      <c r="A727" s="17" t="s">
        <v>209</v>
      </c>
      <c r="B727" s="17">
        <v>2878</v>
      </c>
      <c r="C727" s="17">
        <v>2881</v>
      </c>
      <c r="D727" s="17">
        <v>4</v>
      </c>
      <c r="E727" s="17" t="s">
        <v>31</v>
      </c>
      <c r="F727" s="17" t="s">
        <v>33</v>
      </c>
      <c r="G727" s="18">
        <v>1326.2043264112801</v>
      </c>
      <c r="H727" s="17" t="s">
        <v>1004</v>
      </c>
    </row>
    <row r="728" spans="1:8" x14ac:dyDescent="0.3">
      <c r="A728" s="17" t="s">
        <v>132</v>
      </c>
      <c r="B728" s="17">
        <v>2882</v>
      </c>
      <c r="C728" s="17">
        <v>2883</v>
      </c>
      <c r="D728" s="17">
        <v>2</v>
      </c>
      <c r="E728" s="17" t="s">
        <v>31</v>
      </c>
      <c r="F728" s="17" t="s">
        <v>33</v>
      </c>
      <c r="G728" s="18">
        <v>668.09928616178001</v>
      </c>
      <c r="H728" s="17" t="s">
        <v>1005</v>
      </c>
    </row>
    <row r="729" spans="1:8" x14ac:dyDescent="0.3">
      <c r="A729" s="17" t="s">
        <v>342</v>
      </c>
      <c r="B729" s="17">
        <v>2884</v>
      </c>
      <c r="C729" s="17">
        <v>2888</v>
      </c>
      <c r="D729" s="17">
        <v>5</v>
      </c>
      <c r="E729" s="17" t="s">
        <v>31</v>
      </c>
      <c r="F729" s="17" t="s">
        <v>33</v>
      </c>
      <c r="G729" s="18">
        <v>1598.2228120155301</v>
      </c>
      <c r="H729" s="17" t="s">
        <v>1006</v>
      </c>
    </row>
    <row r="730" spans="1:8" x14ac:dyDescent="0.3">
      <c r="A730" s="17" t="s">
        <v>27</v>
      </c>
      <c r="B730" s="17">
        <v>2889</v>
      </c>
      <c r="C730" s="17">
        <v>2889</v>
      </c>
      <c r="D730" s="17">
        <v>1</v>
      </c>
      <c r="E730" s="17" t="s">
        <v>31</v>
      </c>
      <c r="F730" s="17" t="s">
        <v>33</v>
      </c>
      <c r="G730" s="18">
        <v>363.05799942632001</v>
      </c>
      <c r="H730" s="17" t="s">
        <v>1007</v>
      </c>
    </row>
    <row r="731" spans="1:8" x14ac:dyDescent="0.3">
      <c r="A731" s="17" t="s">
        <v>27</v>
      </c>
      <c r="B731" s="17">
        <v>2890</v>
      </c>
      <c r="C731" s="17">
        <v>2890</v>
      </c>
      <c r="D731" s="17">
        <v>1</v>
      </c>
      <c r="E731" s="17" t="s">
        <v>31</v>
      </c>
      <c r="F731" s="17" t="s">
        <v>33</v>
      </c>
      <c r="G731" s="18">
        <v>363.05799942632001</v>
      </c>
      <c r="H731" s="17" t="s">
        <v>1008</v>
      </c>
    </row>
    <row r="732" spans="1:8" x14ac:dyDescent="0.3">
      <c r="A732" s="17" t="s">
        <v>252</v>
      </c>
      <c r="B732" s="17">
        <v>2891</v>
      </c>
      <c r="C732" s="17">
        <v>2894</v>
      </c>
      <c r="D732" s="17">
        <v>4</v>
      </c>
      <c r="E732" s="17" t="s">
        <v>31</v>
      </c>
      <c r="F732" s="17" t="s">
        <v>33</v>
      </c>
      <c r="G732" s="18">
        <v>1350.21555980057</v>
      </c>
      <c r="H732" s="17" t="s">
        <v>1009</v>
      </c>
    </row>
    <row r="733" spans="1:8" x14ac:dyDescent="0.3">
      <c r="A733" s="17" t="s">
        <v>105</v>
      </c>
      <c r="B733" s="17">
        <v>2895</v>
      </c>
      <c r="C733" s="17">
        <v>2897</v>
      </c>
      <c r="D733" s="17">
        <v>3</v>
      </c>
      <c r="E733" s="17" t="s">
        <v>31</v>
      </c>
      <c r="F733" s="17" t="s">
        <v>33</v>
      </c>
      <c r="G733" s="18">
        <v>988.14023854460993</v>
      </c>
      <c r="H733" s="17" t="s">
        <v>1010</v>
      </c>
    </row>
    <row r="734" spans="1:8" x14ac:dyDescent="0.3">
      <c r="A734" s="17" t="s">
        <v>263</v>
      </c>
      <c r="B734" s="17">
        <v>2898</v>
      </c>
      <c r="C734" s="17">
        <v>2900</v>
      </c>
      <c r="D734" s="17">
        <v>3</v>
      </c>
      <c r="E734" s="17" t="s">
        <v>31</v>
      </c>
      <c r="F734" s="17" t="s">
        <v>33</v>
      </c>
      <c r="G734" s="18">
        <v>997.15180628653002</v>
      </c>
      <c r="H734" s="17" t="s">
        <v>1011</v>
      </c>
    </row>
    <row r="735" spans="1:8" x14ac:dyDescent="0.3">
      <c r="A735" s="17" t="s">
        <v>27</v>
      </c>
      <c r="B735" s="17">
        <v>2901</v>
      </c>
      <c r="C735" s="17">
        <v>2901</v>
      </c>
      <c r="D735" s="17">
        <v>1</v>
      </c>
      <c r="E735" s="17" t="s">
        <v>31</v>
      </c>
      <c r="F735" s="17" t="s">
        <v>33</v>
      </c>
      <c r="G735" s="18">
        <v>363.05799942632001</v>
      </c>
      <c r="H735" s="17" t="s">
        <v>1012</v>
      </c>
    </row>
    <row r="736" spans="1:8" x14ac:dyDescent="0.3">
      <c r="A736" s="17" t="s">
        <v>181</v>
      </c>
      <c r="B736" s="17">
        <v>2902</v>
      </c>
      <c r="C736" s="17">
        <v>2904</v>
      </c>
      <c r="D736" s="17">
        <v>3</v>
      </c>
      <c r="E736" s="17" t="s">
        <v>31</v>
      </c>
      <c r="F736" s="17" t="s">
        <v>33</v>
      </c>
      <c r="G736" s="18">
        <v>997.15180628653002</v>
      </c>
      <c r="H736" s="17" t="s">
        <v>1013</v>
      </c>
    </row>
    <row r="737" spans="1:8" x14ac:dyDescent="0.3">
      <c r="A737" s="17" t="s">
        <v>99</v>
      </c>
      <c r="B737" s="17">
        <v>2905</v>
      </c>
      <c r="C737" s="17">
        <v>2906</v>
      </c>
      <c r="D737" s="17">
        <v>2</v>
      </c>
      <c r="E737" s="17" t="s">
        <v>31</v>
      </c>
      <c r="F737" s="17" t="s">
        <v>33</v>
      </c>
      <c r="G737" s="18">
        <v>683.09895180914998</v>
      </c>
      <c r="H737" s="17" t="s">
        <v>1014</v>
      </c>
    </row>
    <row r="738" spans="1:8" x14ac:dyDescent="0.3">
      <c r="A738" s="17" t="s">
        <v>27</v>
      </c>
      <c r="B738" s="17">
        <v>2907</v>
      </c>
      <c r="C738" s="17">
        <v>2907</v>
      </c>
      <c r="D738" s="17">
        <v>1</v>
      </c>
      <c r="E738" s="17" t="s">
        <v>31</v>
      </c>
      <c r="F738" s="17" t="s">
        <v>33</v>
      </c>
      <c r="G738" s="18">
        <v>363.05799942632001</v>
      </c>
      <c r="H738" s="17" t="s">
        <v>1015</v>
      </c>
    </row>
    <row r="739" spans="1:8" x14ac:dyDescent="0.3">
      <c r="A739" s="17" t="s">
        <v>1424</v>
      </c>
      <c r="B739" s="17">
        <v>2908</v>
      </c>
      <c r="C739" s="17">
        <v>2915</v>
      </c>
      <c r="D739" s="17">
        <v>8</v>
      </c>
      <c r="E739" s="17" t="s">
        <v>31</v>
      </c>
      <c r="F739" s="17" t="s">
        <v>33</v>
      </c>
      <c r="G739" s="18">
        <v>2585.3803723897795</v>
      </c>
      <c r="H739" s="17" t="s">
        <v>1016</v>
      </c>
    </row>
    <row r="740" spans="1:8" x14ac:dyDescent="0.3">
      <c r="A740" s="17" t="s">
        <v>977</v>
      </c>
      <c r="B740" s="17">
        <v>2916</v>
      </c>
      <c r="C740" s="17">
        <v>2919</v>
      </c>
      <c r="D740" s="17">
        <v>4</v>
      </c>
      <c r="E740" s="17" t="s">
        <v>31</v>
      </c>
      <c r="F740" s="17" t="s">
        <v>33</v>
      </c>
      <c r="G740" s="18">
        <v>1341.2039920586501</v>
      </c>
      <c r="H740" s="17" t="s">
        <v>1017</v>
      </c>
    </row>
    <row r="741" spans="1:8" x14ac:dyDescent="0.3">
      <c r="A741" s="17" t="s">
        <v>874</v>
      </c>
      <c r="B741" s="17">
        <v>2920</v>
      </c>
      <c r="C741" s="17">
        <v>2924</v>
      </c>
      <c r="D741" s="17">
        <v>5</v>
      </c>
      <c r="E741" s="17" t="s">
        <v>31</v>
      </c>
      <c r="F741" s="17" t="s">
        <v>33</v>
      </c>
      <c r="G741" s="18">
        <v>1607.2343797574499</v>
      </c>
      <c r="H741" s="17" t="s">
        <v>1018</v>
      </c>
    </row>
    <row r="742" spans="1:8" x14ac:dyDescent="0.3">
      <c r="A742" s="17" t="s">
        <v>27</v>
      </c>
      <c r="B742" s="17">
        <v>2925</v>
      </c>
      <c r="C742" s="17">
        <v>2925</v>
      </c>
      <c r="D742" s="17">
        <v>1</v>
      </c>
      <c r="E742" s="17" t="s">
        <v>31</v>
      </c>
      <c r="F742" s="17" t="s">
        <v>33</v>
      </c>
      <c r="G742" s="18">
        <v>363.05799942632001</v>
      </c>
      <c r="H742" s="17" t="s">
        <v>1019</v>
      </c>
    </row>
    <row r="743" spans="1:8" x14ac:dyDescent="0.3">
      <c r="A743" s="17" t="s">
        <v>1020</v>
      </c>
      <c r="B743" s="17">
        <v>2926</v>
      </c>
      <c r="C743" s="17">
        <v>2930</v>
      </c>
      <c r="D743" s="17">
        <v>5</v>
      </c>
      <c r="E743" s="17" t="s">
        <v>31</v>
      </c>
      <c r="F743" s="17" t="s">
        <v>33</v>
      </c>
      <c r="G743" s="18">
        <v>1622.2340454048201</v>
      </c>
      <c r="H743" s="17" t="s">
        <v>1021</v>
      </c>
    </row>
    <row r="744" spans="1:8" x14ac:dyDescent="0.3">
      <c r="A744" s="17" t="s">
        <v>1022</v>
      </c>
      <c r="B744" s="17">
        <v>2931</v>
      </c>
      <c r="C744" s="17">
        <v>2939</v>
      </c>
      <c r="D744" s="17">
        <v>9</v>
      </c>
      <c r="E744" s="17" t="s">
        <v>31</v>
      </c>
      <c r="F744" s="17" t="s">
        <v>33</v>
      </c>
      <c r="G744" s="18">
        <v>2890.4216591252398</v>
      </c>
      <c r="H744" s="17" t="s">
        <v>1023</v>
      </c>
    </row>
    <row r="745" spans="1:8" x14ac:dyDescent="0.3">
      <c r="A745" s="17" t="s">
        <v>27</v>
      </c>
      <c r="B745" s="17">
        <v>2940</v>
      </c>
      <c r="C745" s="17">
        <v>2940</v>
      </c>
      <c r="D745" s="17">
        <v>1</v>
      </c>
      <c r="E745" s="17" t="s">
        <v>31</v>
      </c>
      <c r="F745" s="17" t="s">
        <v>33</v>
      </c>
      <c r="G745" s="18">
        <v>363.05799942632001</v>
      </c>
      <c r="H745" s="17" t="s">
        <v>1024</v>
      </c>
    </row>
    <row r="746" spans="1:8" x14ac:dyDescent="0.3">
      <c r="A746" s="17" t="s">
        <v>1025</v>
      </c>
      <c r="B746" s="17">
        <v>2941</v>
      </c>
      <c r="C746" s="17">
        <v>2945</v>
      </c>
      <c r="D746" s="17">
        <v>5</v>
      </c>
      <c r="E746" s="17" t="s">
        <v>31</v>
      </c>
      <c r="F746" s="17" t="s">
        <v>33</v>
      </c>
      <c r="G746" s="18">
        <v>1646.2452787941102</v>
      </c>
      <c r="H746" s="17" t="s">
        <v>1026</v>
      </c>
    </row>
    <row r="747" spans="1:8" x14ac:dyDescent="0.3">
      <c r="A747" s="17" t="s">
        <v>263</v>
      </c>
      <c r="B747" s="17">
        <v>2946</v>
      </c>
      <c r="C747" s="17">
        <v>2948</v>
      </c>
      <c r="D747" s="17">
        <v>3</v>
      </c>
      <c r="E747" s="17" t="s">
        <v>31</v>
      </c>
      <c r="F747" s="17" t="s">
        <v>33</v>
      </c>
      <c r="G747" s="18">
        <v>997.15180628653002</v>
      </c>
      <c r="H747" s="17" t="s">
        <v>1027</v>
      </c>
    </row>
    <row r="748" spans="1:8" x14ac:dyDescent="0.3">
      <c r="A748" s="17" t="s">
        <v>105</v>
      </c>
      <c r="B748" s="17">
        <v>2949</v>
      </c>
      <c r="C748" s="17">
        <v>2951</v>
      </c>
      <c r="D748" s="17">
        <v>3</v>
      </c>
      <c r="E748" s="17" t="s">
        <v>31</v>
      </c>
      <c r="F748" s="17" t="s">
        <v>33</v>
      </c>
      <c r="G748" s="18">
        <v>988.14023854460993</v>
      </c>
      <c r="H748" s="17" t="s">
        <v>1028</v>
      </c>
    </row>
    <row r="749" spans="1:8" x14ac:dyDescent="0.3">
      <c r="A749" s="17" t="s">
        <v>1425</v>
      </c>
      <c r="B749" s="17">
        <v>2952</v>
      </c>
      <c r="C749" s="17">
        <v>2964</v>
      </c>
      <c r="D749" s="17">
        <v>13</v>
      </c>
      <c r="E749" s="17" t="s">
        <v>31</v>
      </c>
      <c r="F749" s="17" t="s">
        <v>33</v>
      </c>
      <c r="G749" s="18">
        <v>4131.5745696199001</v>
      </c>
      <c r="H749" s="17" t="s">
        <v>1029</v>
      </c>
    </row>
    <row r="750" spans="1:8" x14ac:dyDescent="0.3">
      <c r="A750" s="17" t="s">
        <v>27</v>
      </c>
      <c r="B750" s="17">
        <v>2965</v>
      </c>
      <c r="C750" s="17">
        <v>2965</v>
      </c>
      <c r="D750" s="17">
        <v>1</v>
      </c>
      <c r="E750" s="17" t="s">
        <v>31</v>
      </c>
      <c r="F750" s="17" t="s">
        <v>33</v>
      </c>
      <c r="G750" s="18">
        <v>363.05799942632001</v>
      </c>
      <c r="H750" s="17" t="s">
        <v>1030</v>
      </c>
    </row>
    <row r="751" spans="1:8" x14ac:dyDescent="0.3">
      <c r="A751" s="17" t="s">
        <v>132</v>
      </c>
      <c r="B751" s="17">
        <v>2966</v>
      </c>
      <c r="C751" s="17">
        <v>2967</v>
      </c>
      <c r="D751" s="17">
        <v>2</v>
      </c>
      <c r="E751" s="17" t="s">
        <v>31</v>
      </c>
      <c r="F751" s="17" t="s">
        <v>33</v>
      </c>
      <c r="G751" s="18">
        <v>668.09928616178001</v>
      </c>
      <c r="H751" s="17" t="s">
        <v>1031</v>
      </c>
    </row>
    <row r="752" spans="1:8" x14ac:dyDescent="0.3">
      <c r="A752" s="17" t="s">
        <v>1032</v>
      </c>
      <c r="B752" s="17">
        <v>2968</v>
      </c>
      <c r="C752" s="17">
        <v>2974</v>
      </c>
      <c r="D752" s="17">
        <v>7</v>
      </c>
      <c r="E752" s="17" t="s">
        <v>31</v>
      </c>
      <c r="F752" s="17" t="s">
        <v>33</v>
      </c>
      <c r="G752" s="18">
        <v>2256.3278522650298</v>
      </c>
      <c r="H752" s="17" t="s">
        <v>1033</v>
      </c>
    </row>
    <row r="753" spans="1:8" x14ac:dyDescent="0.3">
      <c r="A753" s="17" t="s">
        <v>321</v>
      </c>
      <c r="B753" s="17">
        <v>2975</v>
      </c>
      <c r="C753" s="17">
        <v>2979</v>
      </c>
      <c r="D753" s="17">
        <v>5</v>
      </c>
      <c r="E753" s="17" t="s">
        <v>31</v>
      </c>
      <c r="F753" s="17" t="s">
        <v>33</v>
      </c>
      <c r="G753" s="18">
        <v>1613.2224776629</v>
      </c>
      <c r="H753" s="17" t="s">
        <v>1034</v>
      </c>
    </row>
    <row r="754" spans="1:8" x14ac:dyDescent="0.3">
      <c r="A754" s="17" t="s">
        <v>99</v>
      </c>
      <c r="B754" s="17">
        <v>2980</v>
      </c>
      <c r="C754" s="17">
        <v>2981</v>
      </c>
      <c r="D754" s="17">
        <v>2</v>
      </c>
      <c r="E754" s="17" t="s">
        <v>31</v>
      </c>
      <c r="F754" s="17" t="s">
        <v>33</v>
      </c>
      <c r="G754" s="18">
        <v>683.09895180914998</v>
      </c>
      <c r="H754" s="17" t="s">
        <v>1035</v>
      </c>
    </row>
    <row r="755" spans="1:8" x14ac:dyDescent="0.3">
      <c r="A755" s="17" t="s">
        <v>105</v>
      </c>
      <c r="B755" s="17">
        <v>2982</v>
      </c>
      <c r="C755" s="17">
        <v>2984</v>
      </c>
      <c r="D755" s="17">
        <v>3</v>
      </c>
      <c r="E755" s="17" t="s">
        <v>31</v>
      </c>
      <c r="F755" s="17" t="s">
        <v>33</v>
      </c>
      <c r="G755" s="18">
        <v>988.14023854460993</v>
      </c>
      <c r="H755" s="17" t="s">
        <v>1036</v>
      </c>
    </row>
    <row r="756" spans="1:8" x14ac:dyDescent="0.3">
      <c r="A756" s="17" t="s">
        <v>383</v>
      </c>
      <c r="B756" s="17">
        <v>2985</v>
      </c>
      <c r="C756" s="17">
        <v>2988</v>
      </c>
      <c r="D756" s="17">
        <v>4</v>
      </c>
      <c r="E756" s="17" t="s">
        <v>31</v>
      </c>
      <c r="F756" s="17" t="s">
        <v>33</v>
      </c>
      <c r="G756" s="18">
        <v>1326.2043264112801</v>
      </c>
      <c r="H756" s="17" t="s">
        <v>1037</v>
      </c>
    </row>
    <row r="757" spans="1:8" x14ac:dyDescent="0.3">
      <c r="A757" s="17" t="s">
        <v>1038</v>
      </c>
      <c r="B757" s="17">
        <v>2989</v>
      </c>
      <c r="C757" s="17">
        <v>2996</v>
      </c>
      <c r="D757" s="17">
        <v>8</v>
      </c>
      <c r="E757" s="17" t="s">
        <v>31</v>
      </c>
      <c r="F757" s="17" t="s">
        <v>33</v>
      </c>
      <c r="G757" s="18">
        <v>2591.3684702952301</v>
      </c>
      <c r="H757" s="17" t="s">
        <v>1039</v>
      </c>
    </row>
    <row r="758" spans="1:8" x14ac:dyDescent="0.3">
      <c r="A758" s="17" t="s">
        <v>81</v>
      </c>
      <c r="B758" s="17">
        <v>2997</v>
      </c>
      <c r="C758" s="17">
        <v>2998</v>
      </c>
      <c r="D758" s="17">
        <v>2</v>
      </c>
      <c r="E758" s="17" t="s">
        <v>31</v>
      </c>
      <c r="F758" s="17" t="s">
        <v>33</v>
      </c>
      <c r="G758" s="18">
        <v>692.11051955106996</v>
      </c>
      <c r="H758" s="17" t="s">
        <v>1040</v>
      </c>
    </row>
    <row r="759" spans="1:8" x14ac:dyDescent="0.3">
      <c r="A759" s="17" t="s">
        <v>263</v>
      </c>
      <c r="B759" s="17">
        <v>2999</v>
      </c>
      <c r="C759" s="17">
        <v>3001</v>
      </c>
      <c r="D759" s="17">
        <v>3</v>
      </c>
      <c r="E759" s="17" t="s">
        <v>31</v>
      </c>
      <c r="F759" s="17" t="s">
        <v>33</v>
      </c>
      <c r="G759" s="18">
        <v>997.15180628653002</v>
      </c>
      <c r="H759" s="17" t="s">
        <v>1041</v>
      </c>
    </row>
    <row r="760" spans="1:8" x14ac:dyDescent="0.3">
      <c r="A760" s="17" t="s">
        <v>806</v>
      </c>
      <c r="B760" s="17">
        <v>3002</v>
      </c>
      <c r="C760" s="17">
        <v>3005</v>
      </c>
      <c r="D760" s="17">
        <v>4</v>
      </c>
      <c r="E760" s="17" t="s">
        <v>31</v>
      </c>
      <c r="F760" s="17" t="s">
        <v>33</v>
      </c>
      <c r="G760" s="18">
        <v>1317.19275866936</v>
      </c>
      <c r="H760" s="17" t="s">
        <v>1042</v>
      </c>
    </row>
    <row r="761" spans="1:8" x14ac:dyDescent="0.3">
      <c r="A761" s="17" t="s">
        <v>27</v>
      </c>
      <c r="B761" s="17">
        <v>3006</v>
      </c>
      <c r="C761" s="17">
        <v>3006</v>
      </c>
      <c r="D761" s="17">
        <v>1</v>
      </c>
      <c r="E761" s="17" t="s">
        <v>31</v>
      </c>
      <c r="F761" s="17" t="s">
        <v>33</v>
      </c>
      <c r="G761" s="18">
        <v>363.05799942632001</v>
      </c>
      <c r="H761" s="17" t="s">
        <v>1043</v>
      </c>
    </row>
    <row r="762" spans="1:8" x14ac:dyDescent="0.3">
      <c r="A762" s="17" t="s">
        <v>1044</v>
      </c>
      <c r="B762" s="17">
        <v>3007</v>
      </c>
      <c r="C762" s="17">
        <v>3015</v>
      </c>
      <c r="D762" s="17">
        <v>9</v>
      </c>
      <c r="E762" s="17" t="s">
        <v>31</v>
      </c>
      <c r="F762" s="17" t="s">
        <v>33</v>
      </c>
      <c r="G762" s="18">
        <v>2857.3988579940301</v>
      </c>
      <c r="H762" s="17" t="s">
        <v>1045</v>
      </c>
    </row>
    <row r="763" spans="1:8" x14ac:dyDescent="0.3">
      <c r="A763" s="17" t="s">
        <v>81</v>
      </c>
      <c r="B763" s="17">
        <v>3016</v>
      </c>
      <c r="C763" s="17">
        <v>3017</v>
      </c>
      <c r="D763" s="17">
        <v>2</v>
      </c>
      <c r="E763" s="17" t="s">
        <v>31</v>
      </c>
      <c r="F763" s="17" t="s">
        <v>33</v>
      </c>
      <c r="G763" s="18">
        <v>692.11051955106996</v>
      </c>
      <c r="H763" s="17" t="s">
        <v>1046</v>
      </c>
    </row>
    <row r="764" spans="1:8" x14ac:dyDescent="0.3">
      <c r="A764" s="17" t="s">
        <v>27</v>
      </c>
      <c r="B764" s="17">
        <v>3018</v>
      </c>
      <c r="C764" s="17">
        <v>3018</v>
      </c>
      <c r="D764" s="17">
        <v>1</v>
      </c>
      <c r="E764" s="17" t="s">
        <v>31</v>
      </c>
      <c r="F764" s="17" t="s">
        <v>33</v>
      </c>
      <c r="G764" s="18">
        <v>363.05799942632001</v>
      </c>
      <c r="H764" s="17" t="s">
        <v>1047</v>
      </c>
    </row>
    <row r="765" spans="1:8" x14ac:dyDescent="0.3">
      <c r="A765" s="17" t="s">
        <v>364</v>
      </c>
      <c r="B765" s="17">
        <v>3019</v>
      </c>
      <c r="C765" s="17">
        <v>3021</v>
      </c>
      <c r="D765" s="17">
        <v>3</v>
      </c>
      <c r="E765" s="17" t="s">
        <v>31</v>
      </c>
      <c r="F765" s="17" t="s">
        <v>33</v>
      </c>
      <c r="G765" s="18">
        <v>973.14057289723996</v>
      </c>
      <c r="H765" s="17" t="s">
        <v>1048</v>
      </c>
    </row>
    <row r="766" spans="1:8" x14ac:dyDescent="0.3">
      <c r="A766" s="17" t="s">
        <v>81</v>
      </c>
      <c r="B766" s="17">
        <v>3022</v>
      </c>
      <c r="C766" s="17">
        <v>3023</v>
      </c>
      <c r="D766" s="17">
        <v>2</v>
      </c>
      <c r="E766" s="17" t="s">
        <v>31</v>
      </c>
      <c r="F766" s="17" t="s">
        <v>33</v>
      </c>
      <c r="G766" s="18">
        <v>692.11051955106996</v>
      </c>
      <c r="H766" s="17" t="s">
        <v>1049</v>
      </c>
    </row>
    <row r="767" spans="1:8" x14ac:dyDescent="0.3">
      <c r="A767" s="17" t="s">
        <v>27</v>
      </c>
      <c r="B767" s="17">
        <v>3024</v>
      </c>
      <c r="C767" s="17">
        <v>3024</v>
      </c>
      <c r="D767" s="17">
        <v>1</v>
      </c>
      <c r="E767" s="17" t="s">
        <v>31</v>
      </c>
      <c r="F767" s="17" t="s">
        <v>33</v>
      </c>
      <c r="G767" s="18">
        <v>363.05799942632001</v>
      </c>
      <c r="H767" s="17" t="s">
        <v>1050</v>
      </c>
    </row>
    <row r="768" spans="1:8" x14ac:dyDescent="0.3">
      <c r="A768" s="17" t="s">
        <v>99</v>
      </c>
      <c r="B768" s="17">
        <v>3025</v>
      </c>
      <c r="C768" s="17">
        <v>3026</v>
      </c>
      <c r="D768" s="17">
        <v>2</v>
      </c>
      <c r="E768" s="17" t="s">
        <v>31</v>
      </c>
      <c r="F768" s="17" t="s">
        <v>33</v>
      </c>
      <c r="G768" s="18">
        <v>683.09895180914998</v>
      </c>
      <c r="H768" s="17" t="s">
        <v>1051</v>
      </c>
    </row>
    <row r="769" spans="1:8" x14ac:dyDescent="0.3">
      <c r="A769" s="17" t="s">
        <v>263</v>
      </c>
      <c r="B769" s="17">
        <v>3027</v>
      </c>
      <c r="C769" s="17">
        <v>3029</v>
      </c>
      <c r="D769" s="17">
        <v>3</v>
      </c>
      <c r="E769" s="17" t="s">
        <v>31</v>
      </c>
      <c r="F769" s="17" t="s">
        <v>33</v>
      </c>
      <c r="G769" s="18">
        <v>997.15180628653002</v>
      </c>
      <c r="H769" s="17" t="s">
        <v>1052</v>
      </c>
    </row>
    <row r="770" spans="1:8" x14ac:dyDescent="0.3">
      <c r="A770" s="17" t="s">
        <v>217</v>
      </c>
      <c r="B770" s="17">
        <v>3030</v>
      </c>
      <c r="C770" s="17">
        <v>3033</v>
      </c>
      <c r="D770" s="17">
        <v>4</v>
      </c>
      <c r="E770" s="17" t="s">
        <v>31</v>
      </c>
      <c r="F770" s="17" t="s">
        <v>33</v>
      </c>
      <c r="G770" s="18">
        <v>1317.19275866936</v>
      </c>
      <c r="H770" s="17" t="s">
        <v>1053</v>
      </c>
    </row>
    <row r="771" spans="1:8" x14ac:dyDescent="0.3">
      <c r="A771" s="17" t="s">
        <v>207</v>
      </c>
      <c r="B771" s="17">
        <v>3034</v>
      </c>
      <c r="C771" s="17">
        <v>3037</v>
      </c>
      <c r="D771" s="17">
        <v>4</v>
      </c>
      <c r="E771" s="17" t="s">
        <v>31</v>
      </c>
      <c r="F771" s="17" t="s">
        <v>33</v>
      </c>
      <c r="G771" s="18">
        <v>1326.2043264112801</v>
      </c>
      <c r="H771" s="17" t="s">
        <v>1054</v>
      </c>
    </row>
    <row r="772" spans="1:8" x14ac:dyDescent="0.3">
      <c r="A772" s="17" t="s">
        <v>806</v>
      </c>
      <c r="B772" s="17">
        <v>3038</v>
      </c>
      <c r="C772" s="17">
        <v>3041</v>
      </c>
      <c r="D772" s="17">
        <v>4</v>
      </c>
      <c r="E772" s="17" t="s">
        <v>31</v>
      </c>
      <c r="F772" s="17" t="s">
        <v>33</v>
      </c>
      <c r="G772" s="18">
        <v>1317.19275866936</v>
      </c>
      <c r="H772" s="17" t="s">
        <v>1055</v>
      </c>
    </row>
    <row r="773" spans="1:8" x14ac:dyDescent="0.3">
      <c r="A773" s="17" t="s">
        <v>1056</v>
      </c>
      <c r="B773" s="17">
        <v>3042</v>
      </c>
      <c r="C773" s="17">
        <v>3048</v>
      </c>
      <c r="D773" s="17">
        <v>7</v>
      </c>
      <c r="E773" s="17" t="s">
        <v>31</v>
      </c>
      <c r="F773" s="17" t="s">
        <v>33</v>
      </c>
      <c r="G773" s="18">
        <v>2280.3390856543197</v>
      </c>
      <c r="H773" s="17" t="s">
        <v>1057</v>
      </c>
    </row>
    <row r="774" spans="1:8" x14ac:dyDescent="0.3">
      <c r="A774" s="17" t="s">
        <v>27</v>
      </c>
      <c r="B774" s="17">
        <v>3049</v>
      </c>
      <c r="C774" s="17">
        <v>3049</v>
      </c>
      <c r="D774" s="17">
        <v>1</v>
      </c>
      <c r="E774" s="17" t="s">
        <v>31</v>
      </c>
      <c r="F774" s="17" t="s">
        <v>33</v>
      </c>
      <c r="G774" s="18">
        <v>363.05799942632001</v>
      </c>
      <c r="H774" s="17" t="s">
        <v>1058</v>
      </c>
    </row>
    <row r="775" spans="1:8" x14ac:dyDescent="0.3">
      <c r="A775" s="17" t="s">
        <v>263</v>
      </c>
      <c r="B775" s="17">
        <v>3050</v>
      </c>
      <c r="C775" s="17">
        <v>3052</v>
      </c>
      <c r="D775" s="17">
        <v>3</v>
      </c>
      <c r="E775" s="17" t="s">
        <v>31</v>
      </c>
      <c r="F775" s="17" t="s">
        <v>33</v>
      </c>
      <c r="G775" s="18">
        <v>997.15180628653002</v>
      </c>
      <c r="H775" s="17" t="s">
        <v>1059</v>
      </c>
    </row>
    <row r="776" spans="1:8" x14ac:dyDescent="0.3">
      <c r="A776" s="17" t="s">
        <v>806</v>
      </c>
      <c r="B776" s="17">
        <v>3053</v>
      </c>
      <c r="C776" s="17">
        <v>3056</v>
      </c>
      <c r="D776" s="17">
        <v>4</v>
      </c>
      <c r="E776" s="17" t="s">
        <v>31</v>
      </c>
      <c r="F776" s="17" t="s">
        <v>33</v>
      </c>
      <c r="G776" s="18">
        <v>1317.19275866936</v>
      </c>
      <c r="H776" s="17" t="s">
        <v>1060</v>
      </c>
    </row>
    <row r="777" spans="1:8" x14ac:dyDescent="0.3">
      <c r="A777" s="17" t="s">
        <v>263</v>
      </c>
      <c r="B777" s="17">
        <v>3057</v>
      </c>
      <c r="C777" s="17">
        <v>3059</v>
      </c>
      <c r="D777" s="17">
        <v>3</v>
      </c>
      <c r="E777" s="17" t="s">
        <v>31</v>
      </c>
      <c r="F777" s="17" t="s">
        <v>33</v>
      </c>
      <c r="G777" s="18">
        <v>997.15180628653002</v>
      </c>
      <c r="H777" s="17" t="s">
        <v>1061</v>
      </c>
    </row>
    <row r="778" spans="1:8" x14ac:dyDescent="0.3">
      <c r="A778" s="17" t="s">
        <v>81</v>
      </c>
      <c r="B778" s="17">
        <v>3060</v>
      </c>
      <c r="C778" s="17">
        <v>3061</v>
      </c>
      <c r="D778" s="17">
        <v>2</v>
      </c>
      <c r="E778" s="17" t="s">
        <v>31</v>
      </c>
      <c r="F778" s="17" t="s">
        <v>33</v>
      </c>
      <c r="G778" s="18">
        <v>692.11051955106996</v>
      </c>
      <c r="H778" s="17" t="s">
        <v>1062</v>
      </c>
    </row>
    <row r="779" spans="1:8" x14ac:dyDescent="0.3">
      <c r="A779" s="17" t="s">
        <v>125</v>
      </c>
      <c r="B779" s="17">
        <v>3062</v>
      </c>
      <c r="C779" s="17">
        <v>3068</v>
      </c>
      <c r="D779" s="17">
        <v>7</v>
      </c>
      <c r="E779" s="17" t="s">
        <v>31</v>
      </c>
      <c r="F779" s="17" t="s">
        <v>33</v>
      </c>
      <c r="G779" s="18">
        <v>2232.31661887574</v>
      </c>
      <c r="H779" s="17" t="s">
        <v>1063</v>
      </c>
    </row>
    <row r="780" spans="1:8" x14ac:dyDescent="0.3">
      <c r="A780" s="17" t="s">
        <v>1064</v>
      </c>
      <c r="B780" s="17">
        <v>3069</v>
      </c>
      <c r="C780" s="17">
        <v>3075</v>
      </c>
      <c r="D780" s="17">
        <v>7</v>
      </c>
      <c r="E780" s="17" t="s">
        <v>31</v>
      </c>
      <c r="F780" s="17" t="s">
        <v>33</v>
      </c>
      <c r="G780" s="18">
        <v>2280.3390856543197</v>
      </c>
      <c r="H780" s="17" t="s">
        <v>1065</v>
      </c>
    </row>
    <row r="781" spans="1:8" x14ac:dyDescent="0.3">
      <c r="A781" s="17" t="s">
        <v>99</v>
      </c>
      <c r="B781" s="17">
        <v>3076</v>
      </c>
      <c r="C781" s="17">
        <v>3077</v>
      </c>
      <c r="D781" s="17">
        <v>2</v>
      </c>
      <c r="E781" s="17" t="s">
        <v>31</v>
      </c>
      <c r="F781" s="17" t="s">
        <v>33</v>
      </c>
      <c r="G781" s="18">
        <v>683.09895180914998</v>
      </c>
      <c r="H781" s="17" t="s">
        <v>1066</v>
      </c>
    </row>
    <row r="782" spans="1:8" x14ac:dyDescent="0.3">
      <c r="A782" s="17" t="s">
        <v>211</v>
      </c>
      <c r="B782" s="17">
        <v>3078</v>
      </c>
      <c r="C782" s="17">
        <v>3083</v>
      </c>
      <c r="D782" s="17">
        <v>6</v>
      </c>
      <c r="E782" s="17" t="s">
        <v>31</v>
      </c>
      <c r="F782" s="17" t="s">
        <v>33</v>
      </c>
      <c r="G782" s="18">
        <v>1936.2868998822</v>
      </c>
      <c r="H782" s="17" t="s">
        <v>1067</v>
      </c>
    </row>
    <row r="783" spans="1:8" x14ac:dyDescent="0.3">
      <c r="A783" s="17" t="s">
        <v>263</v>
      </c>
      <c r="B783" s="17">
        <v>3084</v>
      </c>
      <c r="C783" s="17">
        <v>3086</v>
      </c>
      <c r="D783" s="17">
        <v>3</v>
      </c>
      <c r="E783" s="17" t="s">
        <v>31</v>
      </c>
      <c r="F783" s="17" t="s">
        <v>33</v>
      </c>
      <c r="G783" s="18">
        <v>997.15180628653002</v>
      </c>
      <c r="H783" s="17" t="s">
        <v>1068</v>
      </c>
    </row>
    <row r="784" spans="1:8" x14ac:dyDescent="0.3">
      <c r="A784" s="17" t="s">
        <v>105</v>
      </c>
      <c r="B784" s="17">
        <v>3087</v>
      </c>
      <c r="C784" s="17">
        <v>3089</v>
      </c>
      <c r="D784" s="17">
        <v>3</v>
      </c>
      <c r="E784" s="17" t="s">
        <v>31</v>
      </c>
      <c r="F784" s="17" t="s">
        <v>33</v>
      </c>
      <c r="G784" s="18">
        <v>988.14023854460993</v>
      </c>
      <c r="H784" s="17" t="s">
        <v>1069</v>
      </c>
    </row>
    <row r="785" spans="1:8" x14ac:dyDescent="0.3">
      <c r="A785" s="17" t="s">
        <v>455</v>
      </c>
      <c r="B785" s="17">
        <v>3090</v>
      </c>
      <c r="C785" s="17">
        <v>3094</v>
      </c>
      <c r="D785" s="17">
        <v>5</v>
      </c>
      <c r="E785" s="17" t="s">
        <v>31</v>
      </c>
      <c r="F785" s="17" t="s">
        <v>33</v>
      </c>
      <c r="G785" s="18">
        <v>1646.2452787941102</v>
      </c>
      <c r="H785" s="17" t="s">
        <v>1070</v>
      </c>
    </row>
    <row r="786" spans="1:8" x14ac:dyDescent="0.3">
      <c r="A786" s="17" t="s">
        <v>81</v>
      </c>
      <c r="B786" s="17">
        <v>3095</v>
      </c>
      <c r="C786" s="17">
        <v>3096</v>
      </c>
      <c r="D786" s="17">
        <v>2</v>
      </c>
      <c r="E786" s="17" t="s">
        <v>31</v>
      </c>
      <c r="F786" s="17" t="s">
        <v>33</v>
      </c>
      <c r="G786" s="18">
        <v>692.11051955106996</v>
      </c>
      <c r="H786" s="17" t="s">
        <v>1071</v>
      </c>
    </row>
    <row r="787" spans="1:8" x14ac:dyDescent="0.3">
      <c r="A787" s="17" t="s">
        <v>364</v>
      </c>
      <c r="B787" s="17">
        <v>3097</v>
      </c>
      <c r="C787" s="17">
        <v>3099</v>
      </c>
      <c r="D787" s="17">
        <v>3</v>
      </c>
      <c r="E787" s="17" t="s">
        <v>31</v>
      </c>
      <c r="F787" s="17" t="s">
        <v>33</v>
      </c>
      <c r="G787" s="18">
        <v>973.14057289723996</v>
      </c>
      <c r="H787" s="17" t="s">
        <v>1072</v>
      </c>
    </row>
    <row r="788" spans="1:8" x14ac:dyDescent="0.3">
      <c r="A788" s="17" t="s">
        <v>364</v>
      </c>
      <c r="B788" s="17">
        <v>3100</v>
      </c>
      <c r="C788" s="17">
        <v>3102</v>
      </c>
      <c r="D788" s="17">
        <v>3</v>
      </c>
      <c r="E788" s="17" t="s">
        <v>31</v>
      </c>
      <c r="F788" s="17" t="s">
        <v>33</v>
      </c>
      <c r="G788" s="18">
        <v>973.14057289723996</v>
      </c>
      <c r="H788" s="17" t="s">
        <v>1073</v>
      </c>
    </row>
    <row r="789" spans="1:8" x14ac:dyDescent="0.3">
      <c r="A789" s="17" t="s">
        <v>81</v>
      </c>
      <c r="B789" s="17">
        <v>3103</v>
      </c>
      <c r="C789" s="17">
        <v>3104</v>
      </c>
      <c r="D789" s="17">
        <v>2</v>
      </c>
      <c r="E789" s="17" t="s">
        <v>31</v>
      </c>
      <c r="F789" s="17" t="s">
        <v>33</v>
      </c>
      <c r="G789" s="18">
        <v>692.11051955106996</v>
      </c>
      <c r="H789" s="17" t="s">
        <v>1074</v>
      </c>
    </row>
    <row r="790" spans="1:8" x14ac:dyDescent="0.3">
      <c r="A790" s="17" t="s">
        <v>1075</v>
      </c>
      <c r="B790" s="17">
        <v>3105</v>
      </c>
      <c r="C790" s="17">
        <v>3109</v>
      </c>
      <c r="D790" s="17">
        <v>5</v>
      </c>
      <c r="E790" s="17" t="s">
        <v>31</v>
      </c>
      <c r="F790" s="17" t="s">
        <v>33</v>
      </c>
      <c r="G790" s="18">
        <v>1661.2449444414801</v>
      </c>
      <c r="H790" s="17" t="s">
        <v>1076</v>
      </c>
    </row>
    <row r="791" spans="1:8" x14ac:dyDescent="0.3">
      <c r="A791" s="17" t="s">
        <v>81</v>
      </c>
      <c r="B791" s="17">
        <v>3110</v>
      </c>
      <c r="C791" s="17">
        <v>3111</v>
      </c>
      <c r="D791" s="17">
        <v>2</v>
      </c>
      <c r="E791" s="17" t="s">
        <v>31</v>
      </c>
      <c r="F791" s="17" t="s">
        <v>33</v>
      </c>
      <c r="G791" s="18">
        <v>692.11051955106996</v>
      </c>
      <c r="H791" s="17" t="s">
        <v>1077</v>
      </c>
    </row>
    <row r="792" spans="1:8" x14ac:dyDescent="0.3">
      <c r="A792" s="17" t="s">
        <v>108</v>
      </c>
      <c r="B792" s="17">
        <v>3112</v>
      </c>
      <c r="C792" s="17">
        <v>3117</v>
      </c>
      <c r="D792" s="17">
        <v>6</v>
      </c>
      <c r="E792" s="17" t="s">
        <v>31</v>
      </c>
      <c r="F792" s="17" t="s">
        <v>33</v>
      </c>
      <c r="G792" s="18">
        <v>1918.2637643983599</v>
      </c>
      <c r="H792" s="17" t="s">
        <v>1078</v>
      </c>
    </row>
    <row r="793" spans="1:8" x14ac:dyDescent="0.3">
      <c r="A793" s="17" t="s">
        <v>1079</v>
      </c>
      <c r="B793" s="17">
        <v>3118</v>
      </c>
      <c r="C793" s="17">
        <v>3125</v>
      </c>
      <c r="D793" s="17">
        <v>8</v>
      </c>
      <c r="E793" s="17" t="s">
        <v>31</v>
      </c>
      <c r="F793" s="17" t="s">
        <v>33</v>
      </c>
      <c r="G793" s="18">
        <v>2576.3688046478601</v>
      </c>
      <c r="H793" s="17" t="s">
        <v>1080</v>
      </c>
    </row>
    <row r="794" spans="1:8" x14ac:dyDescent="0.3">
      <c r="A794" s="17" t="s">
        <v>27</v>
      </c>
      <c r="B794" s="17">
        <v>3126</v>
      </c>
      <c r="C794" s="17">
        <v>3126</v>
      </c>
      <c r="D794" s="17">
        <v>1</v>
      </c>
      <c r="E794" s="17" t="s">
        <v>31</v>
      </c>
      <c r="F794" s="17" t="s">
        <v>33</v>
      </c>
      <c r="G794" s="18">
        <v>363.05799942632001</v>
      </c>
      <c r="H794" s="17" t="s">
        <v>1081</v>
      </c>
    </row>
    <row r="795" spans="1:8" x14ac:dyDescent="0.3">
      <c r="A795" s="17" t="s">
        <v>364</v>
      </c>
      <c r="B795" s="17">
        <v>3127</v>
      </c>
      <c r="C795" s="17">
        <v>3129</v>
      </c>
      <c r="D795" s="17">
        <v>3</v>
      </c>
      <c r="E795" s="17" t="s">
        <v>31</v>
      </c>
      <c r="F795" s="17" t="s">
        <v>33</v>
      </c>
      <c r="G795" s="18">
        <v>973.14057289723996</v>
      </c>
      <c r="H795" s="17" t="s">
        <v>1082</v>
      </c>
    </row>
    <row r="796" spans="1:8" x14ac:dyDescent="0.3">
      <c r="A796" s="17" t="s">
        <v>1083</v>
      </c>
      <c r="B796" s="17">
        <v>3130</v>
      </c>
      <c r="C796" s="17">
        <v>3137</v>
      </c>
      <c r="D796" s="17">
        <v>8</v>
      </c>
      <c r="E796" s="17" t="s">
        <v>31</v>
      </c>
      <c r="F796" s="17" t="s">
        <v>33</v>
      </c>
      <c r="G796" s="18">
        <v>2570.38070674241</v>
      </c>
      <c r="H796" s="17" t="s">
        <v>1084</v>
      </c>
    </row>
    <row r="797" spans="1:8" x14ac:dyDescent="0.3">
      <c r="A797" s="17" t="s">
        <v>249</v>
      </c>
      <c r="B797" s="17">
        <v>3138</v>
      </c>
      <c r="C797" s="17">
        <v>3140</v>
      </c>
      <c r="D797" s="17">
        <v>3</v>
      </c>
      <c r="E797" s="17" t="s">
        <v>31</v>
      </c>
      <c r="F797" s="17" t="s">
        <v>33</v>
      </c>
      <c r="G797" s="18">
        <v>1012.1514719339</v>
      </c>
      <c r="H797" s="17" t="s">
        <v>1085</v>
      </c>
    </row>
    <row r="798" spans="1:8" x14ac:dyDescent="0.3">
      <c r="A798" s="17" t="s">
        <v>675</v>
      </c>
      <c r="B798" s="17">
        <v>3141</v>
      </c>
      <c r="C798" s="17">
        <v>3144</v>
      </c>
      <c r="D798" s="17">
        <v>4</v>
      </c>
      <c r="E798" s="17" t="s">
        <v>31</v>
      </c>
      <c r="F798" s="17" t="s">
        <v>33</v>
      </c>
      <c r="G798" s="18">
        <v>1308.18119092744</v>
      </c>
      <c r="H798" s="17" t="s">
        <v>1086</v>
      </c>
    </row>
    <row r="799" spans="1:8" x14ac:dyDescent="0.3">
      <c r="A799" s="17" t="s">
        <v>81</v>
      </c>
      <c r="B799" s="17">
        <v>3145</v>
      </c>
      <c r="C799" s="17">
        <v>3146</v>
      </c>
      <c r="D799" s="17">
        <v>2</v>
      </c>
      <c r="E799" s="17" t="s">
        <v>31</v>
      </c>
      <c r="F799" s="17" t="s">
        <v>33</v>
      </c>
      <c r="G799" s="18">
        <v>692.11051955106996</v>
      </c>
      <c r="H799" s="17" t="s">
        <v>1087</v>
      </c>
    </row>
    <row r="800" spans="1:8" x14ac:dyDescent="0.3">
      <c r="A800" s="17" t="s">
        <v>99</v>
      </c>
      <c r="B800" s="17">
        <v>3147</v>
      </c>
      <c r="C800" s="17">
        <v>3148</v>
      </c>
      <c r="D800" s="17">
        <v>2</v>
      </c>
      <c r="E800" s="17" t="s">
        <v>31</v>
      </c>
      <c r="F800" s="17" t="s">
        <v>33</v>
      </c>
      <c r="G800" s="18">
        <v>683.09895180914998</v>
      </c>
      <c r="H800" s="17" t="s">
        <v>1088</v>
      </c>
    </row>
    <row r="801" spans="1:8" x14ac:dyDescent="0.3">
      <c r="A801" s="17" t="s">
        <v>99</v>
      </c>
      <c r="B801" s="17">
        <v>3149</v>
      </c>
      <c r="C801" s="17">
        <v>3150</v>
      </c>
      <c r="D801" s="17">
        <v>2</v>
      </c>
      <c r="E801" s="17" t="s">
        <v>31</v>
      </c>
      <c r="F801" s="17" t="s">
        <v>33</v>
      </c>
      <c r="G801" s="18">
        <v>683.09895180914998</v>
      </c>
      <c r="H801" s="17" t="s">
        <v>1089</v>
      </c>
    </row>
    <row r="802" spans="1:8" x14ac:dyDescent="0.3">
      <c r="A802" s="17" t="s">
        <v>99</v>
      </c>
      <c r="B802" s="17">
        <v>3151</v>
      </c>
      <c r="C802" s="17">
        <v>3152</v>
      </c>
      <c r="D802" s="17">
        <v>2</v>
      </c>
      <c r="E802" s="17" t="s">
        <v>31</v>
      </c>
      <c r="F802" s="17" t="s">
        <v>33</v>
      </c>
      <c r="G802" s="18">
        <v>683.09895180914998</v>
      </c>
      <c r="H802" s="17" t="s">
        <v>1090</v>
      </c>
    </row>
    <row r="803" spans="1:8" x14ac:dyDescent="0.3">
      <c r="A803" s="17" t="s">
        <v>105</v>
      </c>
      <c r="B803" s="17">
        <v>3153</v>
      </c>
      <c r="C803" s="17">
        <v>3155</v>
      </c>
      <c r="D803" s="17">
        <v>3</v>
      </c>
      <c r="E803" s="17" t="s">
        <v>31</v>
      </c>
      <c r="F803" s="17" t="s">
        <v>33</v>
      </c>
      <c r="G803" s="18">
        <v>988.14023854460993</v>
      </c>
      <c r="H803" s="17" t="s">
        <v>1091</v>
      </c>
    </row>
    <row r="804" spans="1:8" x14ac:dyDescent="0.3">
      <c r="A804" s="17" t="s">
        <v>27</v>
      </c>
      <c r="B804" s="17">
        <v>3156</v>
      </c>
      <c r="C804" s="17">
        <v>3156</v>
      </c>
      <c r="D804" s="17">
        <v>1</v>
      </c>
      <c r="E804" s="17" t="s">
        <v>31</v>
      </c>
      <c r="F804" s="17" t="s">
        <v>33</v>
      </c>
      <c r="G804" s="18">
        <v>363.05799942632001</v>
      </c>
      <c r="H804" s="17" t="s">
        <v>1092</v>
      </c>
    </row>
    <row r="805" spans="1:8" x14ac:dyDescent="0.3">
      <c r="A805" s="17" t="s">
        <v>27</v>
      </c>
      <c r="B805" s="17">
        <v>3157</v>
      </c>
      <c r="C805" s="17">
        <v>3157</v>
      </c>
      <c r="D805" s="17">
        <v>1</v>
      </c>
      <c r="E805" s="17" t="s">
        <v>31</v>
      </c>
      <c r="F805" s="17" t="s">
        <v>33</v>
      </c>
      <c r="G805" s="18">
        <v>363.05799942632001</v>
      </c>
      <c r="H805" s="17" t="s">
        <v>1093</v>
      </c>
    </row>
    <row r="806" spans="1:8" x14ac:dyDescent="0.3">
      <c r="A806" s="17" t="s">
        <v>114</v>
      </c>
      <c r="B806" s="17">
        <v>3158</v>
      </c>
      <c r="C806" s="17">
        <v>3161</v>
      </c>
      <c r="D806" s="17">
        <v>4</v>
      </c>
      <c r="E806" s="17" t="s">
        <v>31</v>
      </c>
      <c r="F806" s="17" t="s">
        <v>33</v>
      </c>
      <c r="G806" s="18">
        <v>1302.1930930219901</v>
      </c>
      <c r="H806" s="17" t="s">
        <v>1094</v>
      </c>
    </row>
    <row r="807" spans="1:8" x14ac:dyDescent="0.3">
      <c r="A807" s="17" t="s">
        <v>81</v>
      </c>
      <c r="B807" s="17">
        <v>3162</v>
      </c>
      <c r="C807" s="17">
        <v>3163</v>
      </c>
      <c r="D807" s="17">
        <v>2</v>
      </c>
      <c r="E807" s="17" t="s">
        <v>31</v>
      </c>
      <c r="F807" s="17" t="s">
        <v>33</v>
      </c>
      <c r="G807" s="18">
        <v>692.11051955106996</v>
      </c>
      <c r="H807" s="17" t="s">
        <v>1095</v>
      </c>
    </row>
    <row r="808" spans="1:8" x14ac:dyDescent="0.3">
      <c r="A808" s="17" t="s">
        <v>209</v>
      </c>
      <c r="B808" s="17">
        <v>3164</v>
      </c>
      <c r="C808" s="17">
        <v>3167</v>
      </c>
      <c r="D808" s="17">
        <v>4</v>
      </c>
      <c r="E808" s="17" t="s">
        <v>31</v>
      </c>
      <c r="F808" s="17" t="s">
        <v>33</v>
      </c>
      <c r="G808" s="18">
        <v>1326.2043264112801</v>
      </c>
      <c r="H808" s="17" t="s">
        <v>1096</v>
      </c>
    </row>
    <row r="809" spans="1:8" x14ac:dyDescent="0.3">
      <c r="A809" s="17" t="s">
        <v>81</v>
      </c>
      <c r="B809" s="17">
        <v>3168</v>
      </c>
      <c r="C809" s="17">
        <v>3169</v>
      </c>
      <c r="D809" s="17">
        <v>2</v>
      </c>
      <c r="E809" s="17" t="s">
        <v>31</v>
      </c>
      <c r="F809" s="17" t="s">
        <v>33</v>
      </c>
      <c r="G809" s="18">
        <v>692.11051955106996</v>
      </c>
      <c r="H809" s="17" t="s">
        <v>1097</v>
      </c>
    </row>
    <row r="810" spans="1:8" x14ac:dyDescent="0.3">
      <c r="A810" s="17" t="s">
        <v>81</v>
      </c>
      <c r="B810" s="17">
        <v>3170</v>
      </c>
      <c r="C810" s="17">
        <v>3171</v>
      </c>
      <c r="D810" s="17">
        <v>2</v>
      </c>
      <c r="E810" s="17" t="s">
        <v>31</v>
      </c>
      <c r="F810" s="17" t="s">
        <v>33</v>
      </c>
      <c r="G810" s="18">
        <v>692.11051955106996</v>
      </c>
      <c r="H810" s="17" t="s">
        <v>1098</v>
      </c>
    </row>
    <row r="811" spans="1:8" x14ac:dyDescent="0.3">
      <c r="A811" s="17" t="s">
        <v>99</v>
      </c>
      <c r="B811" s="17">
        <v>3172</v>
      </c>
      <c r="C811" s="17">
        <v>3173</v>
      </c>
      <c r="D811" s="17">
        <v>2</v>
      </c>
      <c r="E811" s="17" t="s">
        <v>31</v>
      </c>
      <c r="F811" s="17" t="s">
        <v>33</v>
      </c>
      <c r="G811" s="18">
        <v>683.09895180914998</v>
      </c>
      <c r="H811" s="17" t="s">
        <v>1099</v>
      </c>
    </row>
    <row r="812" spans="1:8" x14ac:dyDescent="0.3">
      <c r="A812" s="17" t="s">
        <v>27</v>
      </c>
      <c r="B812" s="17">
        <v>3174</v>
      </c>
      <c r="C812" s="17">
        <v>3174</v>
      </c>
      <c r="D812" s="17">
        <v>1</v>
      </c>
      <c r="E812" s="17" t="s">
        <v>31</v>
      </c>
      <c r="F812" s="17" t="s">
        <v>33</v>
      </c>
      <c r="G812" s="18">
        <v>363.05799942632001</v>
      </c>
      <c r="H812" s="17" t="s">
        <v>1100</v>
      </c>
    </row>
    <row r="813" spans="1:8" x14ac:dyDescent="0.3">
      <c r="A813" s="17" t="s">
        <v>1101</v>
      </c>
      <c r="B813" s="17">
        <v>3175</v>
      </c>
      <c r="C813" s="17">
        <v>3181</v>
      </c>
      <c r="D813" s="17">
        <v>7</v>
      </c>
      <c r="E813" s="17" t="s">
        <v>31</v>
      </c>
      <c r="F813" s="17" t="s">
        <v>33</v>
      </c>
      <c r="G813" s="18">
        <v>2277.3156158178499</v>
      </c>
      <c r="H813" s="17" t="s">
        <v>1102</v>
      </c>
    </row>
    <row r="814" spans="1:8" x14ac:dyDescent="0.3">
      <c r="A814" s="17" t="s">
        <v>132</v>
      </c>
      <c r="B814" s="17">
        <v>3182</v>
      </c>
      <c r="C814" s="17">
        <v>3183</v>
      </c>
      <c r="D814" s="17">
        <v>2</v>
      </c>
      <c r="E814" s="17" t="s">
        <v>31</v>
      </c>
      <c r="F814" s="17" t="s">
        <v>33</v>
      </c>
      <c r="G814" s="18">
        <v>668.09928616178001</v>
      </c>
      <c r="H814" s="17" t="s">
        <v>1103</v>
      </c>
    </row>
    <row r="815" spans="1:8" x14ac:dyDescent="0.3">
      <c r="A815" s="17" t="s">
        <v>27</v>
      </c>
      <c r="B815" s="17">
        <v>3184</v>
      </c>
      <c r="C815" s="17">
        <v>3184</v>
      </c>
      <c r="D815" s="17">
        <v>1</v>
      </c>
      <c r="E815" s="17" t="s">
        <v>31</v>
      </c>
      <c r="F815" s="17" t="s">
        <v>33</v>
      </c>
      <c r="G815" s="18">
        <v>363.05799942632001</v>
      </c>
      <c r="H815" s="17" t="s">
        <v>1104</v>
      </c>
    </row>
    <row r="816" spans="1:8" x14ac:dyDescent="0.3">
      <c r="A816" s="17" t="s">
        <v>209</v>
      </c>
      <c r="B816" s="17">
        <v>3185</v>
      </c>
      <c r="C816" s="17">
        <v>3188</v>
      </c>
      <c r="D816" s="17">
        <v>4</v>
      </c>
      <c r="E816" s="17" t="s">
        <v>31</v>
      </c>
      <c r="F816" s="17" t="s">
        <v>33</v>
      </c>
      <c r="G816" s="18">
        <v>1326.2043264112801</v>
      </c>
      <c r="H816" s="17" t="s">
        <v>1105</v>
      </c>
    </row>
    <row r="817" spans="1:8" x14ac:dyDescent="0.3">
      <c r="A817" s="17" t="s">
        <v>27</v>
      </c>
      <c r="B817" s="17">
        <v>3189</v>
      </c>
      <c r="C817" s="17">
        <v>3189</v>
      </c>
      <c r="D817" s="17">
        <v>1</v>
      </c>
      <c r="E817" s="17" t="s">
        <v>31</v>
      </c>
      <c r="F817" s="17" t="s">
        <v>33</v>
      </c>
      <c r="G817" s="18">
        <v>363.05799942632001</v>
      </c>
      <c r="H817" s="17" t="s">
        <v>1106</v>
      </c>
    </row>
    <row r="818" spans="1:8" x14ac:dyDescent="0.3">
      <c r="A818" s="17" t="s">
        <v>27</v>
      </c>
      <c r="B818" s="17">
        <v>3190</v>
      </c>
      <c r="C818" s="17">
        <v>3190</v>
      </c>
      <c r="D818" s="17">
        <v>1</v>
      </c>
      <c r="E818" s="17" t="s">
        <v>31</v>
      </c>
      <c r="F818" s="17" t="s">
        <v>33</v>
      </c>
      <c r="G818" s="18">
        <v>363.05799942632001</v>
      </c>
      <c r="H818" s="17" t="s">
        <v>1107</v>
      </c>
    </row>
    <row r="819" spans="1:8" x14ac:dyDescent="0.3">
      <c r="A819" s="17" t="s">
        <v>1108</v>
      </c>
      <c r="B819" s="17">
        <v>3191</v>
      </c>
      <c r="C819" s="17">
        <v>3200</v>
      </c>
      <c r="D819" s="17">
        <v>10</v>
      </c>
      <c r="E819" s="17" t="s">
        <v>31</v>
      </c>
      <c r="F819" s="17" t="s">
        <v>33</v>
      </c>
      <c r="G819" s="18">
        <v>3186.4513781187802</v>
      </c>
      <c r="H819" s="17" t="s">
        <v>1109</v>
      </c>
    </row>
    <row r="820" spans="1:8" x14ac:dyDescent="0.3">
      <c r="A820" s="17" t="s">
        <v>249</v>
      </c>
      <c r="B820" s="17">
        <v>3201</v>
      </c>
      <c r="C820" s="17">
        <v>3203</v>
      </c>
      <c r="D820" s="17">
        <v>3</v>
      </c>
      <c r="E820" s="17" t="s">
        <v>31</v>
      </c>
      <c r="F820" s="17" t="s">
        <v>33</v>
      </c>
      <c r="G820" s="18">
        <v>1012.1514719339</v>
      </c>
      <c r="H820" s="17" t="s">
        <v>1110</v>
      </c>
    </row>
    <row r="821" spans="1:8" x14ac:dyDescent="0.3">
      <c r="A821" s="17" t="s">
        <v>81</v>
      </c>
      <c r="B821" s="17">
        <v>3204</v>
      </c>
      <c r="C821" s="17">
        <v>3205</v>
      </c>
      <c r="D821" s="17">
        <v>2</v>
      </c>
      <c r="E821" s="17" t="s">
        <v>31</v>
      </c>
      <c r="F821" s="17" t="s">
        <v>33</v>
      </c>
      <c r="G821" s="18">
        <v>692.11051955106996</v>
      </c>
      <c r="H821" s="17" t="s">
        <v>1111</v>
      </c>
    </row>
    <row r="822" spans="1:8" x14ac:dyDescent="0.3">
      <c r="A822" s="17" t="s">
        <v>1112</v>
      </c>
      <c r="B822" s="17">
        <v>3206</v>
      </c>
      <c r="C822" s="17">
        <v>3215</v>
      </c>
      <c r="D822" s="17">
        <v>10</v>
      </c>
      <c r="E822" s="17" t="s">
        <v>31</v>
      </c>
      <c r="F822" s="17" t="s">
        <v>33</v>
      </c>
      <c r="G822" s="18">
        <v>3177.4398103768599</v>
      </c>
      <c r="H822" s="17" t="s">
        <v>1113</v>
      </c>
    </row>
    <row r="823" spans="1:8" x14ac:dyDescent="0.3">
      <c r="A823" s="17" t="s">
        <v>675</v>
      </c>
      <c r="B823" s="17">
        <v>3216</v>
      </c>
      <c r="C823" s="17">
        <v>3219</v>
      </c>
      <c r="D823" s="17">
        <v>4</v>
      </c>
      <c r="E823" s="17" t="s">
        <v>31</v>
      </c>
      <c r="F823" s="17" t="s">
        <v>33</v>
      </c>
      <c r="G823" s="18">
        <v>1308.18119092744</v>
      </c>
      <c r="H823" s="17" t="s">
        <v>1114</v>
      </c>
    </row>
    <row r="824" spans="1:8" x14ac:dyDescent="0.3">
      <c r="A824" s="17" t="s">
        <v>1115</v>
      </c>
      <c r="B824" s="17">
        <v>3220</v>
      </c>
      <c r="C824" s="17">
        <v>3228</v>
      </c>
      <c r="D824" s="17">
        <v>9</v>
      </c>
      <c r="E824" s="17" t="s">
        <v>31</v>
      </c>
      <c r="F824" s="17" t="s">
        <v>33</v>
      </c>
      <c r="G824" s="18">
        <v>2842.3991923466597</v>
      </c>
      <c r="H824" s="17" t="s">
        <v>1116</v>
      </c>
    </row>
    <row r="825" spans="1:8" x14ac:dyDescent="0.3">
      <c r="A825" s="17" t="s">
        <v>27</v>
      </c>
      <c r="B825" s="17">
        <v>3229</v>
      </c>
      <c r="C825" s="17">
        <v>3229</v>
      </c>
      <c r="D825" s="17">
        <v>1</v>
      </c>
      <c r="E825" s="17" t="s">
        <v>31</v>
      </c>
      <c r="F825" s="17" t="s">
        <v>33</v>
      </c>
      <c r="G825" s="18">
        <v>363.05799942632001</v>
      </c>
      <c r="H825" s="17" t="s">
        <v>1117</v>
      </c>
    </row>
    <row r="826" spans="1:8" x14ac:dyDescent="0.3">
      <c r="A826" s="17" t="s">
        <v>132</v>
      </c>
      <c r="B826" s="17">
        <v>3230</v>
      </c>
      <c r="C826" s="17">
        <v>3231</v>
      </c>
      <c r="D826" s="17">
        <v>2</v>
      </c>
      <c r="E826" s="17" t="s">
        <v>31</v>
      </c>
      <c r="F826" s="17" t="s">
        <v>33</v>
      </c>
      <c r="G826" s="18">
        <v>668.09928616178001</v>
      </c>
      <c r="H826" s="17" t="s">
        <v>1118</v>
      </c>
    </row>
    <row r="827" spans="1:8" x14ac:dyDescent="0.3">
      <c r="A827" s="17" t="s">
        <v>99</v>
      </c>
      <c r="B827" s="17">
        <v>3232</v>
      </c>
      <c r="C827" s="17">
        <v>3233</v>
      </c>
      <c r="D827" s="17">
        <v>2</v>
      </c>
      <c r="E827" s="17" t="s">
        <v>31</v>
      </c>
      <c r="F827" s="17" t="s">
        <v>33</v>
      </c>
      <c r="G827" s="18">
        <v>683.09895180914998</v>
      </c>
      <c r="H827" s="17" t="s">
        <v>1119</v>
      </c>
    </row>
    <row r="828" spans="1:8" x14ac:dyDescent="0.3">
      <c r="A828" s="17" t="s">
        <v>27</v>
      </c>
      <c r="B828" s="17">
        <v>3234</v>
      </c>
      <c r="C828" s="17">
        <v>3234</v>
      </c>
      <c r="D828" s="17">
        <v>1</v>
      </c>
      <c r="E828" s="17" t="s">
        <v>31</v>
      </c>
      <c r="F828" s="17" t="s">
        <v>33</v>
      </c>
      <c r="G828" s="18">
        <v>363.05799942632001</v>
      </c>
      <c r="H828" s="17" t="s">
        <v>1120</v>
      </c>
    </row>
    <row r="829" spans="1:8" x14ac:dyDescent="0.3">
      <c r="A829" s="17" t="s">
        <v>99</v>
      </c>
      <c r="B829" s="17">
        <v>3235</v>
      </c>
      <c r="C829" s="17">
        <v>3236</v>
      </c>
      <c r="D829" s="17">
        <v>2</v>
      </c>
      <c r="E829" s="17" t="s">
        <v>31</v>
      </c>
      <c r="F829" s="17" t="s">
        <v>33</v>
      </c>
      <c r="G829" s="18">
        <v>683.09895180914998</v>
      </c>
      <c r="H829" s="17" t="s">
        <v>1121</v>
      </c>
    </row>
    <row r="830" spans="1:8" x14ac:dyDescent="0.3">
      <c r="A830" s="17" t="s">
        <v>1122</v>
      </c>
      <c r="B830" s="17">
        <v>3237</v>
      </c>
      <c r="C830" s="17">
        <v>3242</v>
      </c>
      <c r="D830" s="17">
        <v>6</v>
      </c>
      <c r="E830" s="17" t="s">
        <v>31</v>
      </c>
      <c r="F830" s="17" t="s">
        <v>33</v>
      </c>
      <c r="G830" s="18">
        <v>1948.2630956930998</v>
      </c>
      <c r="H830" s="17" t="s">
        <v>1123</v>
      </c>
    </row>
    <row r="831" spans="1:8" x14ac:dyDescent="0.3">
      <c r="A831" s="17" t="s">
        <v>734</v>
      </c>
      <c r="B831" s="17">
        <v>3243</v>
      </c>
      <c r="C831" s="17">
        <v>3246</v>
      </c>
      <c r="D831" s="17">
        <v>4</v>
      </c>
      <c r="E831" s="17" t="s">
        <v>31</v>
      </c>
      <c r="F831" s="17" t="s">
        <v>33</v>
      </c>
      <c r="G831" s="18">
        <v>1302.1930930219901</v>
      </c>
      <c r="H831" s="17" t="s">
        <v>1124</v>
      </c>
    </row>
    <row r="832" spans="1:8" x14ac:dyDescent="0.3">
      <c r="A832" s="17" t="s">
        <v>99</v>
      </c>
      <c r="B832" s="17">
        <v>3247</v>
      </c>
      <c r="C832" s="17">
        <v>3248</v>
      </c>
      <c r="D832" s="17">
        <v>2</v>
      </c>
      <c r="E832" s="17" t="s">
        <v>31</v>
      </c>
      <c r="F832" s="17" t="s">
        <v>33</v>
      </c>
      <c r="G832" s="18">
        <v>683.09895180914998</v>
      </c>
      <c r="H832" s="17" t="s">
        <v>1125</v>
      </c>
    </row>
    <row r="833" spans="1:8" x14ac:dyDescent="0.3">
      <c r="A833" s="17" t="s">
        <v>1126</v>
      </c>
      <c r="B833" s="17">
        <v>3249</v>
      </c>
      <c r="C833" s="17">
        <v>3255</v>
      </c>
      <c r="D833" s="17">
        <v>7</v>
      </c>
      <c r="E833" s="17" t="s">
        <v>31</v>
      </c>
      <c r="F833" s="17" t="s">
        <v>33</v>
      </c>
      <c r="G833" s="18">
        <v>2295.3387513016901</v>
      </c>
      <c r="H833" s="17" t="s">
        <v>1127</v>
      </c>
    </row>
    <row r="834" spans="1:8" x14ac:dyDescent="0.3">
      <c r="A834" s="17" t="s">
        <v>99</v>
      </c>
      <c r="B834" s="17">
        <v>3256</v>
      </c>
      <c r="C834" s="17">
        <v>3257</v>
      </c>
      <c r="D834" s="17">
        <v>2</v>
      </c>
      <c r="E834" s="17" t="s">
        <v>31</v>
      </c>
      <c r="F834" s="17" t="s">
        <v>33</v>
      </c>
      <c r="G834" s="18">
        <v>683.09895180914998</v>
      </c>
      <c r="H834" s="17" t="s">
        <v>1128</v>
      </c>
    </row>
    <row r="835" spans="1:8" x14ac:dyDescent="0.3">
      <c r="A835" s="17" t="s">
        <v>517</v>
      </c>
      <c r="B835" s="17">
        <v>3258</v>
      </c>
      <c r="C835" s="17">
        <v>3261</v>
      </c>
      <c r="D835" s="17">
        <v>4</v>
      </c>
      <c r="E835" s="17" t="s">
        <v>31</v>
      </c>
      <c r="F835" s="17" t="s">
        <v>33</v>
      </c>
      <c r="G835" s="18">
        <v>1278.1818596327</v>
      </c>
      <c r="H835" s="17" t="s">
        <v>1129</v>
      </c>
    </row>
    <row r="836" spans="1:8" x14ac:dyDescent="0.3">
      <c r="A836" s="17" t="s">
        <v>1130</v>
      </c>
      <c r="B836" s="17">
        <v>3262</v>
      </c>
      <c r="C836" s="17">
        <v>3267</v>
      </c>
      <c r="D836" s="17">
        <v>6</v>
      </c>
      <c r="E836" s="17" t="s">
        <v>31</v>
      </c>
      <c r="F836" s="17" t="s">
        <v>33</v>
      </c>
      <c r="G836" s="18">
        <v>1951.2865655295702</v>
      </c>
      <c r="H836" s="17" t="s">
        <v>1131</v>
      </c>
    </row>
    <row r="837" spans="1:8" x14ac:dyDescent="0.3">
      <c r="A837" s="17" t="s">
        <v>81</v>
      </c>
      <c r="B837" s="17">
        <v>3268</v>
      </c>
      <c r="C837" s="17">
        <v>3269</v>
      </c>
      <c r="D837" s="17">
        <v>2</v>
      </c>
      <c r="E837" s="17" t="s">
        <v>31</v>
      </c>
      <c r="F837" s="17" t="s">
        <v>33</v>
      </c>
      <c r="G837" s="18">
        <v>692.11051955106996</v>
      </c>
      <c r="H837" s="17" t="s">
        <v>1132</v>
      </c>
    </row>
    <row r="838" spans="1:8" x14ac:dyDescent="0.3">
      <c r="A838" s="17" t="s">
        <v>193</v>
      </c>
      <c r="B838" s="17">
        <v>3270</v>
      </c>
      <c r="C838" s="17">
        <v>3272</v>
      </c>
      <c r="D838" s="17">
        <v>3</v>
      </c>
      <c r="E838" s="17" t="s">
        <v>31</v>
      </c>
      <c r="F838" s="17" t="s">
        <v>33</v>
      </c>
      <c r="G838" s="18">
        <v>1021.1630396758201</v>
      </c>
      <c r="H838" s="17" t="s">
        <v>1133</v>
      </c>
    </row>
    <row r="839" spans="1:8" x14ac:dyDescent="0.3">
      <c r="A839" s="17" t="s">
        <v>1134</v>
      </c>
      <c r="B839" s="17">
        <v>3273</v>
      </c>
      <c r="C839" s="17">
        <v>3285</v>
      </c>
      <c r="D839" s="17">
        <v>13</v>
      </c>
      <c r="E839" s="17" t="s">
        <v>31</v>
      </c>
      <c r="F839" s="17" t="s">
        <v>33</v>
      </c>
      <c r="G839" s="18">
        <v>4164.5973707511102</v>
      </c>
      <c r="H839" s="17" t="s">
        <v>1135</v>
      </c>
    </row>
    <row r="840" spans="1:8" x14ac:dyDescent="0.3">
      <c r="A840" s="17" t="s">
        <v>1136</v>
      </c>
      <c r="B840" s="17">
        <v>3286</v>
      </c>
      <c r="C840" s="17">
        <v>3291</v>
      </c>
      <c r="D840" s="17">
        <v>6</v>
      </c>
      <c r="E840" s="17" t="s">
        <v>31</v>
      </c>
      <c r="F840" s="17" t="s">
        <v>33</v>
      </c>
      <c r="G840" s="18">
        <v>1927.2753321402799</v>
      </c>
      <c r="H840" s="17" t="s">
        <v>1137</v>
      </c>
    </row>
    <row r="841" spans="1:8" x14ac:dyDescent="0.3">
      <c r="A841" s="17" t="s">
        <v>1138</v>
      </c>
      <c r="B841" s="17">
        <v>3292</v>
      </c>
      <c r="C841" s="17">
        <v>3298</v>
      </c>
      <c r="D841" s="17">
        <v>7</v>
      </c>
      <c r="E841" s="17" t="s">
        <v>31</v>
      </c>
      <c r="F841" s="17" t="s">
        <v>33</v>
      </c>
      <c r="G841" s="18">
        <v>2247.31628452311</v>
      </c>
      <c r="H841" s="17" t="s">
        <v>1139</v>
      </c>
    </row>
    <row r="842" spans="1:8" x14ac:dyDescent="0.3">
      <c r="A842" s="17" t="s">
        <v>1140</v>
      </c>
      <c r="B842" s="17">
        <v>3299</v>
      </c>
      <c r="C842" s="17">
        <v>3303</v>
      </c>
      <c r="D842" s="17">
        <v>5</v>
      </c>
      <c r="E842" s="17" t="s">
        <v>31</v>
      </c>
      <c r="F842" s="17" t="s">
        <v>33</v>
      </c>
      <c r="G842" s="18">
        <v>1607.2343797574499</v>
      </c>
      <c r="H842" s="17" t="s">
        <v>1141</v>
      </c>
    </row>
    <row r="843" spans="1:8" x14ac:dyDescent="0.3">
      <c r="A843" s="17" t="s">
        <v>181</v>
      </c>
      <c r="B843" s="17">
        <v>3304</v>
      </c>
      <c r="C843" s="17">
        <v>3306</v>
      </c>
      <c r="D843" s="17">
        <v>3</v>
      </c>
      <c r="E843" s="17" t="s">
        <v>31</v>
      </c>
      <c r="F843" s="17" t="s">
        <v>33</v>
      </c>
      <c r="G843" s="18">
        <v>997.15180628653002</v>
      </c>
      <c r="H843" s="17" t="s">
        <v>1142</v>
      </c>
    </row>
    <row r="844" spans="1:8" x14ac:dyDescent="0.3">
      <c r="A844" s="17" t="s">
        <v>27</v>
      </c>
      <c r="B844" s="17">
        <v>3307</v>
      </c>
      <c r="C844" s="17">
        <v>3307</v>
      </c>
      <c r="D844" s="17">
        <v>1</v>
      </c>
      <c r="E844" s="17" t="s">
        <v>31</v>
      </c>
      <c r="F844" s="17" t="s">
        <v>33</v>
      </c>
      <c r="G844" s="18">
        <v>363.05799942632001</v>
      </c>
      <c r="H844" s="17" t="s">
        <v>1143</v>
      </c>
    </row>
    <row r="845" spans="1:8" x14ac:dyDescent="0.3">
      <c r="A845" s="17" t="s">
        <v>1144</v>
      </c>
      <c r="B845" s="17">
        <v>3308</v>
      </c>
      <c r="C845" s="17">
        <v>3312</v>
      </c>
      <c r="D845" s="17">
        <v>5</v>
      </c>
      <c r="E845" s="17" t="s">
        <v>31</v>
      </c>
      <c r="F845" s="17" t="s">
        <v>33</v>
      </c>
      <c r="G845" s="18">
        <v>1655.25684653603</v>
      </c>
      <c r="H845" s="17" t="s">
        <v>1145</v>
      </c>
    </row>
    <row r="846" spans="1:8" x14ac:dyDescent="0.3">
      <c r="A846" s="17" t="s">
        <v>1146</v>
      </c>
      <c r="B846" s="17">
        <v>3313</v>
      </c>
      <c r="C846" s="17">
        <v>3325</v>
      </c>
      <c r="D846" s="17">
        <v>13</v>
      </c>
      <c r="E846" s="17" t="s">
        <v>31</v>
      </c>
      <c r="F846" s="17" t="s">
        <v>33</v>
      </c>
      <c r="G846" s="18">
        <v>4131.5745696199001</v>
      </c>
      <c r="H846" s="17" t="s">
        <v>1147</v>
      </c>
    </row>
    <row r="847" spans="1:8" x14ac:dyDescent="0.3">
      <c r="A847" s="17" t="s">
        <v>81</v>
      </c>
      <c r="B847" s="17">
        <v>3326</v>
      </c>
      <c r="C847" s="17">
        <v>3327</v>
      </c>
      <c r="D847" s="17">
        <v>2</v>
      </c>
      <c r="E847" s="17" t="s">
        <v>31</v>
      </c>
      <c r="F847" s="17" t="s">
        <v>33</v>
      </c>
      <c r="G847" s="18">
        <v>692.11051955106996</v>
      </c>
      <c r="H847" s="17" t="s">
        <v>1148</v>
      </c>
    </row>
    <row r="848" spans="1:8" x14ac:dyDescent="0.3">
      <c r="A848" s="17" t="s">
        <v>193</v>
      </c>
      <c r="B848" s="17">
        <v>3328</v>
      </c>
      <c r="C848" s="17">
        <v>3330</v>
      </c>
      <c r="D848" s="17">
        <v>3</v>
      </c>
      <c r="E848" s="17" t="s">
        <v>31</v>
      </c>
      <c r="F848" s="17" t="s">
        <v>33</v>
      </c>
      <c r="G848" s="18">
        <v>1021.1630396758201</v>
      </c>
      <c r="H848" s="17" t="s">
        <v>1149</v>
      </c>
    </row>
    <row r="849" spans="1:8" x14ac:dyDescent="0.3">
      <c r="A849" s="17" t="s">
        <v>27</v>
      </c>
      <c r="B849" s="17">
        <v>3331</v>
      </c>
      <c r="C849" s="17">
        <v>3331</v>
      </c>
      <c r="D849" s="17">
        <v>1</v>
      </c>
      <c r="E849" s="17" t="s">
        <v>31</v>
      </c>
      <c r="F849" s="17" t="s">
        <v>33</v>
      </c>
      <c r="G849" s="18">
        <v>363.05799942632001</v>
      </c>
      <c r="H849" s="17" t="s">
        <v>1150</v>
      </c>
    </row>
    <row r="850" spans="1:8" x14ac:dyDescent="0.3">
      <c r="A850" s="17" t="s">
        <v>132</v>
      </c>
      <c r="B850" s="17">
        <v>3332</v>
      </c>
      <c r="C850" s="17">
        <v>3333</v>
      </c>
      <c r="D850" s="17">
        <v>2</v>
      </c>
      <c r="E850" s="17" t="s">
        <v>31</v>
      </c>
      <c r="F850" s="17" t="s">
        <v>33</v>
      </c>
      <c r="G850" s="18">
        <v>668.09928616178001</v>
      </c>
      <c r="H850" s="17" t="s">
        <v>1151</v>
      </c>
    </row>
    <row r="851" spans="1:8" x14ac:dyDescent="0.3">
      <c r="A851" s="17" t="s">
        <v>99</v>
      </c>
      <c r="B851" s="17">
        <v>3334</v>
      </c>
      <c r="C851" s="17">
        <v>3335</v>
      </c>
      <c r="D851" s="17">
        <v>2</v>
      </c>
      <c r="E851" s="17" t="s">
        <v>31</v>
      </c>
      <c r="F851" s="17" t="s">
        <v>33</v>
      </c>
      <c r="G851" s="18">
        <v>683.09895180914998</v>
      </c>
      <c r="H851" s="17" t="s">
        <v>1152</v>
      </c>
    </row>
    <row r="852" spans="1:8" x14ac:dyDescent="0.3">
      <c r="A852" s="17" t="s">
        <v>97</v>
      </c>
      <c r="B852" s="17">
        <v>3336</v>
      </c>
      <c r="C852" s="17">
        <v>3339</v>
      </c>
      <c r="D852" s="17">
        <v>4</v>
      </c>
      <c r="E852" s="17" t="s">
        <v>31</v>
      </c>
      <c r="F852" s="17" t="s">
        <v>33</v>
      </c>
      <c r="G852" s="18">
        <v>1308.18119092744</v>
      </c>
      <c r="H852" s="17" t="s">
        <v>1153</v>
      </c>
    </row>
    <row r="853" spans="1:8" x14ac:dyDescent="0.3">
      <c r="A853" s="17" t="s">
        <v>99</v>
      </c>
      <c r="B853" s="17">
        <v>3340</v>
      </c>
      <c r="C853" s="17">
        <v>3341</v>
      </c>
      <c r="D853" s="17">
        <v>2</v>
      </c>
      <c r="E853" s="17" t="s">
        <v>31</v>
      </c>
      <c r="F853" s="17" t="s">
        <v>33</v>
      </c>
      <c r="G853" s="18">
        <v>683.09895180914998</v>
      </c>
      <c r="H853" s="17" t="s">
        <v>1154</v>
      </c>
    </row>
    <row r="854" spans="1:8" x14ac:dyDescent="0.3">
      <c r="A854" s="17" t="s">
        <v>1155</v>
      </c>
      <c r="B854" s="17">
        <v>3342</v>
      </c>
      <c r="C854" s="17">
        <v>3348</v>
      </c>
      <c r="D854" s="17">
        <v>7</v>
      </c>
      <c r="E854" s="17" t="s">
        <v>31</v>
      </c>
      <c r="F854" s="17" t="s">
        <v>33</v>
      </c>
      <c r="G854" s="18">
        <v>2256.3278522650298</v>
      </c>
      <c r="H854" s="17" t="s">
        <v>1156</v>
      </c>
    </row>
    <row r="855" spans="1:8" x14ac:dyDescent="0.3">
      <c r="A855" s="17" t="s">
        <v>27</v>
      </c>
      <c r="B855" s="17">
        <v>3349</v>
      </c>
      <c r="C855" s="17">
        <v>3349</v>
      </c>
      <c r="D855" s="17">
        <v>1</v>
      </c>
      <c r="E855" s="17" t="s">
        <v>31</v>
      </c>
      <c r="F855" s="17" t="s">
        <v>33</v>
      </c>
      <c r="G855" s="18">
        <v>363.05799942632001</v>
      </c>
      <c r="H855" s="17" t="s">
        <v>1157</v>
      </c>
    </row>
    <row r="856" spans="1:8" x14ac:dyDescent="0.3">
      <c r="A856" s="17" t="s">
        <v>1158</v>
      </c>
      <c r="B856" s="17">
        <v>3350</v>
      </c>
      <c r="C856" s="17">
        <v>3358</v>
      </c>
      <c r="D856" s="17">
        <v>9</v>
      </c>
      <c r="E856" s="17" t="s">
        <v>31</v>
      </c>
      <c r="F856" s="17" t="s">
        <v>33</v>
      </c>
      <c r="G856" s="18">
        <v>2881.4100913833204</v>
      </c>
      <c r="H856" s="17" t="s">
        <v>1159</v>
      </c>
    </row>
    <row r="857" spans="1:8" x14ac:dyDescent="0.3">
      <c r="A857" s="17" t="s">
        <v>27</v>
      </c>
      <c r="B857" s="17">
        <v>3359</v>
      </c>
      <c r="C857" s="17">
        <v>3359</v>
      </c>
      <c r="D857" s="17">
        <v>1</v>
      </c>
      <c r="E857" s="17" t="s">
        <v>31</v>
      </c>
      <c r="F857" s="17" t="s">
        <v>33</v>
      </c>
      <c r="G857" s="18">
        <v>363.05799942632001</v>
      </c>
      <c r="H857" s="17" t="s">
        <v>1160</v>
      </c>
    </row>
    <row r="858" spans="1:8" x14ac:dyDescent="0.3">
      <c r="A858" s="17" t="s">
        <v>97</v>
      </c>
      <c r="B858" s="17">
        <v>3360</v>
      </c>
      <c r="C858" s="17">
        <v>3363</v>
      </c>
      <c r="D858" s="17">
        <v>4</v>
      </c>
      <c r="E858" s="17" t="s">
        <v>31</v>
      </c>
      <c r="F858" s="17" t="s">
        <v>33</v>
      </c>
      <c r="G858" s="18">
        <v>1308.18119092744</v>
      </c>
      <c r="H858" s="17" t="s">
        <v>1161</v>
      </c>
    </row>
    <row r="859" spans="1:8" x14ac:dyDescent="0.3">
      <c r="A859" s="17" t="s">
        <v>99</v>
      </c>
      <c r="B859" s="17">
        <v>3364</v>
      </c>
      <c r="C859" s="17">
        <v>3365</v>
      </c>
      <c r="D859" s="17">
        <v>2</v>
      </c>
      <c r="E859" s="17" t="s">
        <v>31</v>
      </c>
      <c r="F859" s="17" t="s">
        <v>33</v>
      </c>
      <c r="G859" s="18">
        <v>683.09895180914998</v>
      </c>
      <c r="H859" s="17" t="s">
        <v>1162</v>
      </c>
    </row>
    <row r="860" spans="1:8" x14ac:dyDescent="0.3">
      <c r="A860" s="17" t="s">
        <v>755</v>
      </c>
      <c r="B860" s="17">
        <v>3366</v>
      </c>
      <c r="C860" s="17">
        <v>3371</v>
      </c>
      <c r="D860" s="17">
        <v>6</v>
      </c>
      <c r="E860" s="17" t="s">
        <v>31</v>
      </c>
      <c r="F860" s="17" t="s">
        <v>33</v>
      </c>
      <c r="G860" s="18">
        <v>1960.2981332714899</v>
      </c>
      <c r="H860" s="17" t="s">
        <v>1163</v>
      </c>
    </row>
    <row r="861" spans="1:8" x14ac:dyDescent="0.3">
      <c r="A861" s="17" t="s">
        <v>132</v>
      </c>
      <c r="B861" s="17">
        <v>3372</v>
      </c>
      <c r="C861" s="17">
        <v>3373</v>
      </c>
      <c r="D861" s="17">
        <v>2</v>
      </c>
      <c r="E861" s="17" t="s">
        <v>31</v>
      </c>
      <c r="F861" s="17" t="s">
        <v>33</v>
      </c>
      <c r="G861" s="18">
        <v>668.09928616178001</v>
      </c>
      <c r="H861" s="17" t="s">
        <v>1164</v>
      </c>
    </row>
    <row r="862" spans="1:8" x14ac:dyDescent="0.3">
      <c r="A862" s="17" t="s">
        <v>27</v>
      </c>
      <c r="B862" s="17">
        <v>3374</v>
      </c>
      <c r="C862" s="17">
        <v>3374</v>
      </c>
      <c r="D862" s="17">
        <v>1</v>
      </c>
      <c r="E862" s="17" t="s">
        <v>31</v>
      </c>
      <c r="F862" s="17" t="s">
        <v>33</v>
      </c>
      <c r="G862" s="18">
        <v>363.05799942632001</v>
      </c>
      <c r="H862" s="17" t="s">
        <v>1165</v>
      </c>
    </row>
    <row r="863" spans="1:8" x14ac:dyDescent="0.3">
      <c r="A863" s="17" t="s">
        <v>1166</v>
      </c>
      <c r="B863" s="17">
        <v>3375</v>
      </c>
      <c r="C863" s="17">
        <v>3384</v>
      </c>
      <c r="D863" s="17">
        <v>10</v>
      </c>
      <c r="E863" s="17" t="s">
        <v>31</v>
      </c>
      <c r="F863" s="17" t="s">
        <v>33</v>
      </c>
      <c r="G863" s="18">
        <v>3225.4622771554396</v>
      </c>
      <c r="H863" s="17" t="s">
        <v>1167</v>
      </c>
    </row>
    <row r="864" spans="1:8" x14ac:dyDescent="0.3">
      <c r="A864" s="17" t="s">
        <v>81</v>
      </c>
      <c r="B864" s="17">
        <v>3385</v>
      </c>
      <c r="C864" s="17">
        <v>3386</v>
      </c>
      <c r="D864" s="17">
        <v>2</v>
      </c>
      <c r="E864" s="17" t="s">
        <v>31</v>
      </c>
      <c r="F864" s="17" t="s">
        <v>33</v>
      </c>
      <c r="G864" s="18">
        <v>692.11051955106996</v>
      </c>
      <c r="H864" s="17" t="s">
        <v>1168</v>
      </c>
    </row>
    <row r="865" spans="1:8" x14ac:dyDescent="0.3">
      <c r="A865" s="17" t="s">
        <v>1169</v>
      </c>
      <c r="B865" s="17">
        <v>3387</v>
      </c>
      <c r="C865" s="17">
        <v>3392</v>
      </c>
      <c r="D865" s="17">
        <v>6</v>
      </c>
      <c r="E865" s="17" t="s">
        <v>31</v>
      </c>
      <c r="F865" s="17" t="s">
        <v>33</v>
      </c>
      <c r="G865" s="18">
        <v>1912.27566649291</v>
      </c>
      <c r="H865" s="17" t="s">
        <v>1170</v>
      </c>
    </row>
    <row r="866" spans="1:8" x14ac:dyDescent="0.3">
      <c r="A866" s="17" t="s">
        <v>1171</v>
      </c>
      <c r="B866" s="17">
        <v>3393</v>
      </c>
      <c r="C866" s="17">
        <v>3405</v>
      </c>
      <c r="D866" s="17">
        <v>13</v>
      </c>
      <c r="E866" s="17" t="s">
        <v>31</v>
      </c>
      <c r="F866" s="17" t="s">
        <v>33</v>
      </c>
      <c r="G866" s="18">
        <v>4149.5977051037398</v>
      </c>
      <c r="H866" s="17" t="s">
        <v>1172</v>
      </c>
    </row>
    <row r="867" spans="1:8" x14ac:dyDescent="0.3">
      <c r="A867" s="17" t="s">
        <v>1173</v>
      </c>
      <c r="B867" s="17">
        <v>3406</v>
      </c>
      <c r="C867" s="17">
        <v>3417</v>
      </c>
      <c r="D867" s="17">
        <v>12</v>
      </c>
      <c r="E867" s="17" t="s">
        <v>31</v>
      </c>
      <c r="F867" s="17" t="s">
        <v>33</v>
      </c>
      <c r="G867" s="18">
        <v>3844.5564183682804</v>
      </c>
      <c r="H867" s="17" t="s">
        <v>1174</v>
      </c>
    </row>
    <row r="868" spans="1:8" x14ac:dyDescent="0.3">
      <c r="A868" s="17" t="s">
        <v>99</v>
      </c>
      <c r="B868" s="17">
        <v>3418</v>
      </c>
      <c r="C868" s="17">
        <v>3419</v>
      </c>
      <c r="D868" s="17">
        <v>2</v>
      </c>
      <c r="E868" s="17" t="s">
        <v>31</v>
      </c>
      <c r="F868" s="17" t="s">
        <v>33</v>
      </c>
      <c r="G868" s="18">
        <v>683.09895180914998</v>
      </c>
      <c r="H868" s="17" t="s">
        <v>1175</v>
      </c>
    </row>
    <row r="869" spans="1:8" x14ac:dyDescent="0.3">
      <c r="A869" s="17" t="s">
        <v>675</v>
      </c>
      <c r="B869" s="17">
        <v>3420</v>
      </c>
      <c r="C869" s="17">
        <v>3423</v>
      </c>
      <c r="D869" s="17">
        <v>4</v>
      </c>
      <c r="E869" s="17" t="s">
        <v>31</v>
      </c>
      <c r="F869" s="17" t="s">
        <v>33</v>
      </c>
      <c r="G869" s="18">
        <v>1308.18119092744</v>
      </c>
      <c r="H869" s="17" t="s">
        <v>1176</v>
      </c>
    </row>
    <row r="870" spans="1:8" x14ac:dyDescent="0.3">
      <c r="A870" s="17" t="s">
        <v>27</v>
      </c>
      <c r="B870" s="17">
        <v>3424</v>
      </c>
      <c r="C870" s="17">
        <v>3424</v>
      </c>
      <c r="D870" s="17">
        <v>1</v>
      </c>
      <c r="E870" s="17" t="s">
        <v>31</v>
      </c>
      <c r="F870" s="17" t="s">
        <v>33</v>
      </c>
      <c r="G870" s="18">
        <v>363.05799942632001</v>
      </c>
      <c r="H870" s="17" t="s">
        <v>1177</v>
      </c>
    </row>
    <row r="871" spans="1:8" x14ac:dyDescent="0.3">
      <c r="A871" s="17" t="s">
        <v>1178</v>
      </c>
      <c r="B871" s="17">
        <v>3425</v>
      </c>
      <c r="C871" s="17">
        <v>3430</v>
      </c>
      <c r="D871" s="17">
        <v>6</v>
      </c>
      <c r="E871" s="17" t="s">
        <v>31</v>
      </c>
      <c r="F871" s="17" t="s">
        <v>33</v>
      </c>
      <c r="G871" s="18">
        <v>1951.2865655295702</v>
      </c>
      <c r="H871" s="17" t="s">
        <v>1179</v>
      </c>
    </row>
    <row r="872" spans="1:8" x14ac:dyDescent="0.3">
      <c r="A872" s="17" t="s">
        <v>132</v>
      </c>
      <c r="B872" s="17">
        <v>3431</v>
      </c>
      <c r="C872" s="17">
        <v>3432</v>
      </c>
      <c r="D872" s="17">
        <v>2</v>
      </c>
      <c r="E872" s="17" t="s">
        <v>31</v>
      </c>
      <c r="F872" s="17" t="s">
        <v>33</v>
      </c>
      <c r="G872" s="18">
        <v>668.09928616178001</v>
      </c>
      <c r="H872" s="17" t="s">
        <v>1180</v>
      </c>
    </row>
    <row r="873" spans="1:8" x14ac:dyDescent="0.3">
      <c r="A873" s="17" t="s">
        <v>181</v>
      </c>
      <c r="B873" s="17">
        <v>3433</v>
      </c>
      <c r="C873" s="17">
        <v>3435</v>
      </c>
      <c r="D873" s="17">
        <v>3</v>
      </c>
      <c r="E873" s="17" t="s">
        <v>31</v>
      </c>
      <c r="F873" s="17" t="s">
        <v>33</v>
      </c>
      <c r="G873" s="18">
        <v>997.15180628653002</v>
      </c>
      <c r="H873" s="17" t="s">
        <v>1181</v>
      </c>
    </row>
    <row r="874" spans="1:8" x14ac:dyDescent="0.3">
      <c r="A874" s="17" t="s">
        <v>535</v>
      </c>
      <c r="B874" s="17">
        <v>3436</v>
      </c>
      <c r="C874" s="17">
        <v>3438</v>
      </c>
      <c r="D874" s="17">
        <v>3</v>
      </c>
      <c r="E874" s="17" t="s">
        <v>31</v>
      </c>
      <c r="F874" s="17" t="s">
        <v>33</v>
      </c>
      <c r="G874" s="18">
        <v>988.14023854460993</v>
      </c>
      <c r="H874" s="17" t="s">
        <v>1182</v>
      </c>
    </row>
    <row r="875" spans="1:8" x14ac:dyDescent="0.3">
      <c r="A875" s="17" t="s">
        <v>99</v>
      </c>
      <c r="B875" s="17">
        <v>3439</v>
      </c>
      <c r="C875" s="17">
        <v>3440</v>
      </c>
      <c r="D875" s="17">
        <v>2</v>
      </c>
      <c r="E875" s="17" t="s">
        <v>31</v>
      </c>
      <c r="F875" s="17" t="s">
        <v>33</v>
      </c>
      <c r="G875" s="18">
        <v>683.09895180914998</v>
      </c>
      <c r="H875" s="17" t="s">
        <v>1183</v>
      </c>
    </row>
    <row r="876" spans="1:8" x14ac:dyDescent="0.3">
      <c r="A876" s="17" t="s">
        <v>217</v>
      </c>
      <c r="B876" s="17">
        <v>3441</v>
      </c>
      <c r="C876" s="17">
        <v>3444</v>
      </c>
      <c r="D876" s="17">
        <v>4</v>
      </c>
      <c r="E876" s="17" t="s">
        <v>31</v>
      </c>
      <c r="F876" s="17" t="s">
        <v>33</v>
      </c>
      <c r="G876" s="18">
        <v>1317.19275866936</v>
      </c>
      <c r="H876" s="17" t="s">
        <v>1184</v>
      </c>
    </row>
    <row r="877" spans="1:8" x14ac:dyDescent="0.3">
      <c r="A877" s="17" t="s">
        <v>27</v>
      </c>
      <c r="B877" s="17">
        <v>3445</v>
      </c>
      <c r="C877" s="17">
        <v>3445</v>
      </c>
      <c r="D877" s="17">
        <v>1</v>
      </c>
      <c r="E877" s="17" t="s">
        <v>31</v>
      </c>
      <c r="F877" s="17" t="s">
        <v>33</v>
      </c>
      <c r="G877" s="18">
        <v>363.05799942632001</v>
      </c>
      <c r="H877" s="17" t="s">
        <v>1185</v>
      </c>
    </row>
    <row r="878" spans="1:8" x14ac:dyDescent="0.3">
      <c r="A878" s="17" t="s">
        <v>1186</v>
      </c>
      <c r="B878" s="17">
        <v>3446</v>
      </c>
      <c r="C878" s="17">
        <v>3450</v>
      </c>
      <c r="D878" s="17">
        <v>5</v>
      </c>
      <c r="E878" s="17" t="s">
        <v>31</v>
      </c>
      <c r="F878" s="17" t="s">
        <v>33</v>
      </c>
      <c r="G878" s="18">
        <v>1637.2337110521898</v>
      </c>
      <c r="H878" s="17" t="s">
        <v>1187</v>
      </c>
    </row>
    <row r="879" spans="1:8" x14ac:dyDescent="0.3">
      <c r="A879" s="17" t="s">
        <v>99</v>
      </c>
      <c r="B879" s="17">
        <v>3451</v>
      </c>
      <c r="C879" s="17">
        <v>3452</v>
      </c>
      <c r="D879" s="17">
        <v>2</v>
      </c>
      <c r="E879" s="17" t="s">
        <v>31</v>
      </c>
      <c r="F879" s="17" t="s">
        <v>33</v>
      </c>
      <c r="G879" s="18">
        <v>683.09895180914998</v>
      </c>
      <c r="H879" s="17" t="s">
        <v>1188</v>
      </c>
    </row>
    <row r="880" spans="1:8" x14ac:dyDescent="0.3">
      <c r="A880" s="17" t="s">
        <v>1189</v>
      </c>
      <c r="B880" s="17">
        <v>3453</v>
      </c>
      <c r="C880" s="17">
        <v>3462</v>
      </c>
      <c r="D880" s="17">
        <v>10</v>
      </c>
      <c r="E880" s="17" t="s">
        <v>31</v>
      </c>
      <c r="F880" s="17" t="s">
        <v>33</v>
      </c>
      <c r="G880" s="18">
        <v>3243.4854126392797</v>
      </c>
      <c r="H880" s="17" t="s">
        <v>1190</v>
      </c>
    </row>
    <row r="881" spans="1:8" x14ac:dyDescent="0.3">
      <c r="A881" s="17" t="s">
        <v>99</v>
      </c>
      <c r="B881" s="17">
        <v>3463</v>
      </c>
      <c r="C881" s="17">
        <v>3464</v>
      </c>
      <c r="D881" s="17">
        <v>2</v>
      </c>
      <c r="E881" s="17" t="s">
        <v>31</v>
      </c>
      <c r="F881" s="17" t="s">
        <v>33</v>
      </c>
      <c r="G881" s="18">
        <v>683.09895180914998</v>
      </c>
      <c r="H881" s="17" t="s">
        <v>1191</v>
      </c>
    </row>
    <row r="882" spans="1:8" x14ac:dyDescent="0.3">
      <c r="A882" s="17" t="s">
        <v>271</v>
      </c>
      <c r="B882" s="17">
        <v>3465</v>
      </c>
      <c r="C882" s="17">
        <v>3468</v>
      </c>
      <c r="D882" s="17">
        <v>4</v>
      </c>
      <c r="E882" s="17" t="s">
        <v>31</v>
      </c>
      <c r="F882" s="17" t="s">
        <v>33</v>
      </c>
      <c r="G882" s="18">
        <v>1317.19275866936</v>
      </c>
      <c r="H882" s="17" t="s">
        <v>1192</v>
      </c>
    </row>
    <row r="883" spans="1:8" x14ac:dyDescent="0.3">
      <c r="A883" s="17" t="s">
        <v>1193</v>
      </c>
      <c r="B883" s="17">
        <v>3469</v>
      </c>
      <c r="C883" s="17">
        <v>3476</v>
      </c>
      <c r="D883" s="17">
        <v>8</v>
      </c>
      <c r="E883" s="17" t="s">
        <v>31</v>
      </c>
      <c r="F883" s="17" t="s">
        <v>33</v>
      </c>
      <c r="G883" s="18">
        <v>2552.3575712585698</v>
      </c>
      <c r="H883" s="17" t="s">
        <v>1194</v>
      </c>
    </row>
    <row r="884" spans="1:8" x14ac:dyDescent="0.3">
      <c r="A884" s="17" t="s">
        <v>263</v>
      </c>
      <c r="B884" s="17">
        <v>3477</v>
      </c>
      <c r="C884" s="17">
        <v>3479</v>
      </c>
      <c r="D884" s="17">
        <v>3</v>
      </c>
      <c r="E884" s="17" t="s">
        <v>31</v>
      </c>
      <c r="F884" s="17" t="s">
        <v>33</v>
      </c>
      <c r="G884" s="18">
        <v>997.15180628653002</v>
      </c>
      <c r="H884" s="17" t="s">
        <v>1195</v>
      </c>
    </row>
    <row r="885" spans="1:8" x14ac:dyDescent="0.3">
      <c r="A885" s="17" t="s">
        <v>517</v>
      </c>
      <c r="B885" s="17">
        <v>3480</v>
      </c>
      <c r="C885" s="17">
        <v>3483</v>
      </c>
      <c r="D885" s="17">
        <v>4</v>
      </c>
      <c r="E885" s="17" t="s">
        <v>31</v>
      </c>
      <c r="F885" s="17" t="s">
        <v>33</v>
      </c>
      <c r="G885" s="18">
        <v>1278.1818596327</v>
      </c>
      <c r="H885" s="17" t="s">
        <v>1196</v>
      </c>
    </row>
    <row r="886" spans="1:8" x14ac:dyDescent="0.3">
      <c r="A886" s="17" t="s">
        <v>81</v>
      </c>
      <c r="B886" s="17">
        <v>3484</v>
      </c>
      <c r="C886" s="17">
        <v>3485</v>
      </c>
      <c r="D886" s="17">
        <v>2</v>
      </c>
      <c r="E886" s="17" t="s">
        <v>31</v>
      </c>
      <c r="F886" s="17" t="s">
        <v>33</v>
      </c>
      <c r="G886" s="18">
        <v>692.11051955106996</v>
      </c>
      <c r="H886" s="17" t="s">
        <v>1197</v>
      </c>
    </row>
    <row r="887" spans="1:8" x14ac:dyDescent="0.3">
      <c r="A887" s="17" t="s">
        <v>105</v>
      </c>
      <c r="B887" s="17">
        <v>3486</v>
      </c>
      <c r="C887" s="17">
        <v>3488</v>
      </c>
      <c r="D887" s="17">
        <v>3</v>
      </c>
      <c r="E887" s="17" t="s">
        <v>31</v>
      </c>
      <c r="F887" s="17" t="s">
        <v>33</v>
      </c>
      <c r="G887" s="18">
        <v>988.14023854460993</v>
      </c>
      <c r="H887" s="17" t="s">
        <v>1198</v>
      </c>
    </row>
    <row r="888" spans="1:8" x14ac:dyDescent="0.3">
      <c r="A888" s="17" t="s">
        <v>27</v>
      </c>
      <c r="B888" s="17">
        <v>3489</v>
      </c>
      <c r="C888" s="17">
        <v>3489</v>
      </c>
      <c r="D888" s="17">
        <v>1</v>
      </c>
      <c r="E888" s="17" t="s">
        <v>31</v>
      </c>
      <c r="F888" s="17" t="s">
        <v>33</v>
      </c>
      <c r="G888" s="18">
        <v>363.05799942632001</v>
      </c>
      <c r="H888" s="17" t="s">
        <v>1199</v>
      </c>
    </row>
    <row r="889" spans="1:8" x14ac:dyDescent="0.3">
      <c r="A889" s="17" t="s">
        <v>207</v>
      </c>
      <c r="B889" s="17">
        <v>3490</v>
      </c>
      <c r="C889" s="17">
        <v>3493</v>
      </c>
      <c r="D889" s="17">
        <v>4</v>
      </c>
      <c r="E889" s="17" t="s">
        <v>31</v>
      </c>
      <c r="F889" s="17" t="s">
        <v>33</v>
      </c>
      <c r="G889" s="18">
        <v>1326.2043264112801</v>
      </c>
      <c r="H889" s="17" t="s">
        <v>1200</v>
      </c>
    </row>
    <row r="890" spans="1:8" x14ac:dyDescent="0.3">
      <c r="A890" s="17" t="s">
        <v>1201</v>
      </c>
      <c r="B890" s="17">
        <v>3494</v>
      </c>
      <c r="C890" s="17">
        <v>3501</v>
      </c>
      <c r="D890" s="17">
        <v>8</v>
      </c>
      <c r="E890" s="17" t="s">
        <v>31</v>
      </c>
      <c r="F890" s="17" t="s">
        <v>33</v>
      </c>
      <c r="G890" s="18">
        <v>2600.3800380371499</v>
      </c>
      <c r="H890" s="17" t="s">
        <v>1202</v>
      </c>
    </row>
    <row r="891" spans="1:8" x14ac:dyDescent="0.3">
      <c r="A891" s="17" t="s">
        <v>81</v>
      </c>
      <c r="B891" s="17">
        <v>3502</v>
      </c>
      <c r="C891" s="17">
        <v>3503</v>
      </c>
      <c r="D891" s="17">
        <v>2</v>
      </c>
      <c r="E891" s="17" t="s">
        <v>31</v>
      </c>
      <c r="F891" s="17" t="s">
        <v>33</v>
      </c>
      <c r="G891" s="18">
        <v>692.11051955106996</v>
      </c>
      <c r="H891" s="17" t="s">
        <v>1203</v>
      </c>
    </row>
    <row r="892" spans="1:8" x14ac:dyDescent="0.3">
      <c r="A892" s="17" t="s">
        <v>27</v>
      </c>
      <c r="B892" s="17">
        <v>3504</v>
      </c>
      <c r="C892" s="17">
        <v>3504</v>
      </c>
      <c r="D892" s="17">
        <v>1</v>
      </c>
      <c r="E892" s="17" t="s">
        <v>31</v>
      </c>
      <c r="F892" s="17" t="s">
        <v>33</v>
      </c>
      <c r="G892" s="18">
        <v>363.05799942632001</v>
      </c>
      <c r="H892" s="17" t="s">
        <v>1204</v>
      </c>
    </row>
    <row r="893" spans="1:8" x14ac:dyDescent="0.3">
      <c r="A893" s="17" t="s">
        <v>599</v>
      </c>
      <c r="B893" s="17">
        <v>3505</v>
      </c>
      <c r="C893" s="17">
        <v>3509</v>
      </c>
      <c r="D893" s="17">
        <v>5</v>
      </c>
      <c r="E893" s="17" t="s">
        <v>31</v>
      </c>
      <c r="F893" s="17" t="s">
        <v>33</v>
      </c>
      <c r="G893" s="18">
        <v>1646.2452787941102</v>
      </c>
      <c r="H893" s="17" t="s">
        <v>1205</v>
      </c>
    </row>
    <row r="894" spans="1:8" x14ac:dyDescent="0.3">
      <c r="A894" s="17" t="s">
        <v>27</v>
      </c>
      <c r="B894" s="17">
        <v>3510</v>
      </c>
      <c r="C894" s="17">
        <v>3510</v>
      </c>
      <c r="D894" s="17">
        <v>1</v>
      </c>
      <c r="E894" s="17" t="s">
        <v>31</v>
      </c>
      <c r="F894" s="17" t="s">
        <v>33</v>
      </c>
      <c r="G894" s="18">
        <v>363.05799942632001</v>
      </c>
      <c r="H894" s="17" t="s">
        <v>1206</v>
      </c>
    </row>
    <row r="895" spans="1:8" x14ac:dyDescent="0.3">
      <c r="A895" s="17" t="s">
        <v>137</v>
      </c>
      <c r="B895" s="17">
        <v>3511</v>
      </c>
      <c r="C895" s="17">
        <v>3515</v>
      </c>
      <c r="D895" s="17">
        <v>5</v>
      </c>
      <c r="E895" s="17" t="s">
        <v>31</v>
      </c>
      <c r="F895" s="17" t="s">
        <v>33</v>
      </c>
      <c r="G895" s="18">
        <v>1655.25684653603</v>
      </c>
      <c r="H895" s="17" t="s">
        <v>1207</v>
      </c>
    </row>
    <row r="896" spans="1:8" x14ac:dyDescent="0.3">
      <c r="A896" s="17" t="s">
        <v>1208</v>
      </c>
      <c r="B896" s="17">
        <v>3516</v>
      </c>
      <c r="C896" s="17">
        <v>3524</v>
      </c>
      <c r="D896" s="17">
        <v>9</v>
      </c>
      <c r="E896" s="17" t="s">
        <v>31</v>
      </c>
      <c r="F896" s="17" t="s">
        <v>33</v>
      </c>
      <c r="G896" s="18">
        <v>2935.4206560673501</v>
      </c>
      <c r="H896" s="17" t="s">
        <v>1209</v>
      </c>
    </row>
    <row r="897" spans="1:8" x14ac:dyDescent="0.3">
      <c r="A897" s="17" t="s">
        <v>1210</v>
      </c>
      <c r="B897" s="17">
        <v>3525</v>
      </c>
      <c r="C897" s="17">
        <v>3535</v>
      </c>
      <c r="D897" s="17">
        <v>11</v>
      </c>
      <c r="E897" s="17" t="s">
        <v>31</v>
      </c>
      <c r="F897" s="17" t="s">
        <v>33</v>
      </c>
      <c r="G897" s="18">
        <v>3557.5382671166599</v>
      </c>
      <c r="H897" s="17" t="s">
        <v>1211</v>
      </c>
    </row>
    <row r="898" spans="1:8" x14ac:dyDescent="0.3">
      <c r="A898" s="17" t="s">
        <v>1212</v>
      </c>
      <c r="B898" s="17">
        <v>3536</v>
      </c>
      <c r="C898" s="17">
        <v>3540</v>
      </c>
      <c r="D898" s="17">
        <v>5</v>
      </c>
      <c r="E898" s="17" t="s">
        <v>31</v>
      </c>
      <c r="F898" s="17" t="s">
        <v>33</v>
      </c>
      <c r="G898" s="18">
        <v>1583.2231463681601</v>
      </c>
      <c r="H898" s="17" t="s">
        <v>1213</v>
      </c>
    </row>
    <row r="899" spans="1:8" x14ac:dyDescent="0.3">
      <c r="A899" s="17" t="s">
        <v>181</v>
      </c>
      <c r="B899" s="17">
        <v>3541</v>
      </c>
      <c r="C899" s="17">
        <v>3543</v>
      </c>
      <c r="D899" s="17">
        <v>3</v>
      </c>
      <c r="E899" s="17" t="s">
        <v>31</v>
      </c>
      <c r="F899" s="17" t="s">
        <v>33</v>
      </c>
      <c r="G899" s="18">
        <v>997.15180628653002</v>
      </c>
      <c r="H899" s="17" t="s">
        <v>1214</v>
      </c>
    </row>
    <row r="900" spans="1:8" x14ac:dyDescent="0.3">
      <c r="A900" s="17" t="s">
        <v>99</v>
      </c>
      <c r="B900" s="17">
        <v>3544</v>
      </c>
      <c r="C900" s="17">
        <v>3545</v>
      </c>
      <c r="D900" s="17">
        <v>2</v>
      </c>
      <c r="E900" s="17" t="s">
        <v>31</v>
      </c>
      <c r="F900" s="17" t="s">
        <v>33</v>
      </c>
      <c r="G900" s="18">
        <v>683.09895180914998</v>
      </c>
      <c r="H900" s="17" t="s">
        <v>1215</v>
      </c>
    </row>
    <row r="901" spans="1:8" x14ac:dyDescent="0.3">
      <c r="A901" s="17" t="s">
        <v>27</v>
      </c>
      <c r="B901" s="17">
        <v>3546</v>
      </c>
      <c r="C901" s="17">
        <v>3546</v>
      </c>
      <c r="D901" s="17">
        <v>1</v>
      </c>
      <c r="E901" s="17" t="s">
        <v>31</v>
      </c>
      <c r="F901" s="17" t="s">
        <v>33</v>
      </c>
      <c r="G901" s="18">
        <v>363.05799942632001</v>
      </c>
      <c r="H901" s="17" t="s">
        <v>1216</v>
      </c>
    </row>
    <row r="902" spans="1:8" x14ac:dyDescent="0.3">
      <c r="A902" s="17" t="s">
        <v>151</v>
      </c>
      <c r="B902" s="17">
        <v>3547</v>
      </c>
      <c r="C902" s="17">
        <v>3551</v>
      </c>
      <c r="D902" s="17">
        <v>5</v>
      </c>
      <c r="E902" s="17" t="s">
        <v>31</v>
      </c>
      <c r="F902" s="17" t="s">
        <v>33</v>
      </c>
      <c r="G902" s="18">
        <v>1622.2340454048201</v>
      </c>
      <c r="H902" s="17" t="s">
        <v>1217</v>
      </c>
    </row>
    <row r="903" spans="1:8" x14ac:dyDescent="0.3">
      <c r="A903" s="17" t="s">
        <v>27</v>
      </c>
      <c r="B903" s="17">
        <v>3552</v>
      </c>
      <c r="C903" s="17">
        <v>3552</v>
      </c>
      <c r="D903" s="17">
        <v>1</v>
      </c>
      <c r="E903" s="17" t="s">
        <v>31</v>
      </c>
      <c r="F903" s="17" t="s">
        <v>33</v>
      </c>
      <c r="G903" s="18">
        <v>363.05799942632001</v>
      </c>
      <c r="H903" s="17" t="s">
        <v>1218</v>
      </c>
    </row>
    <row r="904" spans="1:8" x14ac:dyDescent="0.3">
      <c r="A904" s="17" t="s">
        <v>27</v>
      </c>
      <c r="B904" s="17">
        <v>3553</v>
      </c>
      <c r="C904" s="17">
        <v>3553</v>
      </c>
      <c r="D904" s="17">
        <v>1</v>
      </c>
      <c r="E904" s="17" t="s">
        <v>31</v>
      </c>
      <c r="F904" s="17" t="s">
        <v>33</v>
      </c>
      <c r="G904" s="18">
        <v>363.05799942632001</v>
      </c>
      <c r="H904" s="17" t="s">
        <v>1219</v>
      </c>
    </row>
    <row r="905" spans="1:8" x14ac:dyDescent="0.3">
      <c r="A905" s="17" t="s">
        <v>132</v>
      </c>
      <c r="B905" s="17">
        <v>3554</v>
      </c>
      <c r="C905" s="17">
        <v>3555</v>
      </c>
      <c r="D905" s="17">
        <v>2</v>
      </c>
      <c r="E905" s="17" t="s">
        <v>31</v>
      </c>
      <c r="F905" s="17" t="s">
        <v>33</v>
      </c>
      <c r="G905" s="18">
        <v>668.09928616178001</v>
      </c>
      <c r="H905" s="17" t="s">
        <v>1220</v>
      </c>
    </row>
    <row r="906" spans="1:8" x14ac:dyDescent="0.3">
      <c r="A906" s="17" t="s">
        <v>1221</v>
      </c>
      <c r="B906" s="17">
        <v>3556</v>
      </c>
      <c r="C906" s="17">
        <v>3562</v>
      </c>
      <c r="D906" s="17">
        <v>7</v>
      </c>
      <c r="E906" s="17" t="s">
        <v>31</v>
      </c>
      <c r="F906" s="17" t="s">
        <v>33</v>
      </c>
      <c r="G906" s="18">
        <v>2295.3387513016901</v>
      </c>
      <c r="H906" s="17" t="s">
        <v>1222</v>
      </c>
    </row>
    <row r="907" spans="1:8" x14ac:dyDescent="0.3">
      <c r="A907" s="17" t="s">
        <v>132</v>
      </c>
      <c r="B907" s="17">
        <v>3563</v>
      </c>
      <c r="C907" s="17">
        <v>3564</v>
      </c>
      <c r="D907" s="17">
        <v>2</v>
      </c>
      <c r="E907" s="17" t="s">
        <v>31</v>
      </c>
      <c r="F907" s="17" t="s">
        <v>33</v>
      </c>
      <c r="G907" s="18">
        <v>668.09928616178001</v>
      </c>
      <c r="H907" s="17" t="s">
        <v>1223</v>
      </c>
    </row>
    <row r="908" spans="1:8" x14ac:dyDescent="0.3">
      <c r="A908" s="17" t="s">
        <v>27</v>
      </c>
      <c r="B908" s="17">
        <v>3565</v>
      </c>
      <c r="C908" s="17">
        <v>3565</v>
      </c>
      <c r="D908" s="17">
        <v>1</v>
      </c>
      <c r="E908" s="17" t="s">
        <v>31</v>
      </c>
      <c r="F908" s="17" t="s">
        <v>33</v>
      </c>
      <c r="G908" s="18">
        <v>363.05799942632001</v>
      </c>
      <c r="H908" s="17" t="s">
        <v>1224</v>
      </c>
    </row>
    <row r="909" spans="1:8" x14ac:dyDescent="0.3">
      <c r="A909" s="17" t="s">
        <v>1225</v>
      </c>
      <c r="B909" s="17">
        <v>3566</v>
      </c>
      <c r="C909" s="17">
        <v>3573</v>
      </c>
      <c r="D909" s="17">
        <v>8</v>
      </c>
      <c r="E909" s="17" t="s">
        <v>31</v>
      </c>
      <c r="F909" s="17" t="s">
        <v>33</v>
      </c>
      <c r="G909" s="18">
        <v>2624.3912714264402</v>
      </c>
      <c r="H909" s="17" t="s">
        <v>1226</v>
      </c>
    </row>
    <row r="910" spans="1:8" x14ac:dyDescent="0.3">
      <c r="A910" s="17" t="s">
        <v>114</v>
      </c>
      <c r="B910" s="17">
        <v>3574</v>
      </c>
      <c r="C910" s="17">
        <v>3577</v>
      </c>
      <c r="D910" s="17">
        <v>4</v>
      </c>
      <c r="E910" s="17" t="s">
        <v>31</v>
      </c>
      <c r="F910" s="17" t="s">
        <v>33</v>
      </c>
      <c r="G910" s="18">
        <v>1302.1930930219901</v>
      </c>
      <c r="H910" s="17" t="s">
        <v>1227</v>
      </c>
    </row>
    <row r="911" spans="1:8" x14ac:dyDescent="0.3">
      <c r="A911" s="17" t="s">
        <v>132</v>
      </c>
      <c r="B911" s="17">
        <v>3578</v>
      </c>
      <c r="C911" s="17">
        <v>3579</v>
      </c>
      <c r="D911" s="17">
        <v>2</v>
      </c>
      <c r="E911" s="17" t="s">
        <v>31</v>
      </c>
      <c r="F911" s="17" t="s">
        <v>33</v>
      </c>
      <c r="G911" s="18">
        <v>668.09928616178001</v>
      </c>
      <c r="H911" s="17" t="s">
        <v>1228</v>
      </c>
    </row>
    <row r="912" spans="1:8" x14ac:dyDescent="0.3">
      <c r="A912" s="17" t="s">
        <v>535</v>
      </c>
      <c r="B912" s="17">
        <v>3580</v>
      </c>
      <c r="C912" s="17">
        <v>3582</v>
      </c>
      <c r="D912" s="17">
        <v>3</v>
      </c>
      <c r="E912" s="17" t="s">
        <v>31</v>
      </c>
      <c r="F912" s="17" t="s">
        <v>33</v>
      </c>
      <c r="G912" s="18">
        <v>988.14023854460993</v>
      </c>
      <c r="H912" s="17" t="s">
        <v>1229</v>
      </c>
    </row>
    <row r="913" spans="1:8" x14ac:dyDescent="0.3">
      <c r="A913" s="17" t="s">
        <v>99</v>
      </c>
      <c r="B913" s="17">
        <v>3583</v>
      </c>
      <c r="C913" s="17">
        <v>3584</v>
      </c>
      <c r="D913" s="17">
        <v>2</v>
      </c>
      <c r="E913" s="17" t="s">
        <v>31</v>
      </c>
      <c r="F913" s="17" t="s">
        <v>33</v>
      </c>
      <c r="G913" s="18">
        <v>683.09895180914998</v>
      </c>
      <c r="H913" s="17" t="s">
        <v>1230</v>
      </c>
    </row>
    <row r="914" spans="1:8" x14ac:dyDescent="0.3">
      <c r="A914" s="17" t="s">
        <v>1231</v>
      </c>
      <c r="B914" s="17">
        <v>3585</v>
      </c>
      <c r="C914" s="17">
        <v>3593</v>
      </c>
      <c r="D914" s="17">
        <v>9</v>
      </c>
      <c r="E914" s="17" t="s">
        <v>31</v>
      </c>
      <c r="F914" s="17" t="s">
        <v>33</v>
      </c>
      <c r="G914" s="18">
        <v>2914.4328925145296</v>
      </c>
      <c r="H914" s="17" t="s">
        <v>1232</v>
      </c>
    </row>
    <row r="915" spans="1:8" x14ac:dyDescent="0.3">
      <c r="A915" s="17" t="s">
        <v>252</v>
      </c>
      <c r="B915" s="17">
        <v>3594</v>
      </c>
      <c r="C915" s="17">
        <v>3597</v>
      </c>
      <c r="D915" s="17">
        <v>4</v>
      </c>
      <c r="E915" s="17" t="s">
        <v>31</v>
      </c>
      <c r="F915" s="17" t="s">
        <v>33</v>
      </c>
      <c r="G915" s="18">
        <v>1350.21555980057</v>
      </c>
      <c r="H915" s="17" t="s">
        <v>1233</v>
      </c>
    </row>
    <row r="916" spans="1:8" x14ac:dyDescent="0.3">
      <c r="A916" s="17" t="s">
        <v>81</v>
      </c>
      <c r="B916" s="17">
        <v>3598</v>
      </c>
      <c r="C916" s="17">
        <v>3599</v>
      </c>
      <c r="D916" s="17">
        <v>2</v>
      </c>
      <c r="E916" s="17" t="s">
        <v>31</v>
      </c>
      <c r="F916" s="17" t="s">
        <v>33</v>
      </c>
      <c r="G916" s="18">
        <v>692.11051955106996</v>
      </c>
      <c r="H916" s="17" t="s">
        <v>1234</v>
      </c>
    </row>
    <row r="917" spans="1:8" x14ac:dyDescent="0.3">
      <c r="A917" s="17" t="s">
        <v>217</v>
      </c>
      <c r="B917" s="17">
        <v>3600</v>
      </c>
      <c r="C917" s="17">
        <v>3603</v>
      </c>
      <c r="D917" s="17">
        <v>4</v>
      </c>
      <c r="E917" s="17" t="s">
        <v>31</v>
      </c>
      <c r="F917" s="17" t="s">
        <v>33</v>
      </c>
      <c r="G917" s="18">
        <v>1317.19275866936</v>
      </c>
      <c r="H917" s="17" t="s">
        <v>1235</v>
      </c>
    </row>
    <row r="918" spans="1:8" x14ac:dyDescent="0.3">
      <c r="A918" s="17" t="s">
        <v>626</v>
      </c>
      <c r="B918" s="17">
        <v>3604</v>
      </c>
      <c r="C918" s="17">
        <v>3607</v>
      </c>
      <c r="D918" s="17">
        <v>4</v>
      </c>
      <c r="E918" s="17" t="s">
        <v>31</v>
      </c>
      <c r="F918" s="17" t="s">
        <v>33</v>
      </c>
      <c r="G918" s="18">
        <v>1302.1930930219901</v>
      </c>
      <c r="H918" s="17" t="s">
        <v>1236</v>
      </c>
    </row>
    <row r="919" spans="1:8" x14ac:dyDescent="0.3">
      <c r="A919" s="17" t="s">
        <v>27</v>
      </c>
      <c r="B919" s="17">
        <v>3608</v>
      </c>
      <c r="C919" s="17">
        <v>3608</v>
      </c>
      <c r="D919" s="17">
        <v>1</v>
      </c>
      <c r="E919" s="17" t="s">
        <v>31</v>
      </c>
      <c r="F919" s="17" t="s">
        <v>33</v>
      </c>
      <c r="G919" s="18">
        <v>363.05799942632001</v>
      </c>
      <c r="H919" s="17" t="s">
        <v>1237</v>
      </c>
    </row>
    <row r="920" spans="1:8" x14ac:dyDescent="0.3">
      <c r="A920" s="17" t="s">
        <v>105</v>
      </c>
      <c r="B920" s="17">
        <v>3609</v>
      </c>
      <c r="C920" s="17">
        <v>3611</v>
      </c>
      <c r="D920" s="17">
        <v>3</v>
      </c>
      <c r="E920" s="17" t="s">
        <v>31</v>
      </c>
      <c r="F920" s="17" t="s">
        <v>33</v>
      </c>
      <c r="G920" s="18">
        <v>988.14023854460993</v>
      </c>
      <c r="H920" s="17" t="s">
        <v>72</v>
      </c>
    </row>
    <row r="921" spans="1:8" x14ac:dyDescent="0.3">
      <c r="A921" s="17" t="s">
        <v>383</v>
      </c>
      <c r="B921" s="17">
        <v>3612</v>
      </c>
      <c r="C921" s="17">
        <v>3615</v>
      </c>
      <c r="D921" s="17">
        <v>4</v>
      </c>
      <c r="E921" s="17" t="s">
        <v>31</v>
      </c>
      <c r="F921" s="17" t="s">
        <v>33</v>
      </c>
      <c r="G921" s="18">
        <v>1326.2043264112801</v>
      </c>
      <c r="H921" s="17" t="s">
        <v>1238</v>
      </c>
    </row>
    <row r="922" spans="1:8" x14ac:dyDescent="0.3">
      <c r="A922" s="17" t="s">
        <v>81</v>
      </c>
      <c r="B922" s="17">
        <v>3616</v>
      </c>
      <c r="C922" s="17">
        <v>3617</v>
      </c>
      <c r="D922" s="17">
        <v>2</v>
      </c>
      <c r="E922" s="17" t="s">
        <v>31</v>
      </c>
      <c r="F922" s="17" t="s">
        <v>33</v>
      </c>
      <c r="G922" s="18">
        <v>692.11051955106996</v>
      </c>
      <c r="H922" s="17" t="s">
        <v>1239</v>
      </c>
    </row>
    <row r="923" spans="1:8" x14ac:dyDescent="0.3">
      <c r="A923" s="17" t="s">
        <v>27</v>
      </c>
      <c r="B923" s="17">
        <v>3618</v>
      </c>
      <c r="C923" s="17">
        <v>3618</v>
      </c>
      <c r="D923" s="17">
        <v>1</v>
      </c>
      <c r="E923" s="17" t="s">
        <v>31</v>
      </c>
      <c r="F923" s="17" t="s">
        <v>33</v>
      </c>
      <c r="G923" s="18">
        <v>363.05799942632001</v>
      </c>
      <c r="H923" s="17" t="s">
        <v>1240</v>
      </c>
    </row>
    <row r="924" spans="1:8" x14ac:dyDescent="0.3">
      <c r="A924" s="17" t="s">
        <v>99</v>
      </c>
      <c r="B924" s="17">
        <v>3619</v>
      </c>
      <c r="C924" s="17">
        <v>3620</v>
      </c>
      <c r="D924" s="17">
        <v>2</v>
      </c>
      <c r="E924" s="17" t="s">
        <v>31</v>
      </c>
      <c r="F924" s="17" t="s">
        <v>33</v>
      </c>
      <c r="G924" s="18">
        <v>683.09895180914998</v>
      </c>
      <c r="H924" s="17" t="s">
        <v>1241</v>
      </c>
    </row>
    <row r="925" spans="1:8" x14ac:dyDescent="0.3">
      <c r="A925" s="17" t="s">
        <v>27</v>
      </c>
      <c r="B925" s="17">
        <v>3621</v>
      </c>
      <c r="C925" s="17">
        <v>3621</v>
      </c>
      <c r="D925" s="17">
        <v>1</v>
      </c>
      <c r="E925" s="17" t="s">
        <v>31</v>
      </c>
      <c r="F925" s="17" t="s">
        <v>33</v>
      </c>
      <c r="G925" s="18">
        <v>363.05799942632001</v>
      </c>
      <c r="H925" s="17" t="s">
        <v>1242</v>
      </c>
    </row>
    <row r="926" spans="1:8" x14ac:dyDescent="0.3">
      <c r="A926" s="17" t="s">
        <v>1243</v>
      </c>
      <c r="B926" s="17">
        <v>3622</v>
      </c>
      <c r="C926" s="17">
        <v>3626</v>
      </c>
      <c r="D926" s="17">
        <v>5</v>
      </c>
      <c r="E926" s="17" t="s">
        <v>31</v>
      </c>
      <c r="F926" s="17" t="s">
        <v>33</v>
      </c>
      <c r="G926" s="18">
        <v>1631.2456131467402</v>
      </c>
      <c r="H926" s="17" t="s">
        <v>1244</v>
      </c>
    </row>
    <row r="927" spans="1:8" x14ac:dyDescent="0.3">
      <c r="A927" s="17" t="s">
        <v>749</v>
      </c>
      <c r="B927" s="17">
        <v>3627</v>
      </c>
      <c r="C927" s="17">
        <v>3632</v>
      </c>
      <c r="D927" s="17">
        <v>6</v>
      </c>
      <c r="E927" s="17" t="s">
        <v>31</v>
      </c>
      <c r="F927" s="17" t="s">
        <v>33</v>
      </c>
      <c r="G927" s="18">
        <v>1966.28623117694</v>
      </c>
      <c r="H927" s="17" t="s">
        <v>1245</v>
      </c>
    </row>
    <row r="928" spans="1:8" x14ac:dyDescent="0.3">
      <c r="A928" s="17" t="s">
        <v>383</v>
      </c>
      <c r="B928" s="17">
        <v>3633</v>
      </c>
      <c r="C928" s="17">
        <v>3636</v>
      </c>
      <c r="D928" s="17">
        <v>4</v>
      </c>
      <c r="E928" s="17" t="s">
        <v>31</v>
      </c>
      <c r="F928" s="17" t="s">
        <v>33</v>
      </c>
      <c r="G928" s="18">
        <v>1326.2043264112801</v>
      </c>
      <c r="H928" s="17" t="s">
        <v>1246</v>
      </c>
    </row>
    <row r="929" spans="1:8" x14ac:dyDescent="0.3">
      <c r="A929" s="17" t="s">
        <v>81</v>
      </c>
      <c r="B929" s="17">
        <v>3637</v>
      </c>
      <c r="C929" s="17">
        <v>3638</v>
      </c>
      <c r="D929" s="17">
        <v>2</v>
      </c>
      <c r="E929" s="17" t="s">
        <v>31</v>
      </c>
      <c r="F929" s="17" t="s">
        <v>33</v>
      </c>
      <c r="G929" s="18">
        <v>692.11051955106996</v>
      </c>
      <c r="H929" s="17" t="s">
        <v>1247</v>
      </c>
    </row>
    <row r="930" spans="1:8" x14ac:dyDescent="0.3">
      <c r="A930" s="17" t="s">
        <v>81</v>
      </c>
      <c r="B930" s="17">
        <v>3639</v>
      </c>
      <c r="C930" s="17">
        <v>3640</v>
      </c>
      <c r="D930" s="17">
        <v>2</v>
      </c>
      <c r="E930" s="17" t="s">
        <v>31</v>
      </c>
      <c r="F930" s="17" t="s">
        <v>33</v>
      </c>
      <c r="G930" s="18">
        <v>692.11051955106996</v>
      </c>
      <c r="H930" s="17" t="s">
        <v>73</v>
      </c>
    </row>
    <row r="931" spans="1:8" x14ac:dyDescent="0.3">
      <c r="A931" s="17" t="s">
        <v>214</v>
      </c>
      <c r="B931" s="17">
        <v>3641</v>
      </c>
      <c r="C931" s="17">
        <v>3644</v>
      </c>
      <c r="D931" s="17">
        <v>4</v>
      </c>
      <c r="E931" s="17" t="s">
        <v>31</v>
      </c>
      <c r="F931" s="17" t="s">
        <v>33</v>
      </c>
      <c r="G931" s="18">
        <v>1293.18152528007</v>
      </c>
      <c r="H931" s="17" t="s">
        <v>1248</v>
      </c>
    </row>
    <row r="932" spans="1:8" x14ac:dyDescent="0.3">
      <c r="A932" s="17" t="s">
        <v>217</v>
      </c>
      <c r="B932" s="17">
        <v>3645</v>
      </c>
      <c r="C932" s="17">
        <v>3648</v>
      </c>
      <c r="D932" s="17">
        <v>4</v>
      </c>
      <c r="E932" s="17" t="s">
        <v>31</v>
      </c>
      <c r="F932" s="17" t="s">
        <v>33</v>
      </c>
      <c r="G932" s="18">
        <v>1317.19275866936</v>
      </c>
      <c r="H932" s="17" t="s">
        <v>1249</v>
      </c>
    </row>
    <row r="933" spans="1:8" x14ac:dyDescent="0.3">
      <c r="A933" s="17" t="s">
        <v>151</v>
      </c>
      <c r="B933" s="17">
        <v>3649</v>
      </c>
      <c r="C933" s="17">
        <v>3653</v>
      </c>
      <c r="D933" s="17">
        <v>5</v>
      </c>
      <c r="E933" s="17" t="s">
        <v>31</v>
      </c>
      <c r="F933" s="17" t="s">
        <v>33</v>
      </c>
      <c r="G933" s="18">
        <v>1622.2340454048201</v>
      </c>
      <c r="H933" s="17" t="s">
        <v>1250</v>
      </c>
    </row>
    <row r="934" spans="1:8" x14ac:dyDescent="0.3">
      <c r="A934" s="17" t="s">
        <v>209</v>
      </c>
      <c r="B934" s="17">
        <v>3654</v>
      </c>
      <c r="C934" s="17">
        <v>3657</v>
      </c>
      <c r="D934" s="17">
        <v>4</v>
      </c>
      <c r="E934" s="17" t="s">
        <v>31</v>
      </c>
      <c r="F934" s="17" t="s">
        <v>33</v>
      </c>
      <c r="G934" s="18">
        <v>1326.2043264112801</v>
      </c>
      <c r="H934" s="17" t="s">
        <v>1251</v>
      </c>
    </row>
    <row r="935" spans="1:8" x14ac:dyDescent="0.3">
      <c r="A935" s="17" t="s">
        <v>599</v>
      </c>
      <c r="B935" s="17">
        <v>3658</v>
      </c>
      <c r="C935" s="17">
        <v>3662</v>
      </c>
      <c r="D935" s="17">
        <v>5</v>
      </c>
      <c r="E935" s="17" t="s">
        <v>31</v>
      </c>
      <c r="F935" s="17" t="s">
        <v>33</v>
      </c>
      <c r="G935" s="18">
        <v>1646.2452787941102</v>
      </c>
      <c r="H935" s="17" t="s">
        <v>1252</v>
      </c>
    </row>
    <row r="936" spans="1:8" x14ac:dyDescent="0.3">
      <c r="A936" s="17" t="s">
        <v>27</v>
      </c>
      <c r="B936" s="17">
        <v>3663</v>
      </c>
      <c r="C936" s="17">
        <v>3663</v>
      </c>
      <c r="D936" s="17">
        <v>1</v>
      </c>
      <c r="E936" s="17" t="s">
        <v>31</v>
      </c>
      <c r="F936" s="17" t="s">
        <v>33</v>
      </c>
      <c r="G936" s="18">
        <v>363.05799942632001</v>
      </c>
      <c r="H936" s="17" t="s">
        <v>1253</v>
      </c>
    </row>
    <row r="937" spans="1:8" x14ac:dyDescent="0.3">
      <c r="A937" s="17" t="s">
        <v>27</v>
      </c>
      <c r="B937" s="17">
        <v>3664</v>
      </c>
      <c r="C937" s="17">
        <v>3664</v>
      </c>
      <c r="D937" s="17">
        <v>1</v>
      </c>
      <c r="E937" s="17" t="s">
        <v>31</v>
      </c>
      <c r="F937" s="17" t="s">
        <v>33</v>
      </c>
      <c r="G937" s="18">
        <v>363.05799942632001</v>
      </c>
      <c r="H937" s="17" t="s">
        <v>1254</v>
      </c>
    </row>
    <row r="938" spans="1:8" x14ac:dyDescent="0.3">
      <c r="A938" s="17" t="s">
        <v>27</v>
      </c>
      <c r="B938" s="17">
        <v>3665</v>
      </c>
      <c r="C938" s="17">
        <v>3665</v>
      </c>
      <c r="D938" s="17">
        <v>1</v>
      </c>
      <c r="E938" s="17" t="s">
        <v>31</v>
      </c>
      <c r="F938" s="17" t="s">
        <v>33</v>
      </c>
      <c r="G938" s="18">
        <v>363.05799942632001</v>
      </c>
      <c r="H938" s="17" t="s">
        <v>1255</v>
      </c>
    </row>
    <row r="939" spans="1:8" x14ac:dyDescent="0.3">
      <c r="A939" s="17" t="s">
        <v>193</v>
      </c>
      <c r="B939" s="17">
        <v>3666</v>
      </c>
      <c r="C939" s="17">
        <v>3668</v>
      </c>
      <c r="D939" s="17">
        <v>3</v>
      </c>
      <c r="E939" s="17" t="s">
        <v>31</v>
      </c>
      <c r="F939" s="17" t="s">
        <v>33</v>
      </c>
      <c r="G939" s="18">
        <v>1021.1630396758201</v>
      </c>
      <c r="H939" s="17" t="s">
        <v>1256</v>
      </c>
    </row>
    <row r="940" spans="1:8" x14ac:dyDescent="0.3">
      <c r="A940" s="17" t="s">
        <v>271</v>
      </c>
      <c r="B940" s="17">
        <v>3669</v>
      </c>
      <c r="C940" s="17">
        <v>3672</v>
      </c>
      <c r="D940" s="17">
        <v>4</v>
      </c>
      <c r="E940" s="17" t="s">
        <v>31</v>
      </c>
      <c r="F940" s="17" t="s">
        <v>33</v>
      </c>
      <c r="G940" s="18">
        <v>1317.19275866936</v>
      </c>
      <c r="H940" s="17" t="s">
        <v>1257</v>
      </c>
    </row>
    <row r="941" spans="1:8" x14ac:dyDescent="0.3">
      <c r="A941" s="17" t="s">
        <v>81</v>
      </c>
      <c r="B941" s="17">
        <v>3673</v>
      </c>
      <c r="C941" s="17">
        <v>3674</v>
      </c>
      <c r="D941" s="17">
        <v>2</v>
      </c>
      <c r="E941" s="17" t="s">
        <v>31</v>
      </c>
      <c r="F941" s="17" t="s">
        <v>33</v>
      </c>
      <c r="G941" s="18">
        <v>692.11051955106996</v>
      </c>
      <c r="H941" s="17" t="s">
        <v>1258</v>
      </c>
    </row>
    <row r="942" spans="1:8" x14ac:dyDescent="0.3">
      <c r="A942" s="17" t="s">
        <v>263</v>
      </c>
      <c r="B942" s="17">
        <v>3675</v>
      </c>
      <c r="C942" s="17">
        <v>3677</v>
      </c>
      <c r="D942" s="17">
        <v>3</v>
      </c>
      <c r="E942" s="17" t="s">
        <v>31</v>
      </c>
      <c r="F942" s="17" t="s">
        <v>33</v>
      </c>
      <c r="G942" s="18">
        <v>997.15180628653002</v>
      </c>
      <c r="H942" s="17" t="s">
        <v>1259</v>
      </c>
    </row>
    <row r="943" spans="1:8" x14ac:dyDescent="0.3">
      <c r="A943" s="17" t="s">
        <v>1260</v>
      </c>
      <c r="B943" s="17">
        <v>3678</v>
      </c>
      <c r="C943" s="17">
        <v>3686</v>
      </c>
      <c r="D943" s="17">
        <v>9</v>
      </c>
      <c r="E943" s="17" t="s">
        <v>31</v>
      </c>
      <c r="F943" s="17" t="s">
        <v>33</v>
      </c>
      <c r="G943" s="18">
        <v>2929.4325581619</v>
      </c>
      <c r="H943" s="17" t="s">
        <v>1261</v>
      </c>
    </row>
    <row r="944" spans="1:8" x14ac:dyDescent="0.3">
      <c r="A944" s="17" t="s">
        <v>99</v>
      </c>
      <c r="B944" s="17">
        <v>3687</v>
      </c>
      <c r="C944" s="17">
        <v>3688</v>
      </c>
      <c r="D944" s="17">
        <v>2</v>
      </c>
      <c r="E944" s="17" t="s">
        <v>31</v>
      </c>
      <c r="F944" s="17" t="s">
        <v>33</v>
      </c>
      <c r="G944" s="18">
        <v>683.09895180914998</v>
      </c>
      <c r="H944" s="17" t="s">
        <v>1262</v>
      </c>
    </row>
    <row r="945" spans="1:8" x14ac:dyDescent="0.3">
      <c r="A945" s="17" t="s">
        <v>27</v>
      </c>
      <c r="B945" s="17">
        <v>3689</v>
      </c>
      <c r="C945" s="17">
        <v>3689</v>
      </c>
      <c r="D945" s="17">
        <v>1</v>
      </c>
      <c r="E945" s="17" t="s">
        <v>31</v>
      </c>
      <c r="F945" s="17" t="s">
        <v>33</v>
      </c>
      <c r="G945" s="18">
        <v>363.05799942632001</v>
      </c>
      <c r="H945" s="17" t="s">
        <v>1263</v>
      </c>
    </row>
    <row r="946" spans="1:8" x14ac:dyDescent="0.3">
      <c r="A946" s="17" t="s">
        <v>342</v>
      </c>
      <c r="B946" s="17">
        <v>3690</v>
      </c>
      <c r="C946" s="17">
        <v>3694</v>
      </c>
      <c r="D946" s="17">
        <v>5</v>
      </c>
      <c r="E946" s="17" t="s">
        <v>31</v>
      </c>
      <c r="F946" s="17" t="s">
        <v>33</v>
      </c>
      <c r="G946" s="18">
        <v>1598.2228120155301</v>
      </c>
      <c r="H946" s="17" t="s">
        <v>1264</v>
      </c>
    </row>
    <row r="947" spans="1:8" x14ac:dyDescent="0.3">
      <c r="A947" s="17" t="s">
        <v>27</v>
      </c>
      <c r="B947" s="17">
        <v>3695</v>
      </c>
      <c r="C947" s="17">
        <v>3695</v>
      </c>
      <c r="D947" s="17">
        <v>1</v>
      </c>
      <c r="E947" s="17" t="s">
        <v>31</v>
      </c>
      <c r="F947" s="17" t="s">
        <v>33</v>
      </c>
      <c r="G947" s="18">
        <v>363.05799942632001</v>
      </c>
      <c r="H947" s="17" t="s">
        <v>1265</v>
      </c>
    </row>
    <row r="948" spans="1:8" x14ac:dyDescent="0.3">
      <c r="A948" s="17" t="s">
        <v>810</v>
      </c>
      <c r="B948" s="17">
        <v>3696</v>
      </c>
      <c r="C948" s="17">
        <v>3703</v>
      </c>
      <c r="D948" s="17">
        <v>8</v>
      </c>
      <c r="E948" s="17" t="s">
        <v>31</v>
      </c>
      <c r="F948" s="17" t="s">
        <v>33</v>
      </c>
      <c r="G948" s="18">
        <v>2591.3684702952301</v>
      </c>
      <c r="H948" s="17" t="s">
        <v>1266</v>
      </c>
    </row>
    <row r="949" spans="1:8" x14ac:dyDescent="0.3">
      <c r="A949" s="17" t="s">
        <v>27</v>
      </c>
      <c r="B949" s="17">
        <v>3704</v>
      </c>
      <c r="C949" s="17">
        <v>3704</v>
      </c>
      <c r="D949" s="17">
        <v>1</v>
      </c>
      <c r="E949" s="17" t="s">
        <v>31</v>
      </c>
      <c r="F949" s="17" t="s">
        <v>33</v>
      </c>
      <c r="G949" s="18">
        <v>363.05799942632001</v>
      </c>
      <c r="H949" s="17" t="s">
        <v>1267</v>
      </c>
    </row>
    <row r="950" spans="1:8" x14ac:dyDescent="0.3">
      <c r="A950" s="17" t="s">
        <v>105</v>
      </c>
      <c r="B950" s="17">
        <v>3705</v>
      </c>
      <c r="C950" s="17">
        <v>3707</v>
      </c>
      <c r="D950" s="17">
        <v>3</v>
      </c>
      <c r="E950" s="17" t="s">
        <v>31</v>
      </c>
      <c r="F950" s="17" t="s">
        <v>33</v>
      </c>
      <c r="G950" s="18">
        <v>988.14023854460993</v>
      </c>
      <c r="H950" s="17" t="s">
        <v>1268</v>
      </c>
    </row>
    <row r="951" spans="1:8" x14ac:dyDescent="0.3">
      <c r="A951" s="17" t="s">
        <v>27</v>
      </c>
      <c r="B951" s="17">
        <v>3708</v>
      </c>
      <c r="C951" s="17">
        <v>3708</v>
      </c>
      <c r="D951" s="17">
        <v>1</v>
      </c>
      <c r="E951" s="17" t="s">
        <v>31</v>
      </c>
      <c r="F951" s="17" t="s">
        <v>33</v>
      </c>
      <c r="G951" s="18">
        <v>363.05799942632001</v>
      </c>
      <c r="H951" s="17" t="s">
        <v>1269</v>
      </c>
    </row>
    <row r="952" spans="1:8" x14ac:dyDescent="0.3">
      <c r="A952" s="17" t="s">
        <v>27</v>
      </c>
      <c r="B952" s="17">
        <v>3709</v>
      </c>
      <c r="C952" s="17">
        <v>3709</v>
      </c>
      <c r="D952" s="17">
        <v>1</v>
      </c>
      <c r="E952" s="17" t="s">
        <v>31</v>
      </c>
      <c r="F952" s="17" t="s">
        <v>33</v>
      </c>
      <c r="G952" s="18">
        <v>363.05799942632001</v>
      </c>
      <c r="H952" s="17" t="s">
        <v>1270</v>
      </c>
    </row>
    <row r="953" spans="1:8" x14ac:dyDescent="0.3">
      <c r="A953" s="17" t="s">
        <v>1271</v>
      </c>
      <c r="B953" s="17">
        <v>3710</v>
      </c>
      <c r="C953" s="17">
        <v>3717</v>
      </c>
      <c r="D953" s="17">
        <v>8</v>
      </c>
      <c r="E953" s="17" t="s">
        <v>31</v>
      </c>
      <c r="F953" s="17" t="s">
        <v>33</v>
      </c>
      <c r="G953" s="18">
        <v>2582.3569025533097</v>
      </c>
      <c r="H953" s="17" t="s">
        <v>1272</v>
      </c>
    </row>
    <row r="954" spans="1:8" x14ac:dyDescent="0.3">
      <c r="A954" s="17" t="s">
        <v>364</v>
      </c>
      <c r="B954" s="17">
        <v>3718</v>
      </c>
      <c r="C954" s="17">
        <v>3720</v>
      </c>
      <c r="D954" s="17">
        <v>3</v>
      </c>
      <c r="E954" s="17" t="s">
        <v>31</v>
      </c>
      <c r="F954" s="17" t="s">
        <v>33</v>
      </c>
      <c r="G954" s="18">
        <v>973.14057289723996</v>
      </c>
      <c r="H954" s="17" t="s">
        <v>1273</v>
      </c>
    </row>
    <row r="955" spans="1:8" x14ac:dyDescent="0.3">
      <c r="A955" s="17" t="s">
        <v>27</v>
      </c>
      <c r="B955" s="17">
        <v>3721</v>
      </c>
      <c r="C955" s="17">
        <v>3721</v>
      </c>
      <c r="D955" s="17">
        <v>1</v>
      </c>
      <c r="E955" s="17" t="s">
        <v>31</v>
      </c>
      <c r="F955" s="17" t="s">
        <v>33</v>
      </c>
      <c r="G955" s="18">
        <v>363.05799942632001</v>
      </c>
      <c r="H955" s="17" t="s">
        <v>1274</v>
      </c>
    </row>
    <row r="956" spans="1:8" x14ac:dyDescent="0.3">
      <c r="A956" s="17" t="s">
        <v>806</v>
      </c>
      <c r="B956" s="17">
        <v>3722</v>
      </c>
      <c r="C956" s="17">
        <v>3725</v>
      </c>
      <c r="D956" s="17">
        <v>4</v>
      </c>
      <c r="E956" s="17" t="s">
        <v>31</v>
      </c>
      <c r="F956" s="17" t="s">
        <v>33</v>
      </c>
      <c r="G956" s="18">
        <v>1317.19275866936</v>
      </c>
      <c r="H956" s="17" t="s">
        <v>1275</v>
      </c>
    </row>
    <row r="957" spans="1:8" x14ac:dyDescent="0.3">
      <c r="A957" s="17" t="s">
        <v>392</v>
      </c>
      <c r="B957" s="17">
        <v>3726</v>
      </c>
      <c r="C957" s="17">
        <v>3729</v>
      </c>
      <c r="D957" s="17">
        <v>4</v>
      </c>
      <c r="E957" s="17" t="s">
        <v>31</v>
      </c>
      <c r="F957" s="17" t="s">
        <v>33</v>
      </c>
      <c r="G957" s="18">
        <v>1332.19242431673</v>
      </c>
      <c r="H957" s="17" t="s">
        <v>1276</v>
      </c>
    </row>
    <row r="958" spans="1:8" x14ac:dyDescent="0.3">
      <c r="A958" s="17" t="s">
        <v>993</v>
      </c>
      <c r="B958" s="17">
        <v>3730</v>
      </c>
      <c r="C958" s="17">
        <v>3735</v>
      </c>
      <c r="D958" s="17">
        <v>6</v>
      </c>
      <c r="E958" s="17" t="s">
        <v>31</v>
      </c>
      <c r="F958" s="17" t="s">
        <v>33</v>
      </c>
      <c r="G958" s="18">
        <v>1927.2753321402799</v>
      </c>
      <c r="H958" s="17" t="s">
        <v>1277</v>
      </c>
    </row>
    <row r="959" spans="1:8" x14ac:dyDescent="0.3">
      <c r="A959" s="17" t="s">
        <v>99</v>
      </c>
      <c r="B959" s="17">
        <v>3736</v>
      </c>
      <c r="C959" s="17">
        <v>3737</v>
      </c>
      <c r="D959" s="17">
        <v>2</v>
      </c>
      <c r="E959" s="17" t="s">
        <v>31</v>
      </c>
      <c r="F959" s="17" t="s">
        <v>33</v>
      </c>
      <c r="G959" s="18">
        <v>683.09895180914998</v>
      </c>
      <c r="H959" s="17" t="s">
        <v>1278</v>
      </c>
    </row>
    <row r="960" spans="1:8" x14ac:dyDescent="0.3">
      <c r="A960" s="17" t="s">
        <v>249</v>
      </c>
      <c r="B960" s="17">
        <v>3738</v>
      </c>
      <c r="C960" s="17">
        <v>3740</v>
      </c>
      <c r="D960" s="17">
        <v>3</v>
      </c>
      <c r="E960" s="17" t="s">
        <v>31</v>
      </c>
      <c r="F960" s="17" t="s">
        <v>33</v>
      </c>
      <c r="G960" s="18">
        <v>1012.1514719339</v>
      </c>
      <c r="H960" s="17" t="s">
        <v>1279</v>
      </c>
    </row>
    <row r="961" spans="1:8" x14ac:dyDescent="0.3">
      <c r="A961" s="17" t="s">
        <v>27</v>
      </c>
      <c r="B961" s="17">
        <v>3741</v>
      </c>
      <c r="C961" s="17">
        <v>3741</v>
      </c>
      <c r="D961" s="17">
        <v>1</v>
      </c>
      <c r="E961" s="17" t="s">
        <v>31</v>
      </c>
      <c r="F961" s="17" t="s">
        <v>33</v>
      </c>
      <c r="G961" s="18">
        <v>363.05799942632001</v>
      </c>
      <c r="H961" s="17" t="s">
        <v>1280</v>
      </c>
    </row>
    <row r="962" spans="1:8" x14ac:dyDescent="0.3">
      <c r="A962" s="17" t="s">
        <v>1281</v>
      </c>
      <c r="B962" s="17">
        <v>3742</v>
      </c>
      <c r="C962" s="17">
        <v>3752</v>
      </c>
      <c r="D962" s="17">
        <v>11</v>
      </c>
      <c r="E962" s="17" t="s">
        <v>31</v>
      </c>
      <c r="F962" s="17" t="s">
        <v>33</v>
      </c>
      <c r="G962" s="18">
        <v>3554.5147972801897</v>
      </c>
      <c r="H962" s="17" t="s">
        <v>1282</v>
      </c>
    </row>
    <row r="963" spans="1:8" x14ac:dyDescent="0.3">
      <c r="A963" s="17" t="s">
        <v>105</v>
      </c>
      <c r="B963" s="17">
        <v>3753</v>
      </c>
      <c r="C963" s="17">
        <v>3755</v>
      </c>
      <c r="D963" s="17">
        <v>3</v>
      </c>
      <c r="E963" s="17" t="s">
        <v>31</v>
      </c>
      <c r="F963" s="17" t="s">
        <v>33</v>
      </c>
      <c r="G963" s="18">
        <v>988.14023854460993</v>
      </c>
      <c r="H963" s="17" t="s">
        <v>1283</v>
      </c>
    </row>
    <row r="964" spans="1:8" x14ac:dyDescent="0.3">
      <c r="A964" s="17" t="s">
        <v>99</v>
      </c>
      <c r="B964" s="17">
        <v>3756</v>
      </c>
      <c r="C964" s="17">
        <v>3757</v>
      </c>
      <c r="D964" s="17">
        <v>2</v>
      </c>
      <c r="E964" s="17" t="s">
        <v>31</v>
      </c>
      <c r="F964" s="17" t="s">
        <v>33</v>
      </c>
      <c r="G964" s="18">
        <v>683.09895180914998</v>
      </c>
      <c r="H964" s="17" t="s">
        <v>1284</v>
      </c>
    </row>
    <row r="965" spans="1:8" x14ac:dyDescent="0.3">
      <c r="A965" s="17" t="s">
        <v>1285</v>
      </c>
      <c r="B965" s="17">
        <v>3758</v>
      </c>
      <c r="C965" s="17">
        <v>3760</v>
      </c>
      <c r="D965" s="17">
        <v>3</v>
      </c>
      <c r="E965" s="17" t="s">
        <v>31</v>
      </c>
      <c r="F965" s="17" t="s">
        <v>33</v>
      </c>
      <c r="G965" s="18">
        <v>1003.1399041919799</v>
      </c>
      <c r="H965" s="17" t="s">
        <v>1286</v>
      </c>
    </row>
    <row r="966" spans="1:8" x14ac:dyDescent="0.3">
      <c r="A966" s="17" t="s">
        <v>602</v>
      </c>
      <c r="B966" s="17">
        <v>3761</v>
      </c>
      <c r="C966" s="17">
        <v>3764</v>
      </c>
      <c r="D966" s="17">
        <v>4</v>
      </c>
      <c r="E966" s="17" t="s">
        <v>31</v>
      </c>
      <c r="F966" s="17" t="s">
        <v>33</v>
      </c>
      <c r="G966" s="18">
        <v>1317.19275866936</v>
      </c>
      <c r="H966" s="17" t="s">
        <v>1287</v>
      </c>
    </row>
    <row r="967" spans="1:8" x14ac:dyDescent="0.3">
      <c r="A967" s="17" t="s">
        <v>51</v>
      </c>
      <c r="B967" s="17">
        <v>3765</v>
      </c>
      <c r="C967" s="17">
        <v>3769</v>
      </c>
      <c r="D967" s="17">
        <v>5</v>
      </c>
      <c r="E967" s="17" t="s">
        <v>31</v>
      </c>
      <c r="F967" s="17" t="s">
        <v>33</v>
      </c>
      <c r="G967" s="18">
        <v>1631.2456131467402</v>
      </c>
      <c r="H967" s="17" t="s">
        <v>1288</v>
      </c>
    </row>
    <row r="968" spans="1:8" x14ac:dyDescent="0.3">
      <c r="A968" s="17" t="s">
        <v>105</v>
      </c>
      <c r="B968" s="17">
        <v>3770</v>
      </c>
      <c r="C968" s="17">
        <v>3772</v>
      </c>
      <c r="D968" s="17">
        <v>3</v>
      </c>
      <c r="E968" s="17" t="s">
        <v>31</v>
      </c>
      <c r="F968" s="17" t="s">
        <v>33</v>
      </c>
      <c r="G968" s="18">
        <v>988.14023854460993</v>
      </c>
      <c r="H968" s="17" t="s">
        <v>1289</v>
      </c>
    </row>
    <row r="969" spans="1:8" x14ac:dyDescent="0.3">
      <c r="A969" s="17" t="s">
        <v>105</v>
      </c>
      <c r="B969" s="17">
        <v>3773</v>
      </c>
      <c r="C969" s="17">
        <v>3775</v>
      </c>
      <c r="D969" s="17">
        <v>3</v>
      </c>
      <c r="E969" s="17" t="s">
        <v>31</v>
      </c>
      <c r="F969" s="17" t="s">
        <v>33</v>
      </c>
      <c r="G969" s="18">
        <v>988.14023854460993</v>
      </c>
      <c r="H969" s="17" t="s">
        <v>1290</v>
      </c>
    </row>
    <row r="970" spans="1:8" x14ac:dyDescent="0.3">
      <c r="A970" s="17" t="s">
        <v>1291</v>
      </c>
      <c r="B970" s="17">
        <v>3776</v>
      </c>
      <c r="C970" s="17">
        <v>3778</v>
      </c>
      <c r="D970" s="17">
        <v>3</v>
      </c>
      <c r="E970" s="17" t="s">
        <v>31</v>
      </c>
      <c r="F970" s="17" t="s">
        <v>33</v>
      </c>
      <c r="G970" s="18">
        <v>1012.1514719339</v>
      </c>
      <c r="H970" s="17" t="s">
        <v>1292</v>
      </c>
    </row>
    <row r="971" spans="1:8" x14ac:dyDescent="0.3">
      <c r="A971" s="17" t="s">
        <v>105</v>
      </c>
      <c r="B971" s="17">
        <v>3779</v>
      </c>
      <c r="C971" s="17">
        <v>3781</v>
      </c>
      <c r="D971" s="17">
        <v>3</v>
      </c>
      <c r="E971" s="17" t="s">
        <v>31</v>
      </c>
      <c r="F971" s="17" t="s">
        <v>33</v>
      </c>
      <c r="G971" s="18">
        <v>988.14023854460993</v>
      </c>
      <c r="H971" s="17" t="s">
        <v>1293</v>
      </c>
    </row>
    <row r="972" spans="1:8" x14ac:dyDescent="0.3">
      <c r="A972" s="17" t="s">
        <v>214</v>
      </c>
      <c r="B972" s="17">
        <v>3782</v>
      </c>
      <c r="C972" s="17">
        <v>3785</v>
      </c>
      <c r="D972" s="17">
        <v>4</v>
      </c>
      <c r="E972" s="17" t="s">
        <v>31</v>
      </c>
      <c r="F972" s="17" t="s">
        <v>33</v>
      </c>
      <c r="G972" s="18">
        <v>1293.18152528007</v>
      </c>
      <c r="H972" s="17" t="s">
        <v>1294</v>
      </c>
    </row>
    <row r="973" spans="1:8" x14ac:dyDescent="0.3">
      <c r="A973" s="17" t="s">
        <v>193</v>
      </c>
      <c r="B973" s="17">
        <v>3786</v>
      </c>
      <c r="C973" s="17">
        <v>3788</v>
      </c>
      <c r="D973" s="17">
        <v>3</v>
      </c>
      <c r="E973" s="17" t="s">
        <v>31</v>
      </c>
      <c r="F973" s="17" t="s">
        <v>33</v>
      </c>
      <c r="G973" s="18">
        <v>1021.1630396758201</v>
      </c>
      <c r="H973" s="17" t="s">
        <v>1295</v>
      </c>
    </row>
    <row r="974" spans="1:8" x14ac:dyDescent="0.3">
      <c r="A974" s="17" t="s">
        <v>27</v>
      </c>
      <c r="B974" s="17">
        <v>3789</v>
      </c>
      <c r="C974" s="17">
        <v>3789</v>
      </c>
      <c r="D974" s="17">
        <v>1</v>
      </c>
      <c r="E974" s="17" t="s">
        <v>31</v>
      </c>
      <c r="F974" s="17" t="s">
        <v>33</v>
      </c>
      <c r="G974" s="18">
        <v>363.05799942632001</v>
      </c>
      <c r="H974" s="17" t="s">
        <v>1296</v>
      </c>
    </row>
    <row r="975" spans="1:8" x14ac:dyDescent="0.3">
      <c r="A975" s="17" t="s">
        <v>27</v>
      </c>
      <c r="B975" s="17">
        <v>3790</v>
      </c>
      <c r="C975" s="17">
        <v>3790</v>
      </c>
      <c r="D975" s="17">
        <v>1</v>
      </c>
      <c r="E975" s="17" t="s">
        <v>31</v>
      </c>
      <c r="F975" s="17" t="s">
        <v>33</v>
      </c>
      <c r="G975" s="18">
        <v>363.05799942632001</v>
      </c>
      <c r="H975" s="17" t="s">
        <v>1297</v>
      </c>
    </row>
    <row r="976" spans="1:8" x14ac:dyDescent="0.3">
      <c r="A976" s="17" t="s">
        <v>105</v>
      </c>
      <c r="B976" s="17">
        <v>3791</v>
      </c>
      <c r="C976" s="17">
        <v>3793</v>
      </c>
      <c r="D976" s="17">
        <v>3</v>
      </c>
      <c r="E976" s="17" t="s">
        <v>31</v>
      </c>
      <c r="F976" s="17" t="s">
        <v>33</v>
      </c>
      <c r="G976" s="18">
        <v>988.14023854460993</v>
      </c>
      <c r="H976" s="17" t="s">
        <v>74</v>
      </c>
    </row>
    <row r="977" spans="1:8" x14ac:dyDescent="0.3">
      <c r="A977" s="17" t="s">
        <v>1285</v>
      </c>
      <c r="B977" s="17">
        <v>3794</v>
      </c>
      <c r="C977" s="17">
        <v>3796</v>
      </c>
      <c r="D977" s="17">
        <v>3</v>
      </c>
      <c r="E977" s="17" t="s">
        <v>31</v>
      </c>
      <c r="F977" s="17" t="s">
        <v>33</v>
      </c>
      <c r="G977" s="18">
        <v>1003.1399041919799</v>
      </c>
      <c r="H977" s="17" t="s">
        <v>1298</v>
      </c>
    </row>
    <row r="978" spans="1:8" x14ac:dyDescent="0.3">
      <c r="A978" s="17" t="s">
        <v>1291</v>
      </c>
      <c r="B978" s="17">
        <v>3797</v>
      </c>
      <c r="C978" s="17">
        <v>3799</v>
      </c>
      <c r="D978" s="17">
        <v>3</v>
      </c>
      <c r="E978" s="17" t="s">
        <v>31</v>
      </c>
      <c r="F978" s="17" t="s">
        <v>33</v>
      </c>
      <c r="G978" s="18">
        <v>1012.1514719339</v>
      </c>
      <c r="H978" s="17" t="s">
        <v>1299</v>
      </c>
    </row>
    <row r="979" spans="1:8" x14ac:dyDescent="0.3">
      <c r="A979" s="17" t="s">
        <v>105</v>
      </c>
      <c r="B979" s="17">
        <v>3800</v>
      </c>
      <c r="C979" s="17">
        <v>3802</v>
      </c>
      <c r="D979" s="17">
        <v>3</v>
      </c>
      <c r="E979" s="17" t="s">
        <v>31</v>
      </c>
      <c r="F979" s="17" t="s">
        <v>33</v>
      </c>
      <c r="G979" s="18">
        <v>988.14023854460993</v>
      </c>
      <c r="H979" s="17" t="s">
        <v>1300</v>
      </c>
    </row>
    <row r="980" spans="1:8" x14ac:dyDescent="0.3">
      <c r="A980" s="17" t="s">
        <v>99</v>
      </c>
      <c r="B980" s="17">
        <v>3803</v>
      </c>
      <c r="C980" s="17">
        <v>3804</v>
      </c>
      <c r="D980" s="17">
        <v>2</v>
      </c>
      <c r="E980" s="17" t="s">
        <v>31</v>
      </c>
      <c r="F980" s="17" t="s">
        <v>33</v>
      </c>
      <c r="G980" s="18">
        <v>683.09895180914998</v>
      </c>
      <c r="H980" s="17" t="s">
        <v>1301</v>
      </c>
    </row>
    <row r="981" spans="1:8" x14ac:dyDescent="0.3">
      <c r="A981" s="17" t="s">
        <v>27</v>
      </c>
      <c r="B981" s="17">
        <v>3805</v>
      </c>
      <c r="C981" s="17">
        <v>3805</v>
      </c>
      <c r="D981" s="17">
        <v>1</v>
      </c>
      <c r="E981" s="17" t="s">
        <v>31</v>
      </c>
      <c r="F981" s="17" t="s">
        <v>33</v>
      </c>
      <c r="G981" s="18">
        <v>363.05799942632001</v>
      </c>
      <c r="H981" s="17" t="s">
        <v>1302</v>
      </c>
    </row>
    <row r="982" spans="1:8" x14ac:dyDescent="0.3">
      <c r="A982" s="17" t="s">
        <v>263</v>
      </c>
      <c r="B982" s="17">
        <v>3806</v>
      </c>
      <c r="C982" s="17">
        <v>3808</v>
      </c>
      <c r="D982" s="17">
        <v>3</v>
      </c>
      <c r="E982" s="17" t="s">
        <v>31</v>
      </c>
      <c r="F982" s="17" t="s">
        <v>33</v>
      </c>
      <c r="G982" s="18">
        <v>997.15180628653002</v>
      </c>
      <c r="H982" s="17" t="s">
        <v>1303</v>
      </c>
    </row>
    <row r="983" spans="1:8" x14ac:dyDescent="0.3">
      <c r="A983" s="17" t="s">
        <v>105</v>
      </c>
      <c r="B983" s="17">
        <v>3809</v>
      </c>
      <c r="C983" s="17">
        <v>3811</v>
      </c>
      <c r="D983" s="17">
        <v>3</v>
      </c>
      <c r="E983" s="17" t="s">
        <v>31</v>
      </c>
      <c r="F983" s="17" t="s">
        <v>33</v>
      </c>
      <c r="G983" s="18">
        <v>988.14023854460993</v>
      </c>
      <c r="H983" s="17" t="s">
        <v>1304</v>
      </c>
    </row>
    <row r="984" spans="1:8" x14ac:dyDescent="0.3">
      <c r="A984" s="17" t="s">
        <v>105</v>
      </c>
      <c r="B984" s="17">
        <v>3812</v>
      </c>
      <c r="C984" s="17">
        <v>3814</v>
      </c>
      <c r="D984" s="17">
        <v>3</v>
      </c>
      <c r="E984" s="17" t="s">
        <v>31</v>
      </c>
      <c r="F984" s="17" t="s">
        <v>33</v>
      </c>
      <c r="G984" s="18">
        <v>988.14023854460993</v>
      </c>
      <c r="H984" s="17" t="s">
        <v>75</v>
      </c>
    </row>
    <row r="985" spans="1:8" x14ac:dyDescent="0.3">
      <c r="A985" s="17" t="s">
        <v>209</v>
      </c>
      <c r="B985" s="17">
        <v>3815</v>
      </c>
      <c r="C985" s="17">
        <v>3818</v>
      </c>
      <c r="D985" s="17">
        <v>4</v>
      </c>
      <c r="E985" s="17" t="s">
        <v>31</v>
      </c>
      <c r="F985" s="17" t="s">
        <v>33</v>
      </c>
      <c r="G985" s="18">
        <v>1326.2043264112801</v>
      </c>
      <c r="H985" s="17" t="s">
        <v>1305</v>
      </c>
    </row>
    <row r="986" spans="1:8" x14ac:dyDescent="0.3">
      <c r="A986" s="17" t="s">
        <v>97</v>
      </c>
      <c r="B986" s="17">
        <v>3819</v>
      </c>
      <c r="C986" s="17">
        <v>3822</v>
      </c>
      <c r="D986" s="17">
        <v>4</v>
      </c>
      <c r="E986" s="17" t="s">
        <v>31</v>
      </c>
      <c r="F986" s="17" t="s">
        <v>33</v>
      </c>
      <c r="G986" s="18">
        <v>1308.18119092744</v>
      </c>
      <c r="H986" s="17" t="s">
        <v>1306</v>
      </c>
    </row>
    <row r="987" spans="1:8" x14ac:dyDescent="0.3">
      <c r="A987" s="17" t="s">
        <v>181</v>
      </c>
      <c r="B987" s="17">
        <v>3823</v>
      </c>
      <c r="C987" s="17">
        <v>3825</v>
      </c>
      <c r="D987" s="17">
        <v>3</v>
      </c>
      <c r="E987" s="17" t="s">
        <v>31</v>
      </c>
      <c r="F987" s="17" t="s">
        <v>33</v>
      </c>
      <c r="G987" s="18">
        <v>997.15180628653002</v>
      </c>
      <c r="H987" s="17" t="s">
        <v>1307</v>
      </c>
    </row>
    <row r="988" spans="1:8" x14ac:dyDescent="0.3">
      <c r="A988" s="17" t="s">
        <v>81</v>
      </c>
      <c r="B988" s="17">
        <v>3826</v>
      </c>
      <c r="C988" s="17">
        <v>3827</v>
      </c>
      <c r="D988" s="17">
        <v>2</v>
      </c>
      <c r="E988" s="17" t="s">
        <v>31</v>
      </c>
      <c r="F988" s="17" t="s">
        <v>33</v>
      </c>
      <c r="G988" s="18">
        <v>692.11051955106996</v>
      </c>
      <c r="H988" s="17" t="s">
        <v>1308</v>
      </c>
    </row>
    <row r="989" spans="1:8" x14ac:dyDescent="0.3">
      <c r="A989" s="17" t="s">
        <v>27</v>
      </c>
      <c r="B989" s="17">
        <v>3828</v>
      </c>
      <c r="C989" s="17">
        <v>3828</v>
      </c>
      <c r="D989" s="17">
        <v>1</v>
      </c>
      <c r="E989" s="17" t="s">
        <v>31</v>
      </c>
      <c r="F989" s="17" t="s">
        <v>33</v>
      </c>
      <c r="G989" s="18">
        <v>363.05799942632001</v>
      </c>
      <c r="H989" s="17" t="s">
        <v>1309</v>
      </c>
    </row>
    <row r="990" spans="1:8" x14ac:dyDescent="0.3">
      <c r="A990" s="17" t="s">
        <v>181</v>
      </c>
      <c r="B990" s="17">
        <v>3829</v>
      </c>
      <c r="C990" s="17">
        <v>3831</v>
      </c>
      <c r="D990" s="17">
        <v>3</v>
      </c>
      <c r="E990" s="17" t="s">
        <v>31</v>
      </c>
      <c r="F990" s="17" t="s">
        <v>33</v>
      </c>
      <c r="G990" s="18">
        <v>997.15180628653002</v>
      </c>
      <c r="H990" s="17" t="s">
        <v>1310</v>
      </c>
    </row>
    <row r="991" spans="1:8" x14ac:dyDescent="0.3">
      <c r="A991" s="17" t="s">
        <v>868</v>
      </c>
      <c r="B991" s="17">
        <v>3832</v>
      </c>
      <c r="C991" s="17">
        <v>3837</v>
      </c>
      <c r="D991" s="17">
        <v>6</v>
      </c>
      <c r="E991" s="17" t="s">
        <v>31</v>
      </c>
      <c r="F991" s="17" t="s">
        <v>33</v>
      </c>
      <c r="G991" s="18">
        <v>1957.2746634350199</v>
      </c>
      <c r="H991" s="17" t="s">
        <v>1311</v>
      </c>
    </row>
    <row r="992" spans="1:8" x14ac:dyDescent="0.3">
      <c r="A992" s="17" t="s">
        <v>81</v>
      </c>
      <c r="B992" s="17">
        <v>3838</v>
      </c>
      <c r="C992" s="17">
        <v>3839</v>
      </c>
      <c r="D992" s="17">
        <v>2</v>
      </c>
      <c r="E992" s="17" t="s">
        <v>31</v>
      </c>
      <c r="F992" s="17" t="s">
        <v>33</v>
      </c>
      <c r="G992" s="18">
        <v>692.11051955106996</v>
      </c>
      <c r="H992" s="17" t="s">
        <v>1312</v>
      </c>
    </row>
    <row r="993" spans="1:8" x14ac:dyDescent="0.3">
      <c r="A993" s="17" t="s">
        <v>517</v>
      </c>
      <c r="B993" s="17">
        <v>3840</v>
      </c>
      <c r="C993" s="17">
        <v>3843</v>
      </c>
      <c r="D993" s="17">
        <v>4</v>
      </c>
      <c r="E993" s="17" t="s">
        <v>31</v>
      </c>
      <c r="F993" s="17" t="s">
        <v>33</v>
      </c>
      <c r="G993" s="18">
        <v>1278.1818596327</v>
      </c>
      <c r="H993" s="17" t="s">
        <v>1313</v>
      </c>
    </row>
    <row r="994" spans="1:8" x14ac:dyDescent="0.3">
      <c r="A994" s="17" t="s">
        <v>99</v>
      </c>
      <c r="B994" s="17">
        <v>3844</v>
      </c>
      <c r="C994" s="17">
        <v>3845</v>
      </c>
      <c r="D994" s="17">
        <v>2</v>
      </c>
      <c r="E994" s="17" t="s">
        <v>31</v>
      </c>
      <c r="F994" s="17" t="s">
        <v>33</v>
      </c>
      <c r="G994" s="18">
        <v>683.09895180914998</v>
      </c>
      <c r="H994" s="17" t="s">
        <v>1314</v>
      </c>
    </row>
    <row r="995" spans="1:8" x14ac:dyDescent="0.3">
      <c r="A995" s="17" t="s">
        <v>105</v>
      </c>
      <c r="B995" s="17">
        <v>3846</v>
      </c>
      <c r="C995" s="17">
        <v>3848</v>
      </c>
      <c r="D995" s="17">
        <v>3</v>
      </c>
      <c r="E995" s="17" t="s">
        <v>31</v>
      </c>
      <c r="F995" s="17" t="s">
        <v>33</v>
      </c>
      <c r="G995" s="18">
        <v>988.14023854460993</v>
      </c>
      <c r="H995" s="17" t="s">
        <v>1315</v>
      </c>
    </row>
    <row r="996" spans="1:8" x14ac:dyDescent="0.3">
      <c r="A996" s="17" t="s">
        <v>193</v>
      </c>
      <c r="B996" s="17">
        <v>3849</v>
      </c>
      <c r="C996" s="17">
        <v>3851</v>
      </c>
      <c r="D996" s="17">
        <v>3</v>
      </c>
      <c r="E996" s="17" t="s">
        <v>31</v>
      </c>
      <c r="F996" s="17" t="s">
        <v>33</v>
      </c>
      <c r="G996" s="18">
        <v>1021.1630396758201</v>
      </c>
      <c r="H996" s="17" t="s">
        <v>1316</v>
      </c>
    </row>
    <row r="997" spans="1:8" x14ac:dyDescent="0.3">
      <c r="A997" s="17" t="s">
        <v>27</v>
      </c>
      <c r="B997" s="17">
        <v>3852</v>
      </c>
      <c r="C997" s="17">
        <v>3852</v>
      </c>
      <c r="D997" s="17">
        <v>1</v>
      </c>
      <c r="E997" s="17" t="s">
        <v>31</v>
      </c>
      <c r="F997" s="17" t="s">
        <v>33</v>
      </c>
      <c r="G997" s="18">
        <v>363.05799942632001</v>
      </c>
      <c r="H997" s="17" t="s">
        <v>1317</v>
      </c>
    </row>
    <row r="998" spans="1:8" x14ac:dyDescent="0.3">
      <c r="A998" s="17" t="s">
        <v>27</v>
      </c>
      <c r="B998" s="17">
        <v>3853</v>
      </c>
      <c r="C998" s="17">
        <v>3853</v>
      </c>
      <c r="D998" s="17">
        <v>1</v>
      </c>
      <c r="E998" s="17" t="s">
        <v>31</v>
      </c>
      <c r="F998" s="17" t="s">
        <v>33</v>
      </c>
      <c r="G998" s="18">
        <v>363.05799942632001</v>
      </c>
      <c r="H998" s="17" t="s">
        <v>1318</v>
      </c>
    </row>
    <row r="999" spans="1:8" x14ac:dyDescent="0.3">
      <c r="A999" s="17" t="s">
        <v>132</v>
      </c>
      <c r="B999" s="17">
        <v>3854</v>
      </c>
      <c r="C999" s="17">
        <v>3855</v>
      </c>
      <c r="D999" s="17">
        <v>2</v>
      </c>
      <c r="E999" s="17" t="s">
        <v>31</v>
      </c>
      <c r="F999" s="17" t="s">
        <v>33</v>
      </c>
      <c r="G999" s="18">
        <v>668.09928616178001</v>
      </c>
      <c r="H999" s="17" t="s">
        <v>1319</v>
      </c>
    </row>
    <row r="1000" spans="1:8" x14ac:dyDescent="0.3">
      <c r="A1000" s="17" t="s">
        <v>99</v>
      </c>
      <c r="B1000" s="17">
        <v>3856</v>
      </c>
      <c r="C1000" s="17">
        <v>3857</v>
      </c>
      <c r="D1000" s="17">
        <v>2</v>
      </c>
      <c r="E1000" s="17" t="s">
        <v>31</v>
      </c>
      <c r="F1000" s="17" t="s">
        <v>33</v>
      </c>
      <c r="G1000" s="18">
        <v>683.09895180914998</v>
      </c>
      <c r="H1000" s="17" t="s">
        <v>1320</v>
      </c>
    </row>
    <row r="1001" spans="1:8" x14ac:dyDescent="0.3">
      <c r="A1001" s="17" t="s">
        <v>1321</v>
      </c>
      <c r="B1001" s="17">
        <v>3858</v>
      </c>
      <c r="C1001" s="17">
        <v>3863</v>
      </c>
      <c r="D1001" s="17">
        <v>6</v>
      </c>
      <c r="E1001" s="17" t="s">
        <v>31</v>
      </c>
      <c r="F1001" s="17" t="s">
        <v>33</v>
      </c>
      <c r="G1001" s="18">
        <v>1975.2977989188601</v>
      </c>
      <c r="H1001" s="17" t="s">
        <v>1322</v>
      </c>
    </row>
    <row r="1002" spans="1:8" x14ac:dyDescent="0.3">
      <c r="A1002" s="17" t="s">
        <v>1323</v>
      </c>
      <c r="B1002" s="17">
        <v>3864</v>
      </c>
      <c r="C1002" s="17">
        <v>3874</v>
      </c>
      <c r="D1002" s="17">
        <v>11</v>
      </c>
      <c r="E1002" s="17" t="s">
        <v>31</v>
      </c>
      <c r="F1002" s="17" t="s">
        <v>33</v>
      </c>
      <c r="G1002" s="18">
        <v>3539.5151316328202</v>
      </c>
      <c r="H1002" s="17" t="s">
        <v>1324</v>
      </c>
    </row>
    <row r="1003" spans="1:8" x14ac:dyDescent="0.3">
      <c r="A1003" s="17" t="s">
        <v>249</v>
      </c>
      <c r="B1003" s="17">
        <v>3875</v>
      </c>
      <c r="C1003" s="17">
        <v>3877</v>
      </c>
      <c r="D1003" s="17">
        <v>3</v>
      </c>
      <c r="E1003" s="17" t="s">
        <v>31</v>
      </c>
      <c r="F1003" s="17" t="s">
        <v>33</v>
      </c>
      <c r="G1003" s="18">
        <v>1012.1514719339</v>
      </c>
      <c r="H1003" s="17" t="s">
        <v>1325</v>
      </c>
    </row>
    <row r="1004" spans="1:8" x14ac:dyDescent="0.3">
      <c r="A1004" s="17" t="s">
        <v>1326</v>
      </c>
      <c r="B1004" s="17">
        <v>3878</v>
      </c>
      <c r="C1004" s="17">
        <v>3882</v>
      </c>
      <c r="D1004" s="17">
        <v>5</v>
      </c>
      <c r="E1004" s="17" t="s">
        <v>31</v>
      </c>
      <c r="F1004" s="17" t="s">
        <v>33</v>
      </c>
      <c r="G1004" s="18">
        <v>1622.2340454048201</v>
      </c>
      <c r="H1004" s="17" t="s">
        <v>1327</v>
      </c>
    </row>
    <row r="1005" spans="1:8" x14ac:dyDescent="0.3">
      <c r="A1005" s="17" t="s">
        <v>81</v>
      </c>
      <c r="B1005" s="17">
        <v>3883</v>
      </c>
      <c r="C1005" s="17">
        <v>3884</v>
      </c>
      <c r="D1005" s="17">
        <v>2</v>
      </c>
      <c r="E1005" s="17" t="s">
        <v>31</v>
      </c>
      <c r="F1005" s="17" t="s">
        <v>33</v>
      </c>
      <c r="G1005" s="18">
        <v>692.11051955106996</v>
      </c>
      <c r="H1005" s="17" t="s">
        <v>1328</v>
      </c>
    </row>
    <row r="1006" spans="1:8" x14ac:dyDescent="0.3">
      <c r="A1006" s="17" t="s">
        <v>105</v>
      </c>
      <c r="B1006" s="17">
        <v>3885</v>
      </c>
      <c r="C1006" s="17">
        <v>3887</v>
      </c>
      <c r="D1006" s="17">
        <v>3</v>
      </c>
      <c r="E1006" s="17" t="s">
        <v>31</v>
      </c>
      <c r="F1006" s="17" t="s">
        <v>33</v>
      </c>
      <c r="G1006" s="18">
        <v>988.14023854460993</v>
      </c>
      <c r="H1006" s="17" t="s">
        <v>1329</v>
      </c>
    </row>
    <row r="1007" spans="1:8" x14ac:dyDescent="0.3">
      <c r="A1007" s="17" t="s">
        <v>27</v>
      </c>
      <c r="B1007" s="17">
        <v>3888</v>
      </c>
      <c r="C1007" s="17">
        <v>3888</v>
      </c>
      <c r="D1007" s="17">
        <v>1</v>
      </c>
      <c r="E1007" s="17" t="s">
        <v>31</v>
      </c>
      <c r="F1007" s="17" t="s">
        <v>33</v>
      </c>
      <c r="G1007" s="18">
        <v>363.05799942632001</v>
      </c>
      <c r="H1007" s="17" t="s">
        <v>1330</v>
      </c>
    </row>
    <row r="1008" spans="1:8" x14ac:dyDescent="0.3">
      <c r="A1008" s="17" t="s">
        <v>1331</v>
      </c>
      <c r="B1008" s="17">
        <v>3889</v>
      </c>
      <c r="C1008" s="17">
        <v>3893</v>
      </c>
      <c r="D1008" s="17">
        <v>5</v>
      </c>
      <c r="E1008" s="17" t="s">
        <v>31</v>
      </c>
      <c r="F1008" s="17" t="s">
        <v>33</v>
      </c>
      <c r="G1008" s="18">
        <v>1637.2337110521898</v>
      </c>
      <c r="H1008" s="17" t="s">
        <v>1332</v>
      </c>
    </row>
    <row r="1009" spans="1:8" x14ac:dyDescent="0.3">
      <c r="A1009" s="17" t="s">
        <v>602</v>
      </c>
      <c r="B1009" s="17">
        <v>3894</v>
      </c>
      <c r="C1009" s="17">
        <v>3897</v>
      </c>
      <c r="D1009" s="17">
        <v>4</v>
      </c>
      <c r="E1009" s="17" t="s">
        <v>31</v>
      </c>
      <c r="F1009" s="17" t="s">
        <v>33</v>
      </c>
      <c r="G1009" s="18">
        <v>1317.19275866936</v>
      </c>
      <c r="H1009" s="17" t="s">
        <v>1333</v>
      </c>
    </row>
    <row r="1010" spans="1:8" x14ac:dyDescent="0.3">
      <c r="A1010" s="17" t="s">
        <v>734</v>
      </c>
      <c r="B1010" s="17">
        <v>3898</v>
      </c>
      <c r="C1010" s="17">
        <v>3901</v>
      </c>
      <c r="D1010" s="17">
        <v>4</v>
      </c>
      <c r="E1010" s="17" t="s">
        <v>31</v>
      </c>
      <c r="F1010" s="17" t="s">
        <v>33</v>
      </c>
      <c r="G1010" s="18">
        <v>1302.1930930219901</v>
      </c>
      <c r="H1010" s="17" t="s">
        <v>1334</v>
      </c>
    </row>
    <row r="1011" spans="1:8" x14ac:dyDescent="0.3">
      <c r="A1011" s="17" t="s">
        <v>719</v>
      </c>
      <c r="B1011" s="17">
        <v>3902</v>
      </c>
      <c r="C1011" s="17">
        <v>3906</v>
      </c>
      <c r="D1011" s="17">
        <v>5</v>
      </c>
      <c r="E1011" s="17" t="s">
        <v>31</v>
      </c>
      <c r="F1011" s="17" t="s">
        <v>33</v>
      </c>
      <c r="G1011" s="18">
        <v>1646.2452787941102</v>
      </c>
      <c r="H1011" s="17" t="s">
        <v>1335</v>
      </c>
    </row>
    <row r="1012" spans="1:8" x14ac:dyDescent="0.3">
      <c r="A1012" s="17" t="s">
        <v>1336</v>
      </c>
      <c r="B1012" s="17">
        <v>3907</v>
      </c>
      <c r="C1012" s="17">
        <v>3910</v>
      </c>
      <c r="D1012" s="17">
        <v>4</v>
      </c>
      <c r="E1012" s="17" t="s">
        <v>31</v>
      </c>
      <c r="F1012" s="17" t="s">
        <v>33</v>
      </c>
      <c r="G1012" s="18">
        <v>1317.19275866936</v>
      </c>
      <c r="H1012" s="17" t="s">
        <v>1337</v>
      </c>
    </row>
    <row r="1013" spans="1:8" x14ac:dyDescent="0.3">
      <c r="A1013" s="17" t="s">
        <v>105</v>
      </c>
      <c r="B1013" s="17">
        <v>3911</v>
      </c>
      <c r="C1013" s="17">
        <v>3913</v>
      </c>
      <c r="D1013" s="17">
        <v>3</v>
      </c>
      <c r="E1013" s="17" t="s">
        <v>31</v>
      </c>
      <c r="F1013" s="17" t="s">
        <v>33</v>
      </c>
      <c r="G1013" s="18">
        <v>988.14023854460993</v>
      </c>
      <c r="H1013" s="17" t="s">
        <v>1338</v>
      </c>
    </row>
    <row r="1014" spans="1:8" x14ac:dyDescent="0.3">
      <c r="A1014" s="17" t="s">
        <v>1339</v>
      </c>
      <c r="B1014" s="17">
        <v>3914</v>
      </c>
      <c r="C1014" s="17">
        <v>3924</v>
      </c>
      <c r="D1014" s="17">
        <v>11</v>
      </c>
      <c r="E1014" s="17" t="s">
        <v>31</v>
      </c>
      <c r="F1014" s="17" t="s">
        <v>33</v>
      </c>
      <c r="G1014" s="18">
        <v>3458.4698637230299</v>
      </c>
      <c r="H1014" s="17" t="s">
        <v>1340</v>
      </c>
    </row>
    <row r="1015" spans="1:8" x14ac:dyDescent="0.3">
      <c r="A1015" s="17" t="s">
        <v>1341</v>
      </c>
      <c r="B1015" s="17">
        <v>3925</v>
      </c>
      <c r="C1015" s="17">
        <v>3929</v>
      </c>
      <c r="D1015" s="17">
        <v>5</v>
      </c>
      <c r="E1015" s="17" t="s">
        <v>31</v>
      </c>
      <c r="F1015" s="17" t="s">
        <v>33</v>
      </c>
      <c r="G1015" s="18">
        <v>1613.2224776629</v>
      </c>
      <c r="H1015" s="17" t="s">
        <v>1342</v>
      </c>
    </row>
    <row r="1016" spans="1:8" x14ac:dyDescent="0.3">
      <c r="A1016" s="17" t="s">
        <v>27</v>
      </c>
      <c r="B1016" s="17">
        <v>3930</v>
      </c>
      <c r="C1016" s="17">
        <v>3930</v>
      </c>
      <c r="D1016" s="17">
        <v>1</v>
      </c>
      <c r="E1016" s="17" t="s">
        <v>31</v>
      </c>
      <c r="F1016" s="17" t="s">
        <v>33</v>
      </c>
      <c r="G1016" s="18">
        <v>363.05799942632001</v>
      </c>
      <c r="H1016" s="17" t="s">
        <v>1343</v>
      </c>
    </row>
    <row r="1017" spans="1:8" x14ac:dyDescent="0.3">
      <c r="A1017" s="17" t="s">
        <v>27</v>
      </c>
      <c r="B1017" s="17">
        <v>3931</v>
      </c>
      <c r="C1017" s="17">
        <v>3931</v>
      </c>
      <c r="D1017" s="17">
        <v>1</v>
      </c>
      <c r="E1017" s="17" t="s">
        <v>31</v>
      </c>
      <c r="F1017" s="17" t="s">
        <v>33</v>
      </c>
      <c r="G1017" s="18">
        <v>363.05799942632001</v>
      </c>
      <c r="H1017" s="17" t="s">
        <v>1344</v>
      </c>
    </row>
    <row r="1018" spans="1:8" x14ac:dyDescent="0.3">
      <c r="A1018" s="17" t="s">
        <v>1345</v>
      </c>
      <c r="B1018" s="17">
        <v>3932</v>
      </c>
      <c r="C1018" s="17">
        <v>3938</v>
      </c>
      <c r="D1018" s="17">
        <v>7</v>
      </c>
      <c r="E1018" s="17" t="s">
        <v>31</v>
      </c>
      <c r="F1018" s="17" t="s">
        <v>33</v>
      </c>
      <c r="G1018" s="18">
        <v>2232.31661887574</v>
      </c>
      <c r="H1018" s="17" t="s">
        <v>1346</v>
      </c>
    </row>
    <row r="1019" spans="1:8" x14ac:dyDescent="0.3">
      <c r="A1019" s="17" t="s">
        <v>81</v>
      </c>
      <c r="B1019" s="17">
        <v>3939</v>
      </c>
      <c r="C1019" s="17">
        <v>3940</v>
      </c>
      <c r="D1019" s="17">
        <v>2</v>
      </c>
      <c r="E1019" s="17" t="s">
        <v>31</v>
      </c>
      <c r="F1019" s="17" t="s">
        <v>33</v>
      </c>
      <c r="G1019" s="18">
        <v>692.11051955106996</v>
      </c>
      <c r="H1019" s="17" t="s">
        <v>1347</v>
      </c>
    </row>
    <row r="1020" spans="1:8" x14ac:dyDescent="0.3">
      <c r="A1020" s="17" t="s">
        <v>1348</v>
      </c>
      <c r="B1020" s="17">
        <v>3941</v>
      </c>
      <c r="C1020" s="17">
        <v>3949</v>
      </c>
      <c r="D1020" s="17">
        <v>9</v>
      </c>
      <c r="E1020" s="17" t="s">
        <v>31</v>
      </c>
      <c r="F1020" s="17" t="s">
        <v>33</v>
      </c>
      <c r="G1020" s="18">
        <v>2833.3876246047398</v>
      </c>
      <c r="H1020" s="17" t="s">
        <v>1349</v>
      </c>
    </row>
    <row r="1021" spans="1:8" x14ac:dyDescent="0.3">
      <c r="A1021" s="17" t="s">
        <v>1350</v>
      </c>
      <c r="B1021" s="17">
        <v>3950</v>
      </c>
      <c r="C1021" s="17">
        <v>3955</v>
      </c>
      <c r="D1021" s="17">
        <v>6</v>
      </c>
      <c r="E1021" s="17" t="s">
        <v>31</v>
      </c>
      <c r="F1021" s="17" t="s">
        <v>33</v>
      </c>
      <c r="G1021" s="18">
        <v>1927.2753321402799</v>
      </c>
      <c r="H1021" s="17" t="s">
        <v>1351</v>
      </c>
    </row>
    <row r="1022" spans="1:8" x14ac:dyDescent="0.3">
      <c r="A1022" s="17" t="s">
        <v>27</v>
      </c>
      <c r="B1022" s="17">
        <v>3956</v>
      </c>
      <c r="C1022" s="17">
        <v>3956</v>
      </c>
      <c r="D1022" s="17">
        <v>1</v>
      </c>
      <c r="E1022" s="17" t="s">
        <v>31</v>
      </c>
      <c r="F1022" s="17" t="s">
        <v>33</v>
      </c>
      <c r="G1022" s="18">
        <v>363.05799942632001</v>
      </c>
      <c r="H1022" s="17" t="s">
        <v>1352</v>
      </c>
    </row>
    <row r="1023" spans="1:8" x14ac:dyDescent="0.3">
      <c r="A1023" s="17" t="s">
        <v>27</v>
      </c>
      <c r="B1023" s="17">
        <v>3957</v>
      </c>
      <c r="C1023" s="17">
        <v>3957</v>
      </c>
      <c r="D1023" s="17">
        <v>1</v>
      </c>
      <c r="E1023" s="17" t="s">
        <v>31</v>
      </c>
      <c r="F1023" s="17" t="s">
        <v>33</v>
      </c>
      <c r="G1023" s="18">
        <v>363.05799942632001</v>
      </c>
      <c r="H1023" s="17" t="s">
        <v>1353</v>
      </c>
    </row>
    <row r="1024" spans="1:8" x14ac:dyDescent="0.3">
      <c r="A1024" s="17" t="s">
        <v>274</v>
      </c>
      <c r="B1024" s="17">
        <v>3958</v>
      </c>
      <c r="C1024" s="17">
        <v>3963</v>
      </c>
      <c r="D1024" s="17">
        <v>6</v>
      </c>
      <c r="E1024" s="17" t="s">
        <v>31</v>
      </c>
      <c r="F1024" s="17" t="s">
        <v>33</v>
      </c>
      <c r="G1024" s="18">
        <v>1927.2753321402799</v>
      </c>
      <c r="H1024" s="17" t="s">
        <v>1354</v>
      </c>
    </row>
    <row r="1025" spans="1:8" x14ac:dyDescent="0.3">
      <c r="A1025" s="17" t="s">
        <v>27</v>
      </c>
      <c r="B1025" s="17">
        <v>3964</v>
      </c>
      <c r="C1025" s="17">
        <v>3964</v>
      </c>
      <c r="D1025" s="17">
        <v>1</v>
      </c>
      <c r="E1025" s="17" t="s">
        <v>31</v>
      </c>
      <c r="F1025" s="17" t="s">
        <v>33</v>
      </c>
      <c r="G1025" s="18">
        <v>363.05799942632001</v>
      </c>
      <c r="H1025" s="17" t="s">
        <v>1355</v>
      </c>
    </row>
    <row r="1026" spans="1:8" x14ac:dyDescent="0.3">
      <c r="A1026" s="17" t="s">
        <v>898</v>
      </c>
      <c r="B1026" s="17">
        <v>3965</v>
      </c>
      <c r="C1026" s="17">
        <v>3968</v>
      </c>
      <c r="D1026" s="17">
        <v>4</v>
      </c>
      <c r="E1026" s="17" t="s">
        <v>31</v>
      </c>
      <c r="F1026" s="17" t="s">
        <v>33</v>
      </c>
      <c r="G1026" s="18">
        <v>1332.19242431673</v>
      </c>
      <c r="H1026" s="17" t="s">
        <v>1356</v>
      </c>
    </row>
    <row r="1027" spans="1:8" x14ac:dyDescent="0.3">
      <c r="A1027" s="17" t="s">
        <v>1357</v>
      </c>
      <c r="B1027" s="17">
        <v>3969</v>
      </c>
      <c r="C1027" s="17">
        <v>3984</v>
      </c>
      <c r="D1027" s="17">
        <v>16</v>
      </c>
      <c r="E1027" s="17" t="s">
        <v>31</v>
      </c>
      <c r="F1027" s="17" t="s">
        <v>33</v>
      </c>
      <c r="G1027" s="18">
        <v>5031.6987641789101</v>
      </c>
      <c r="H1027" s="17" t="s">
        <v>1358</v>
      </c>
    </row>
    <row r="1028" spans="1:8" x14ac:dyDescent="0.3">
      <c r="A1028" s="17" t="s">
        <v>1359</v>
      </c>
      <c r="B1028" s="17">
        <v>3985</v>
      </c>
      <c r="C1028" s="17">
        <v>4002</v>
      </c>
      <c r="D1028" s="17">
        <v>18</v>
      </c>
      <c r="E1028" s="17" t="s">
        <v>31</v>
      </c>
      <c r="F1028" s="17" t="s">
        <v>33</v>
      </c>
      <c r="G1028" s="18">
        <v>5665.79257103912</v>
      </c>
      <c r="H1028" s="17" t="s">
        <v>1360</v>
      </c>
    </row>
    <row r="1029" spans="1:8" x14ac:dyDescent="0.3">
      <c r="A1029" s="17" t="s">
        <v>1336</v>
      </c>
      <c r="B1029" s="17">
        <v>4003</v>
      </c>
      <c r="C1029" s="17">
        <v>4006</v>
      </c>
      <c r="D1029" s="17">
        <v>4</v>
      </c>
      <c r="E1029" s="17" t="s">
        <v>31</v>
      </c>
      <c r="F1029" s="17" t="s">
        <v>33</v>
      </c>
      <c r="G1029" s="18">
        <v>1317.19275866936</v>
      </c>
      <c r="H1029" s="17" t="s">
        <v>1361</v>
      </c>
    </row>
    <row r="1030" spans="1:8" x14ac:dyDescent="0.3">
      <c r="A1030" s="17" t="s">
        <v>232</v>
      </c>
      <c r="B1030" s="17">
        <v>4007</v>
      </c>
      <c r="C1030" s="17">
        <v>4012</v>
      </c>
      <c r="D1030" s="17">
        <v>6</v>
      </c>
      <c r="E1030" s="17" t="s">
        <v>31</v>
      </c>
      <c r="F1030" s="17" t="s">
        <v>33</v>
      </c>
      <c r="G1030" s="18">
        <v>1942.2749977876501</v>
      </c>
      <c r="H1030" s="17" t="s">
        <v>1362</v>
      </c>
    </row>
    <row r="1031" spans="1:8" x14ac:dyDescent="0.3">
      <c r="A1031" s="17" t="s">
        <v>1363</v>
      </c>
      <c r="B1031" s="17">
        <v>4013</v>
      </c>
      <c r="C1031" s="17">
        <v>4024</v>
      </c>
      <c r="D1031" s="17">
        <v>12</v>
      </c>
      <c r="E1031" s="17" t="s">
        <v>31</v>
      </c>
      <c r="F1031" s="17" t="s">
        <v>33</v>
      </c>
      <c r="G1031" s="18">
        <v>3829.55675272091</v>
      </c>
      <c r="H1031" s="17" t="s">
        <v>1364</v>
      </c>
    </row>
    <row r="1032" spans="1:8" x14ac:dyDescent="0.3">
      <c r="A1032" s="17" t="s">
        <v>734</v>
      </c>
      <c r="B1032" s="17">
        <v>4025</v>
      </c>
      <c r="C1032" s="17">
        <v>4028</v>
      </c>
      <c r="D1032" s="17">
        <v>4</v>
      </c>
      <c r="E1032" s="17" t="s">
        <v>31</v>
      </c>
      <c r="F1032" s="17" t="s">
        <v>33</v>
      </c>
      <c r="G1032" s="18">
        <v>1302.1930930219901</v>
      </c>
      <c r="H1032" s="17" t="s">
        <v>1365</v>
      </c>
    </row>
    <row r="1033" spans="1:8" x14ac:dyDescent="0.3">
      <c r="A1033" s="17" t="s">
        <v>263</v>
      </c>
      <c r="B1033" s="17">
        <v>4029</v>
      </c>
      <c r="C1033" s="17">
        <v>4031</v>
      </c>
      <c r="D1033" s="17">
        <v>3</v>
      </c>
      <c r="E1033" s="17" t="s">
        <v>31</v>
      </c>
      <c r="F1033" s="17" t="s">
        <v>33</v>
      </c>
      <c r="G1033" s="18">
        <v>997.15180628653002</v>
      </c>
      <c r="H1033" s="17" t="s">
        <v>1366</v>
      </c>
    </row>
    <row r="1034" spans="1:8" x14ac:dyDescent="0.3">
      <c r="A1034" s="17" t="s">
        <v>719</v>
      </c>
      <c r="B1034" s="17">
        <v>4032</v>
      </c>
      <c r="C1034" s="17">
        <v>4036</v>
      </c>
      <c r="D1034" s="17">
        <v>5</v>
      </c>
      <c r="E1034" s="17" t="s">
        <v>31</v>
      </c>
      <c r="F1034" s="17" t="s">
        <v>33</v>
      </c>
      <c r="G1034" s="18">
        <v>1646.2452787941102</v>
      </c>
      <c r="H1034" s="17" t="s">
        <v>1367</v>
      </c>
    </row>
    <row r="1035" spans="1:8" x14ac:dyDescent="0.3">
      <c r="A1035" s="17" t="s">
        <v>263</v>
      </c>
      <c r="B1035" s="17">
        <v>4037</v>
      </c>
      <c r="C1035" s="17">
        <v>4039</v>
      </c>
      <c r="D1035" s="17">
        <v>3</v>
      </c>
      <c r="E1035" s="17" t="s">
        <v>31</v>
      </c>
      <c r="F1035" s="17" t="s">
        <v>33</v>
      </c>
      <c r="G1035" s="18">
        <v>997.15180628653002</v>
      </c>
      <c r="H1035" s="17" t="s">
        <v>1368</v>
      </c>
    </row>
    <row r="1036" spans="1:8" x14ac:dyDescent="0.3">
      <c r="A1036" s="17" t="s">
        <v>1369</v>
      </c>
      <c r="B1036" s="17">
        <v>4040</v>
      </c>
      <c r="C1036" s="17">
        <v>4048</v>
      </c>
      <c r="D1036" s="17">
        <v>9</v>
      </c>
      <c r="E1036" s="17" t="s">
        <v>31</v>
      </c>
      <c r="F1036" s="17" t="s">
        <v>33</v>
      </c>
      <c r="G1036" s="18">
        <v>2914.4328925145296</v>
      </c>
      <c r="H1036" s="17" t="s">
        <v>1370</v>
      </c>
    </row>
    <row r="1037" spans="1:8" x14ac:dyDescent="0.3">
      <c r="A1037" s="17" t="s">
        <v>1371</v>
      </c>
      <c r="B1037" s="17">
        <v>4049</v>
      </c>
      <c r="C1037" s="17">
        <v>4053</v>
      </c>
      <c r="D1037" s="17">
        <v>5</v>
      </c>
      <c r="E1037" s="17" t="s">
        <v>31</v>
      </c>
      <c r="F1037" s="17" t="s">
        <v>33</v>
      </c>
      <c r="G1037" s="18">
        <v>1637.2337110521898</v>
      </c>
      <c r="H1037" s="17" t="s">
        <v>1372</v>
      </c>
    </row>
    <row r="1038" spans="1:8" x14ac:dyDescent="0.3">
      <c r="A1038" s="17" t="s">
        <v>374</v>
      </c>
      <c r="B1038" s="17">
        <v>4054</v>
      </c>
      <c r="C1038" s="17">
        <v>4058</v>
      </c>
      <c r="D1038" s="17">
        <v>5</v>
      </c>
      <c r="E1038" s="17" t="s">
        <v>31</v>
      </c>
      <c r="F1038" s="17" t="s">
        <v>33</v>
      </c>
      <c r="G1038" s="18">
        <v>1622.2340454048201</v>
      </c>
      <c r="H1038" s="17" t="s">
        <v>1373</v>
      </c>
    </row>
    <row r="1039" spans="1:8" x14ac:dyDescent="0.3">
      <c r="A1039" s="17" t="s">
        <v>1374</v>
      </c>
      <c r="B1039" s="17">
        <v>4059</v>
      </c>
      <c r="C1039" s="17">
        <v>4071</v>
      </c>
      <c r="D1039" s="17">
        <v>13</v>
      </c>
      <c r="E1039" s="17" t="s">
        <v>31</v>
      </c>
      <c r="F1039" s="17" t="s">
        <v>33</v>
      </c>
      <c r="G1039" s="18">
        <v>4095.5871404197096</v>
      </c>
      <c r="H1039" s="17" t="s">
        <v>1375</v>
      </c>
    </row>
    <row r="1040" spans="1:8" x14ac:dyDescent="0.3">
      <c r="A1040" s="17" t="s">
        <v>27</v>
      </c>
      <c r="B1040" s="17">
        <v>4072</v>
      </c>
      <c r="C1040" s="17">
        <v>4072</v>
      </c>
      <c r="D1040" s="17">
        <v>1</v>
      </c>
      <c r="E1040" s="17" t="s">
        <v>31</v>
      </c>
      <c r="F1040" s="17" t="s">
        <v>33</v>
      </c>
      <c r="G1040" s="18">
        <v>363.05799942632001</v>
      </c>
      <c r="H1040" s="17" t="s">
        <v>1376</v>
      </c>
    </row>
    <row r="1041" spans="1:8" x14ac:dyDescent="0.3">
      <c r="A1041" s="17" t="s">
        <v>27</v>
      </c>
      <c r="B1041" s="17">
        <v>4073</v>
      </c>
      <c r="C1041" s="17">
        <v>4073</v>
      </c>
      <c r="D1041" s="17">
        <v>1</v>
      </c>
      <c r="E1041" s="17" t="s">
        <v>31</v>
      </c>
      <c r="F1041" s="17" t="s">
        <v>33</v>
      </c>
      <c r="G1041" s="18">
        <v>363.05799942632001</v>
      </c>
      <c r="H1041" s="17" t="s">
        <v>1377</v>
      </c>
    </row>
    <row r="1042" spans="1:8" x14ac:dyDescent="0.3">
      <c r="A1042" s="17" t="s">
        <v>1378</v>
      </c>
      <c r="B1042" s="17">
        <v>4074</v>
      </c>
      <c r="C1042" s="17">
        <v>4079</v>
      </c>
      <c r="D1042" s="17">
        <v>6</v>
      </c>
      <c r="E1042" s="17" t="s">
        <v>31</v>
      </c>
      <c r="F1042" s="17" t="s">
        <v>33</v>
      </c>
      <c r="G1042" s="18">
        <v>1984.3093666607801</v>
      </c>
      <c r="H1042" s="17" t="s">
        <v>1379</v>
      </c>
    </row>
    <row r="1043" spans="1:8" x14ac:dyDescent="0.3">
      <c r="A1043" s="17" t="s">
        <v>263</v>
      </c>
      <c r="B1043" s="17">
        <v>4080</v>
      </c>
      <c r="C1043" s="17">
        <v>4082</v>
      </c>
      <c r="D1043" s="17">
        <v>3</v>
      </c>
      <c r="E1043" s="17" t="s">
        <v>31</v>
      </c>
      <c r="F1043" s="17" t="s">
        <v>33</v>
      </c>
      <c r="G1043" s="18">
        <v>997.15180628653002</v>
      </c>
      <c r="H1043" s="17" t="s">
        <v>1380</v>
      </c>
    </row>
    <row r="1044" spans="1:8" x14ac:dyDescent="0.3">
      <c r="A1044" s="17" t="s">
        <v>99</v>
      </c>
      <c r="B1044" s="17">
        <v>4083</v>
      </c>
      <c r="C1044" s="17">
        <v>4084</v>
      </c>
      <c r="D1044" s="17">
        <v>2</v>
      </c>
      <c r="E1044" s="17" t="s">
        <v>31</v>
      </c>
      <c r="F1044" s="17" t="s">
        <v>33</v>
      </c>
      <c r="G1044" s="18">
        <v>683.09895180914998</v>
      </c>
      <c r="H1044" s="17" t="s">
        <v>1381</v>
      </c>
    </row>
    <row r="1045" spans="1:8" x14ac:dyDescent="0.3">
      <c r="A1045" s="17" t="s">
        <v>1382</v>
      </c>
      <c r="B1045" s="17">
        <v>4085</v>
      </c>
      <c r="C1045" s="17">
        <v>4096</v>
      </c>
      <c r="D1045" s="17">
        <v>12</v>
      </c>
      <c r="E1045" s="17" t="s">
        <v>31</v>
      </c>
      <c r="F1045" s="17" t="s">
        <v>33</v>
      </c>
      <c r="G1045" s="18">
        <v>3889.5554153103899</v>
      </c>
      <c r="H1045" s="17" t="s">
        <v>1383</v>
      </c>
    </row>
    <row r="1046" spans="1:8" x14ac:dyDescent="0.3">
      <c r="A1046" s="17" t="s">
        <v>1384</v>
      </c>
      <c r="B1046" s="17">
        <v>4097</v>
      </c>
      <c r="C1046" s="17">
        <v>4105</v>
      </c>
      <c r="D1046" s="17">
        <v>9</v>
      </c>
      <c r="E1046" s="17" t="s">
        <v>31</v>
      </c>
      <c r="F1046" s="17" t="s">
        <v>33</v>
      </c>
      <c r="G1046" s="18">
        <v>2938.4441259038199</v>
      </c>
      <c r="H1046" s="17" t="s">
        <v>1385</v>
      </c>
    </row>
    <row r="1047" spans="1:8" x14ac:dyDescent="0.3">
      <c r="A1047" s="17" t="s">
        <v>252</v>
      </c>
      <c r="B1047" s="17">
        <v>4106</v>
      </c>
      <c r="C1047" s="17">
        <v>4109</v>
      </c>
      <c r="D1047" s="17">
        <v>4</v>
      </c>
      <c r="E1047" s="17" t="s">
        <v>31</v>
      </c>
      <c r="F1047" s="17" t="s">
        <v>33</v>
      </c>
      <c r="G1047" s="18">
        <v>1350.21555980057</v>
      </c>
      <c r="H1047" s="17" t="s">
        <v>1386</v>
      </c>
    </row>
    <row r="1048" spans="1:8" x14ac:dyDescent="0.3">
      <c r="A1048" s="17" t="s">
        <v>1387</v>
      </c>
      <c r="B1048" s="17">
        <v>4110</v>
      </c>
      <c r="C1048" s="17">
        <v>4119</v>
      </c>
      <c r="D1048" s="17">
        <v>10</v>
      </c>
      <c r="E1048" s="17" t="s">
        <v>31</v>
      </c>
      <c r="F1048" s="17" t="s">
        <v>33</v>
      </c>
      <c r="G1048" s="18">
        <v>3264.4731761921003</v>
      </c>
      <c r="H1048" s="17" t="s">
        <v>1388</v>
      </c>
    </row>
    <row r="1049" spans="1:8" x14ac:dyDescent="0.3">
      <c r="A1049" s="17" t="s">
        <v>1389</v>
      </c>
      <c r="B1049" s="17">
        <v>4120</v>
      </c>
      <c r="C1049" s="17">
        <v>4134</v>
      </c>
      <c r="D1049" s="17">
        <v>15</v>
      </c>
      <c r="E1049" s="17" t="s">
        <v>31</v>
      </c>
      <c r="F1049" s="17" t="s">
        <v>33</v>
      </c>
      <c r="G1049" s="18">
        <v>4798.6911776113202</v>
      </c>
      <c r="H1049" s="17" t="s">
        <v>1390</v>
      </c>
    </row>
    <row r="1050" spans="1:8" x14ac:dyDescent="0.3">
      <c r="A1050" s="17" t="s">
        <v>27</v>
      </c>
      <c r="B1050" s="17">
        <v>4135</v>
      </c>
      <c r="C1050" s="17">
        <v>4135</v>
      </c>
      <c r="D1050" s="17">
        <v>1</v>
      </c>
      <c r="E1050" s="17" t="s">
        <v>31</v>
      </c>
      <c r="F1050" s="17" t="s">
        <v>33</v>
      </c>
      <c r="G1050" s="18">
        <v>363.05799942632001</v>
      </c>
      <c r="H1050" s="17" t="s">
        <v>1391</v>
      </c>
    </row>
    <row r="1051" spans="1:8" x14ac:dyDescent="0.3">
      <c r="A1051" s="17" t="s">
        <v>27</v>
      </c>
      <c r="B1051" s="17">
        <v>4136</v>
      </c>
      <c r="C1051" s="17">
        <v>4136</v>
      </c>
      <c r="D1051" s="17">
        <v>1</v>
      </c>
      <c r="E1051" s="17" t="s">
        <v>31</v>
      </c>
      <c r="F1051" s="17" t="s">
        <v>33</v>
      </c>
      <c r="G1051" s="18">
        <v>363.05799942632001</v>
      </c>
      <c r="H1051" s="17" t="s">
        <v>1392</v>
      </c>
    </row>
    <row r="1052" spans="1:8" x14ac:dyDescent="0.3">
      <c r="A1052" s="17" t="s">
        <v>1285</v>
      </c>
      <c r="B1052" s="17">
        <v>4137</v>
      </c>
      <c r="C1052" s="17">
        <v>4139</v>
      </c>
      <c r="D1052" s="17">
        <v>3</v>
      </c>
      <c r="E1052" s="17" t="s">
        <v>31</v>
      </c>
      <c r="F1052" s="17" t="s">
        <v>33</v>
      </c>
      <c r="G1052" s="18">
        <v>1003.1399041919799</v>
      </c>
      <c r="H1052" s="17" t="s">
        <v>1393</v>
      </c>
    </row>
    <row r="1053" spans="1:8" x14ac:dyDescent="0.3">
      <c r="A1053" s="17" t="s">
        <v>27</v>
      </c>
      <c r="B1053" s="17">
        <v>4140</v>
      </c>
      <c r="C1053" s="17">
        <v>4140</v>
      </c>
      <c r="D1053" s="17">
        <v>1</v>
      </c>
      <c r="E1053" s="17" t="s">
        <v>31</v>
      </c>
      <c r="F1053" s="17" t="s">
        <v>33</v>
      </c>
      <c r="G1053" s="18">
        <v>363.05799942632001</v>
      </c>
      <c r="H1053" s="17" t="s">
        <v>1394</v>
      </c>
    </row>
    <row r="1054" spans="1:8" x14ac:dyDescent="0.3">
      <c r="A1054" s="17" t="s">
        <v>1395</v>
      </c>
      <c r="B1054" s="17">
        <v>4141</v>
      </c>
      <c r="C1054" s="17">
        <v>4149</v>
      </c>
      <c r="D1054" s="17">
        <v>9</v>
      </c>
      <c r="E1054" s="17" t="s">
        <v>31</v>
      </c>
      <c r="F1054" s="17" t="s">
        <v>33</v>
      </c>
      <c r="G1054" s="18">
        <v>2911.4094226780599</v>
      </c>
      <c r="H1054" s="17" t="s">
        <v>1396</v>
      </c>
    </row>
    <row r="1055" spans="1:8" x14ac:dyDescent="0.3">
      <c r="A1055" s="17" t="s">
        <v>99</v>
      </c>
      <c r="B1055" s="17">
        <v>4150</v>
      </c>
      <c r="C1055" s="17">
        <v>4151</v>
      </c>
      <c r="D1055" s="17">
        <v>2</v>
      </c>
      <c r="E1055" s="17" t="s">
        <v>31</v>
      </c>
      <c r="F1055" s="17" t="s">
        <v>33</v>
      </c>
      <c r="G1055" s="18">
        <v>683.09895180914998</v>
      </c>
      <c r="H1055" s="17" t="s">
        <v>1397</v>
      </c>
    </row>
    <row r="1056" spans="1:8" x14ac:dyDescent="0.3">
      <c r="A1056" s="17" t="s">
        <v>114</v>
      </c>
      <c r="B1056" s="17">
        <v>4152</v>
      </c>
      <c r="C1056" s="17">
        <v>4155</v>
      </c>
      <c r="D1056" s="17">
        <v>4</v>
      </c>
      <c r="E1056" s="17" t="s">
        <v>31</v>
      </c>
      <c r="F1056" s="17" t="s">
        <v>33</v>
      </c>
      <c r="G1056" s="18">
        <v>1302.1930930219901</v>
      </c>
      <c r="H1056" s="17" t="s">
        <v>1398</v>
      </c>
    </row>
    <row r="1057" spans="1:8" x14ac:dyDescent="0.3">
      <c r="A1057" s="17" t="s">
        <v>1399</v>
      </c>
      <c r="B1057" s="17">
        <v>4156</v>
      </c>
      <c r="C1057" s="17">
        <v>4165</v>
      </c>
      <c r="D1057" s="17">
        <v>10</v>
      </c>
      <c r="E1057" s="17" t="s">
        <v>31</v>
      </c>
      <c r="F1057" s="17" t="s">
        <v>33</v>
      </c>
      <c r="G1057" s="18">
        <v>3171.4517124714098</v>
      </c>
      <c r="H1057" s="17" t="s">
        <v>1400</v>
      </c>
    </row>
    <row r="1058" spans="1:8" x14ac:dyDescent="0.3">
      <c r="A1058" s="17" t="s">
        <v>27</v>
      </c>
      <c r="B1058" s="17">
        <v>4166</v>
      </c>
      <c r="C1058" s="17">
        <v>4166</v>
      </c>
      <c r="D1058" s="17">
        <v>1</v>
      </c>
      <c r="E1058" s="17" t="s">
        <v>31</v>
      </c>
      <c r="F1058" s="17" t="s">
        <v>33</v>
      </c>
      <c r="G1058" s="18">
        <v>363.05799942632001</v>
      </c>
      <c r="H1058" s="17" t="s">
        <v>1401</v>
      </c>
    </row>
    <row r="1059" spans="1:8" x14ac:dyDescent="0.3">
      <c r="A1059" s="17" t="s">
        <v>81</v>
      </c>
      <c r="B1059" s="17">
        <v>4167</v>
      </c>
      <c r="C1059" s="17">
        <v>4168</v>
      </c>
      <c r="D1059" s="17">
        <v>2</v>
      </c>
      <c r="E1059" s="17" t="s">
        <v>31</v>
      </c>
      <c r="F1059" s="17" t="s">
        <v>33</v>
      </c>
      <c r="G1059" s="18">
        <v>692.11051955106996</v>
      </c>
      <c r="H1059" s="17" t="s">
        <v>1402</v>
      </c>
    </row>
    <row r="1060" spans="1:8" x14ac:dyDescent="0.3">
      <c r="A1060" s="17" t="s">
        <v>1336</v>
      </c>
      <c r="B1060" s="17">
        <v>4169</v>
      </c>
      <c r="C1060" s="17">
        <v>4172</v>
      </c>
      <c r="D1060" s="17">
        <v>4</v>
      </c>
      <c r="E1060" s="17" t="s">
        <v>31</v>
      </c>
      <c r="F1060" s="17" t="s">
        <v>33</v>
      </c>
      <c r="G1060" s="18">
        <v>1317.19275866936</v>
      </c>
      <c r="H1060" s="17" t="s">
        <v>1403</v>
      </c>
    </row>
    <row r="1061" spans="1:8" x14ac:dyDescent="0.3">
      <c r="A1061" s="17" t="s">
        <v>1404</v>
      </c>
      <c r="B1061" s="17">
        <v>4173</v>
      </c>
      <c r="C1061" s="17">
        <v>4204</v>
      </c>
      <c r="D1061" s="17">
        <v>32</v>
      </c>
      <c r="E1061" s="17" t="s">
        <v>31</v>
      </c>
      <c r="F1061" s="17" t="s">
        <v>33</v>
      </c>
      <c r="G1061" s="18">
        <v>10539.67488990428</v>
      </c>
      <c r="H1061" s="17" t="s">
        <v>1426</v>
      </c>
    </row>
    <row r="1062" spans="1:8" x14ac:dyDescent="0.3">
      <c r="A1062" s="17" t="s">
        <v>1405</v>
      </c>
      <c r="B1062" s="17">
        <v>4205</v>
      </c>
      <c r="C1062" s="17">
        <v>4210</v>
      </c>
      <c r="D1062" s="17">
        <v>6</v>
      </c>
      <c r="E1062" s="17" t="s">
        <v>31</v>
      </c>
      <c r="F1062" s="17" t="s">
        <v>33</v>
      </c>
      <c r="G1062" s="18">
        <v>1966.28623117694</v>
      </c>
      <c r="H1062" s="17" t="s">
        <v>1427</v>
      </c>
    </row>
    <row r="1063" spans="1:8" x14ac:dyDescent="0.3">
      <c r="A1063" s="17" t="s">
        <v>1430</v>
      </c>
      <c r="B1063" s="17">
        <v>4211</v>
      </c>
      <c r="C1063" s="17">
        <v>4283</v>
      </c>
      <c r="D1063" s="17">
        <v>73</v>
      </c>
      <c r="E1063" s="17" t="s">
        <v>31</v>
      </c>
      <c r="F1063" s="17" t="s">
        <v>33</v>
      </c>
      <c r="G1063" s="18">
        <v>23925.855401767771</v>
      </c>
      <c r="H1063" s="17" t="s">
        <v>1428</v>
      </c>
    </row>
    <row r="1064" spans="1:8" x14ac:dyDescent="0.3">
      <c r="A1064" s="17" t="s">
        <v>81</v>
      </c>
      <c r="B1064" s="17">
        <v>1</v>
      </c>
      <c r="C1064" s="17">
        <v>2</v>
      </c>
      <c r="D1064" s="17">
        <v>2</v>
      </c>
      <c r="E1064" s="17" t="s">
        <v>31</v>
      </c>
      <c r="F1064" s="17" t="s">
        <v>33</v>
      </c>
      <c r="G1064" s="18">
        <v>772.07685044287007</v>
      </c>
      <c r="H1064" s="17" t="s">
        <v>66</v>
      </c>
    </row>
    <row r="1065" spans="1:8" x14ac:dyDescent="0.3">
      <c r="A1065" s="17" t="s">
        <v>81</v>
      </c>
      <c r="B1065" s="17">
        <v>1</v>
      </c>
      <c r="C1065" s="17">
        <v>2</v>
      </c>
      <c r="D1065" s="17">
        <v>2</v>
      </c>
      <c r="E1065" s="17" t="s">
        <v>32</v>
      </c>
      <c r="F1065" s="17" t="s">
        <v>33</v>
      </c>
      <c r="G1065" s="18">
        <v>1239.1375662699302</v>
      </c>
      <c r="H1065" s="17" t="s">
        <v>66</v>
      </c>
    </row>
  </sheetData>
  <sortState xmlns:xlrd2="http://schemas.microsoft.com/office/spreadsheetml/2017/richdata2" ref="A2:H3190">
    <sortCondition ref="G2:G3190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D7E2A-D97A-49C2-8FE1-85E7D2F7AB31}">
  <sheetPr codeName="Sheet4"/>
  <dimension ref="A1:M6"/>
  <sheetViews>
    <sheetView workbookViewId="0">
      <selection activeCell="M10" sqref="M10"/>
    </sheetView>
  </sheetViews>
  <sheetFormatPr defaultColWidth="9.33203125" defaultRowHeight="14.4" x14ac:dyDescent="0.3"/>
  <cols>
    <col min="1" max="1" width="10.5546875" style="19" bestFit="1" customWidth="1"/>
    <col min="2" max="2" width="17.6640625" style="20" customWidth="1"/>
    <col min="3" max="8" width="9.33203125" style="20"/>
    <col min="9" max="9" width="10.5546875" style="19" bestFit="1" customWidth="1"/>
    <col min="10" max="10" width="9.33203125" style="21"/>
    <col min="11" max="11" width="9.33203125" style="22"/>
    <col min="12" max="14" width="9.33203125" style="20"/>
    <col min="15" max="15" width="9.5546875" style="20" bestFit="1" customWidth="1"/>
    <col min="16" max="16384" width="9.33203125" style="20"/>
  </cols>
  <sheetData>
    <row r="1" spans="1:13" x14ac:dyDescent="0.3">
      <c r="A1" s="19" t="s">
        <v>39</v>
      </c>
      <c r="B1" s="20" t="s">
        <v>29</v>
      </c>
      <c r="C1" s="20" t="s">
        <v>34</v>
      </c>
      <c r="D1" s="20" t="s">
        <v>35</v>
      </c>
      <c r="E1" s="20" t="s">
        <v>28</v>
      </c>
      <c r="F1" s="20" t="s">
        <v>36</v>
      </c>
      <c r="G1" s="20" t="s">
        <v>37</v>
      </c>
      <c r="H1" s="20" t="s">
        <v>40</v>
      </c>
      <c r="I1" s="19" t="s">
        <v>38</v>
      </c>
      <c r="J1" s="21" t="s">
        <v>41</v>
      </c>
      <c r="K1" s="22" t="s">
        <v>65</v>
      </c>
      <c r="L1" s="20" t="s">
        <v>76</v>
      </c>
      <c r="M1" s="20" t="s">
        <v>77</v>
      </c>
    </row>
    <row r="2" spans="1:13" x14ac:dyDescent="0.3">
      <c r="A2" s="19">
        <v>2247.3163058664841</v>
      </c>
      <c r="B2" s="20" t="s">
        <v>161</v>
      </c>
      <c r="C2" s="20">
        <v>246</v>
      </c>
      <c r="D2" s="20">
        <v>252</v>
      </c>
      <c r="E2" s="20">
        <v>7</v>
      </c>
      <c r="F2" s="20" t="s">
        <v>31</v>
      </c>
      <c r="G2" s="20" t="s">
        <v>33</v>
      </c>
      <c r="I2" s="19">
        <v>2247.31628452311</v>
      </c>
      <c r="J2" s="21">
        <v>9.497272034189248E-3</v>
      </c>
      <c r="K2" s="22" t="s">
        <v>162</v>
      </c>
      <c r="L2" s="20">
        <v>1</v>
      </c>
      <c r="M2" s="20" t="s">
        <v>30</v>
      </c>
    </row>
    <row r="3" spans="1:13" x14ac:dyDescent="0.3">
      <c r="A3" s="19">
        <v>2247.3163058664841</v>
      </c>
      <c r="B3" s="20" t="s">
        <v>346</v>
      </c>
      <c r="C3" s="20">
        <v>794</v>
      </c>
      <c r="D3" s="20">
        <v>800</v>
      </c>
      <c r="E3" s="20">
        <v>7</v>
      </c>
      <c r="F3" s="20" t="s">
        <v>31</v>
      </c>
      <c r="G3" s="20" t="s">
        <v>33</v>
      </c>
      <c r="I3" s="19">
        <v>2247.31628452311</v>
      </c>
      <c r="J3" s="21">
        <v>9.497272034189248E-3</v>
      </c>
      <c r="K3" s="22" t="s">
        <v>347</v>
      </c>
      <c r="L3" s="20">
        <v>2</v>
      </c>
      <c r="M3" s="20" t="s">
        <v>30</v>
      </c>
    </row>
    <row r="4" spans="1:13" x14ac:dyDescent="0.3">
      <c r="A4" s="19">
        <v>2247.3163058664841</v>
      </c>
      <c r="B4" s="20" t="s">
        <v>346</v>
      </c>
      <c r="C4" s="20">
        <v>857</v>
      </c>
      <c r="D4" s="20">
        <v>863</v>
      </c>
      <c r="E4" s="20">
        <v>7</v>
      </c>
      <c r="F4" s="20" t="s">
        <v>31</v>
      </c>
      <c r="G4" s="20" t="s">
        <v>33</v>
      </c>
      <c r="I4" s="19">
        <v>2247.31628452311</v>
      </c>
      <c r="J4" s="21">
        <v>9.497272034189248E-3</v>
      </c>
      <c r="K4" s="22" t="s">
        <v>372</v>
      </c>
      <c r="L4" s="20">
        <v>2</v>
      </c>
    </row>
    <row r="5" spans="1:13" x14ac:dyDescent="0.3">
      <c r="A5" s="19">
        <v>2247.3163058664841</v>
      </c>
      <c r="B5" s="20" t="s">
        <v>578</v>
      </c>
      <c r="C5" s="20">
        <v>1533</v>
      </c>
      <c r="D5" s="20">
        <v>1539</v>
      </c>
      <c r="E5" s="20">
        <v>7</v>
      </c>
      <c r="F5" s="20" t="s">
        <v>31</v>
      </c>
      <c r="G5" s="20" t="s">
        <v>33</v>
      </c>
      <c r="I5" s="19">
        <v>2247.31628452311</v>
      </c>
      <c r="J5" s="21">
        <v>9.497272034189248E-3</v>
      </c>
      <c r="K5" s="22" t="s">
        <v>579</v>
      </c>
      <c r="L5" s="20">
        <v>1</v>
      </c>
      <c r="M5" s="20" t="s">
        <v>30</v>
      </c>
    </row>
    <row r="6" spans="1:13" x14ac:dyDescent="0.3">
      <c r="A6" s="19">
        <v>2247.3163058664841</v>
      </c>
      <c r="B6" s="20" t="s">
        <v>1138</v>
      </c>
      <c r="C6" s="20">
        <v>3292</v>
      </c>
      <c r="D6" s="20">
        <v>3298</v>
      </c>
      <c r="E6" s="20">
        <v>7</v>
      </c>
      <c r="F6" s="20" t="s">
        <v>31</v>
      </c>
      <c r="G6" s="20" t="s">
        <v>33</v>
      </c>
      <c r="I6" s="19">
        <v>2247.31628452311</v>
      </c>
      <c r="J6" s="21">
        <v>9.497272034189248E-3</v>
      </c>
      <c r="K6" s="22" t="s">
        <v>1139</v>
      </c>
      <c r="L6" s="20">
        <v>1</v>
      </c>
      <c r="M6" s="20" t="s">
        <v>30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7F56C-86C9-45B1-8767-CE05B7BA057C}">
  <sheetPr codeName="Sheet5"/>
  <dimension ref="A1:B2"/>
  <sheetViews>
    <sheetView workbookViewId="0">
      <selection sqref="A1:XFD1048576"/>
    </sheetView>
  </sheetViews>
  <sheetFormatPr defaultColWidth="9.33203125" defaultRowHeight="14.4" x14ac:dyDescent="0.3"/>
  <cols>
    <col min="1" max="1" width="10.5546875" style="9" bestFit="1" customWidth="1"/>
    <col min="2" max="16384" width="9.33203125" style="7"/>
  </cols>
  <sheetData>
    <row r="1" spans="1:2" x14ac:dyDescent="0.3">
      <c r="A1" s="9" t="s">
        <v>39</v>
      </c>
      <c r="B1" s="7" t="s">
        <v>42</v>
      </c>
    </row>
    <row r="2" spans="1:2" x14ac:dyDescent="0.3">
      <c r="A2" s="9">
        <v>2247.3163058664841</v>
      </c>
      <c r="B2" s="7" t="s">
        <v>1437</v>
      </c>
    </row>
  </sheetData>
  <sortState xmlns:xlrd2="http://schemas.microsoft.com/office/spreadsheetml/2017/richdata2" ref="A2:B658">
    <sortCondition ref="A2:A65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5F993-F668-46F3-8C59-81964470C62A}">
  <sheetPr codeName="Sheet6"/>
  <dimension ref="A1:BB86"/>
  <sheetViews>
    <sheetView zoomScale="50" zoomScaleNormal="50" workbookViewId="0">
      <selection sqref="A1:XFD1048576"/>
    </sheetView>
  </sheetViews>
  <sheetFormatPr defaultColWidth="9.33203125" defaultRowHeight="15.6" x14ac:dyDescent="0.3"/>
  <cols>
    <col min="1" max="1" width="6.33203125" style="11" bestFit="1" customWidth="1"/>
    <col min="2" max="51" width="2.33203125" style="11" bestFit="1" customWidth="1"/>
    <col min="52" max="52" width="6.33203125" style="11" bestFit="1" customWidth="1"/>
    <col min="53" max="16384" width="9.33203125" style="11"/>
  </cols>
  <sheetData>
    <row r="1" spans="1:54" x14ac:dyDescent="0.3">
      <c r="A1" s="11">
        <v>1</v>
      </c>
      <c r="B1" s="11" t="s">
        <v>26</v>
      </c>
      <c r="C1" s="11" t="s">
        <v>27</v>
      </c>
      <c r="D1" s="11" t="s">
        <v>26</v>
      </c>
      <c r="E1" s="11" t="s">
        <v>26</v>
      </c>
      <c r="F1" s="11" t="s">
        <v>57</v>
      </c>
      <c r="G1" s="11" t="s">
        <v>26</v>
      </c>
      <c r="H1" s="11" t="s">
        <v>26</v>
      </c>
      <c r="I1" s="11" t="s">
        <v>26</v>
      </c>
      <c r="J1" s="11" t="s">
        <v>12</v>
      </c>
      <c r="K1" s="11" t="s">
        <v>57</v>
      </c>
      <c r="L1" s="11" t="s">
        <v>26</v>
      </c>
      <c r="M1" s="11" t="s">
        <v>27</v>
      </c>
      <c r="N1" s="11" t="s">
        <v>57</v>
      </c>
      <c r="O1" s="11" t="s">
        <v>26</v>
      </c>
      <c r="P1" s="11" t="s">
        <v>57</v>
      </c>
      <c r="Q1" s="11" t="s">
        <v>57</v>
      </c>
      <c r="R1" s="11" t="s">
        <v>12</v>
      </c>
      <c r="S1" s="11" t="s">
        <v>57</v>
      </c>
      <c r="T1" s="11" t="s">
        <v>57</v>
      </c>
      <c r="U1" s="11" t="s">
        <v>12</v>
      </c>
      <c r="V1" s="11" t="s">
        <v>57</v>
      </c>
      <c r="W1" s="11" t="s">
        <v>27</v>
      </c>
      <c r="X1" s="11" t="s">
        <v>27</v>
      </c>
      <c r="Y1" s="11" t="s">
        <v>57</v>
      </c>
      <c r="Z1" s="11" t="s">
        <v>12</v>
      </c>
      <c r="AA1" s="11" t="s">
        <v>12</v>
      </c>
      <c r="AB1" s="11" t="s">
        <v>12</v>
      </c>
      <c r="AC1" s="11" t="s">
        <v>12</v>
      </c>
      <c r="AD1" s="11" t="s">
        <v>26</v>
      </c>
      <c r="AE1" s="11" t="s">
        <v>12</v>
      </c>
      <c r="AF1" s="11" t="s">
        <v>26</v>
      </c>
      <c r="AG1" s="11" t="s">
        <v>27</v>
      </c>
      <c r="AH1" s="11" t="s">
        <v>26</v>
      </c>
      <c r="AI1" s="11" t="s">
        <v>12</v>
      </c>
      <c r="AJ1" s="11" t="s">
        <v>57</v>
      </c>
      <c r="AK1" s="11" t="s">
        <v>12</v>
      </c>
      <c r="AL1" s="11" t="s">
        <v>26</v>
      </c>
      <c r="AM1" s="11" t="s">
        <v>27</v>
      </c>
      <c r="AN1" s="11" t="s">
        <v>26</v>
      </c>
      <c r="AO1" s="11" t="s">
        <v>27</v>
      </c>
      <c r="AP1" s="11" t="s">
        <v>26</v>
      </c>
      <c r="AQ1" s="11" t="s">
        <v>27</v>
      </c>
      <c r="AR1" s="11" t="s">
        <v>26</v>
      </c>
      <c r="AS1" s="11" t="s">
        <v>26</v>
      </c>
      <c r="AT1" s="11" t="s">
        <v>12</v>
      </c>
      <c r="AU1" s="11" t="s">
        <v>12</v>
      </c>
      <c r="AV1" s="11" t="s">
        <v>12</v>
      </c>
      <c r="AW1" s="11" t="s">
        <v>27</v>
      </c>
      <c r="AX1" s="11" t="s">
        <v>12</v>
      </c>
      <c r="AY1" s="11" t="s">
        <v>12</v>
      </c>
      <c r="AZ1" s="11">
        <v>50</v>
      </c>
      <c r="BB1" s="11" t="s">
        <v>45</v>
      </c>
    </row>
    <row r="2" spans="1:54" x14ac:dyDescent="0.3">
      <c r="A2" s="11">
        <v>51</v>
      </c>
      <c r="B2" s="11" t="s">
        <v>26</v>
      </c>
      <c r="C2" s="11" t="s">
        <v>12</v>
      </c>
      <c r="D2" s="11" t="s">
        <v>12</v>
      </c>
      <c r="E2" s="11" t="s">
        <v>26</v>
      </c>
      <c r="F2" s="11" t="s">
        <v>57</v>
      </c>
      <c r="G2" s="11" t="s">
        <v>27</v>
      </c>
      <c r="H2" s="11" t="s">
        <v>57</v>
      </c>
      <c r="I2" s="11" t="s">
        <v>57</v>
      </c>
      <c r="J2" s="11" t="s">
        <v>12</v>
      </c>
      <c r="K2" s="11" t="s">
        <v>27</v>
      </c>
      <c r="L2" s="11" t="s">
        <v>57</v>
      </c>
      <c r="M2" s="11" t="s">
        <v>27</v>
      </c>
      <c r="N2" s="11" t="s">
        <v>57</v>
      </c>
      <c r="O2" s="11" t="s">
        <v>57</v>
      </c>
      <c r="P2" s="11" t="s">
        <v>12</v>
      </c>
      <c r="Q2" s="11" t="s">
        <v>12</v>
      </c>
      <c r="R2" s="11" t="s">
        <v>57</v>
      </c>
      <c r="S2" s="11" t="s">
        <v>27</v>
      </c>
      <c r="T2" s="11" t="s">
        <v>27</v>
      </c>
      <c r="U2" s="11" t="s">
        <v>57</v>
      </c>
      <c r="V2" s="11" t="s">
        <v>27</v>
      </c>
      <c r="W2" s="11" t="s">
        <v>12</v>
      </c>
      <c r="X2" s="11" t="s">
        <v>57</v>
      </c>
      <c r="Y2" s="11" t="s">
        <v>27</v>
      </c>
      <c r="Z2" s="11" t="s">
        <v>12</v>
      </c>
      <c r="AA2" s="11" t="s">
        <v>57</v>
      </c>
      <c r="AB2" s="11" t="s">
        <v>27</v>
      </c>
      <c r="AC2" s="11" t="s">
        <v>12</v>
      </c>
      <c r="AD2" s="11" t="s">
        <v>12</v>
      </c>
      <c r="AE2" s="11" t="s">
        <v>57</v>
      </c>
      <c r="AF2" s="11" t="s">
        <v>12</v>
      </c>
      <c r="AG2" s="11" t="s">
        <v>57</v>
      </c>
      <c r="AH2" s="11" t="s">
        <v>27</v>
      </c>
      <c r="AI2" s="11" t="s">
        <v>27</v>
      </c>
      <c r="AJ2" s="11" t="s">
        <v>57</v>
      </c>
      <c r="AK2" s="11" t="s">
        <v>27</v>
      </c>
      <c r="AL2" s="11" t="s">
        <v>57</v>
      </c>
      <c r="AM2" s="11" t="s">
        <v>12</v>
      </c>
      <c r="AN2" s="11" t="s">
        <v>12</v>
      </c>
      <c r="AO2" s="11" t="s">
        <v>26</v>
      </c>
      <c r="AP2" s="11" t="s">
        <v>27</v>
      </c>
      <c r="AQ2" s="11" t="s">
        <v>12</v>
      </c>
      <c r="AR2" s="11" t="s">
        <v>12</v>
      </c>
      <c r="AS2" s="11" t="s">
        <v>26</v>
      </c>
      <c r="AT2" s="11" t="s">
        <v>27</v>
      </c>
      <c r="AU2" s="11" t="s">
        <v>57</v>
      </c>
      <c r="AV2" s="11" t="s">
        <v>27</v>
      </c>
      <c r="AW2" s="11" t="s">
        <v>57</v>
      </c>
      <c r="AX2" s="11" t="s">
        <v>27</v>
      </c>
      <c r="AY2" s="11" t="s">
        <v>57</v>
      </c>
      <c r="AZ2" s="11">
        <v>100</v>
      </c>
      <c r="BB2" s="12">
        <v>0.81718421667055807</v>
      </c>
    </row>
    <row r="3" spans="1:54" x14ac:dyDescent="0.3">
      <c r="A3" s="11">
        <v>101</v>
      </c>
      <c r="B3" s="11" t="s">
        <v>27</v>
      </c>
      <c r="C3" s="11" t="s">
        <v>26</v>
      </c>
      <c r="D3" s="11" t="s">
        <v>26</v>
      </c>
      <c r="E3" s="11" t="s">
        <v>12</v>
      </c>
      <c r="F3" s="11" t="s">
        <v>12</v>
      </c>
      <c r="G3" s="11" t="s">
        <v>57</v>
      </c>
      <c r="H3" s="11" t="s">
        <v>27</v>
      </c>
      <c r="I3" s="11" t="s">
        <v>26</v>
      </c>
      <c r="J3" s="11" t="s">
        <v>12</v>
      </c>
      <c r="K3" s="11" t="s">
        <v>12</v>
      </c>
      <c r="L3" s="11" t="s">
        <v>26</v>
      </c>
      <c r="M3" s="11" t="s">
        <v>12</v>
      </c>
      <c r="N3" s="11" t="s">
        <v>12</v>
      </c>
      <c r="O3" s="11" t="s">
        <v>26</v>
      </c>
      <c r="P3" s="11" t="s">
        <v>27</v>
      </c>
      <c r="Q3" s="11" t="s">
        <v>26</v>
      </c>
      <c r="R3" s="11" t="s">
        <v>26</v>
      </c>
      <c r="S3" s="11" t="s">
        <v>12</v>
      </c>
      <c r="T3" s="11" t="s">
        <v>26</v>
      </c>
      <c r="U3" s="11" t="s">
        <v>12</v>
      </c>
      <c r="V3" s="11" t="s">
        <v>26</v>
      </c>
      <c r="W3" s="11" t="s">
        <v>27</v>
      </c>
      <c r="X3" s="11" t="s">
        <v>12</v>
      </c>
      <c r="Y3" s="11" t="s">
        <v>57</v>
      </c>
      <c r="Z3" s="11" t="s">
        <v>27</v>
      </c>
      <c r="AA3" s="11" t="s">
        <v>12</v>
      </c>
      <c r="AB3" s="11" t="s">
        <v>12</v>
      </c>
      <c r="AC3" s="11" t="s">
        <v>57</v>
      </c>
      <c r="AD3" s="11" t="s">
        <v>12</v>
      </c>
      <c r="AE3" s="11" t="s">
        <v>12</v>
      </c>
      <c r="AF3" s="11" t="s">
        <v>26</v>
      </c>
      <c r="AG3" s="11" t="s">
        <v>27</v>
      </c>
      <c r="AH3" s="11" t="s">
        <v>12</v>
      </c>
      <c r="AI3" s="11" t="s">
        <v>12</v>
      </c>
      <c r="AJ3" s="11" t="s">
        <v>57</v>
      </c>
      <c r="AK3" s="11" t="s">
        <v>26</v>
      </c>
      <c r="AL3" s="11" t="s">
        <v>12</v>
      </c>
      <c r="AM3" s="11" t="s">
        <v>26</v>
      </c>
      <c r="AN3" s="11" t="s">
        <v>12</v>
      </c>
      <c r="AO3" s="11" t="s">
        <v>12</v>
      </c>
      <c r="AP3" s="11" t="s">
        <v>26</v>
      </c>
      <c r="AQ3" s="11" t="s">
        <v>26</v>
      </c>
      <c r="AR3" s="11" t="s">
        <v>12</v>
      </c>
      <c r="AS3" s="11" t="s">
        <v>26</v>
      </c>
      <c r="AT3" s="11" t="s">
        <v>27</v>
      </c>
      <c r="AU3" s="11" t="s">
        <v>12</v>
      </c>
      <c r="AV3" s="11" t="s">
        <v>57</v>
      </c>
      <c r="AW3" s="11" t="s">
        <v>57</v>
      </c>
      <c r="AX3" s="11" t="s">
        <v>57</v>
      </c>
      <c r="AY3" s="11" t="s">
        <v>26</v>
      </c>
      <c r="AZ3" s="11">
        <v>150</v>
      </c>
    </row>
    <row r="4" spans="1:54" x14ac:dyDescent="0.3">
      <c r="A4" s="11">
        <v>151</v>
      </c>
      <c r="B4" s="11" t="s">
        <v>12</v>
      </c>
      <c r="C4" s="11" t="s">
        <v>12</v>
      </c>
      <c r="D4" s="11" t="s">
        <v>26</v>
      </c>
      <c r="E4" s="11" t="s">
        <v>27</v>
      </c>
      <c r="F4" s="11" t="s">
        <v>26</v>
      </c>
      <c r="G4" s="11" t="s">
        <v>27</v>
      </c>
      <c r="H4" s="11" t="s">
        <v>27</v>
      </c>
      <c r="I4" s="11" t="s">
        <v>12</v>
      </c>
      <c r="J4" s="11" t="s">
        <v>27</v>
      </c>
      <c r="K4" s="11" t="s">
        <v>57</v>
      </c>
      <c r="L4" s="11" t="s">
        <v>27</v>
      </c>
      <c r="M4" s="11" t="s">
        <v>57</v>
      </c>
      <c r="N4" s="11" t="s">
        <v>26</v>
      </c>
      <c r="O4" s="11" t="s">
        <v>12</v>
      </c>
      <c r="P4" s="11" t="s">
        <v>57</v>
      </c>
      <c r="Q4" s="11" t="s">
        <v>26</v>
      </c>
      <c r="R4" s="11" t="s">
        <v>12</v>
      </c>
      <c r="S4" s="11" t="s">
        <v>12</v>
      </c>
      <c r="T4" s="11" t="s">
        <v>12</v>
      </c>
      <c r="U4" s="11" t="s">
        <v>12</v>
      </c>
      <c r="V4" s="11" t="s">
        <v>27</v>
      </c>
      <c r="W4" s="11" t="s">
        <v>26</v>
      </c>
      <c r="X4" s="11" t="s">
        <v>12</v>
      </c>
      <c r="Y4" s="11" t="s">
        <v>26</v>
      </c>
      <c r="Z4" s="11" t="s">
        <v>26</v>
      </c>
      <c r="AA4" s="11" t="s">
        <v>27</v>
      </c>
      <c r="AB4" s="11" t="s">
        <v>27</v>
      </c>
      <c r="AC4" s="11" t="s">
        <v>57</v>
      </c>
      <c r="AD4" s="11" t="s">
        <v>27</v>
      </c>
      <c r="AE4" s="11" t="s">
        <v>57</v>
      </c>
      <c r="AF4" s="11" t="s">
        <v>57</v>
      </c>
      <c r="AG4" s="11" t="s">
        <v>12</v>
      </c>
      <c r="AH4" s="11" t="s">
        <v>26</v>
      </c>
      <c r="AI4" s="11" t="s">
        <v>27</v>
      </c>
      <c r="AJ4" s="11" t="s">
        <v>26</v>
      </c>
      <c r="AK4" s="11" t="s">
        <v>57</v>
      </c>
      <c r="AL4" s="11" t="s">
        <v>12</v>
      </c>
      <c r="AM4" s="11" t="s">
        <v>12</v>
      </c>
      <c r="AN4" s="11" t="s">
        <v>26</v>
      </c>
      <c r="AO4" s="11" t="s">
        <v>27</v>
      </c>
      <c r="AP4" s="11" t="s">
        <v>12</v>
      </c>
      <c r="AQ4" s="11" t="s">
        <v>27</v>
      </c>
      <c r="AR4" s="11" t="s">
        <v>57</v>
      </c>
      <c r="AS4" s="11" t="s">
        <v>27</v>
      </c>
      <c r="AT4" s="11" t="s">
        <v>12</v>
      </c>
      <c r="AU4" s="11" t="s">
        <v>57</v>
      </c>
      <c r="AV4" s="11" t="s">
        <v>27</v>
      </c>
      <c r="AW4" s="11" t="s">
        <v>12</v>
      </c>
      <c r="AX4" s="11" t="s">
        <v>26</v>
      </c>
      <c r="AY4" s="11" t="s">
        <v>12</v>
      </c>
      <c r="AZ4" s="11">
        <v>200</v>
      </c>
    </row>
    <row r="5" spans="1:54" x14ac:dyDescent="0.3">
      <c r="A5" s="11">
        <v>201</v>
      </c>
      <c r="B5" s="11" t="s">
        <v>57</v>
      </c>
      <c r="C5" s="11" t="s">
        <v>12</v>
      </c>
      <c r="D5" s="11" t="s">
        <v>57</v>
      </c>
      <c r="E5" s="11" t="s">
        <v>26</v>
      </c>
      <c r="F5" s="11" t="s">
        <v>12</v>
      </c>
      <c r="G5" s="11" t="s">
        <v>12</v>
      </c>
      <c r="H5" s="11" t="s">
        <v>12</v>
      </c>
      <c r="I5" s="11" t="s">
        <v>26</v>
      </c>
      <c r="J5" s="11" t="s">
        <v>27</v>
      </c>
      <c r="K5" s="11" t="s">
        <v>27</v>
      </c>
      <c r="L5" s="11" t="s">
        <v>26</v>
      </c>
      <c r="M5" s="11" t="s">
        <v>12</v>
      </c>
      <c r="N5" s="11" t="s">
        <v>12</v>
      </c>
      <c r="O5" s="11" t="s">
        <v>57</v>
      </c>
      <c r="P5" s="11" t="s">
        <v>27</v>
      </c>
      <c r="Q5" s="11" t="s">
        <v>57</v>
      </c>
      <c r="R5" s="11" t="s">
        <v>57</v>
      </c>
      <c r="S5" s="11" t="s">
        <v>12</v>
      </c>
      <c r="T5" s="11" t="s">
        <v>12</v>
      </c>
      <c r="U5" s="11" t="s">
        <v>57</v>
      </c>
      <c r="V5" s="11" t="s">
        <v>27</v>
      </c>
      <c r="W5" s="11" t="s">
        <v>12</v>
      </c>
      <c r="X5" s="11" t="s">
        <v>12</v>
      </c>
      <c r="Y5" s="11" t="s">
        <v>57</v>
      </c>
      <c r="Z5" s="11" t="s">
        <v>57</v>
      </c>
      <c r="AA5" s="11" t="s">
        <v>57</v>
      </c>
      <c r="AB5" s="11" t="s">
        <v>12</v>
      </c>
      <c r="AC5" s="11" t="s">
        <v>57</v>
      </c>
      <c r="AD5" s="11" t="s">
        <v>57</v>
      </c>
      <c r="AE5" s="11" t="s">
        <v>12</v>
      </c>
      <c r="AF5" s="11" t="s">
        <v>26</v>
      </c>
      <c r="AG5" s="11" t="s">
        <v>27</v>
      </c>
      <c r="AH5" s="11" t="s">
        <v>12</v>
      </c>
      <c r="AI5" s="11" t="s">
        <v>26</v>
      </c>
      <c r="AJ5" s="11" t="s">
        <v>26</v>
      </c>
      <c r="AK5" s="11" t="s">
        <v>12</v>
      </c>
      <c r="AL5" s="11" t="s">
        <v>27</v>
      </c>
      <c r="AM5" s="11" t="s">
        <v>57</v>
      </c>
      <c r="AN5" s="11" t="s">
        <v>27</v>
      </c>
      <c r="AO5" s="11" t="s">
        <v>26</v>
      </c>
      <c r="AP5" s="11" t="s">
        <v>12</v>
      </c>
      <c r="AQ5" s="11" t="s">
        <v>12</v>
      </c>
      <c r="AR5" s="11" t="s">
        <v>57</v>
      </c>
      <c r="AS5" s="11" t="s">
        <v>27</v>
      </c>
      <c r="AT5" s="11" t="s">
        <v>27</v>
      </c>
      <c r="AU5" s="15" t="s">
        <v>57</v>
      </c>
      <c r="AV5" s="15" t="s">
        <v>57</v>
      </c>
      <c r="AW5" s="15" t="s">
        <v>12</v>
      </c>
      <c r="AX5" s="15" t="s">
        <v>12</v>
      </c>
      <c r="AY5" s="15" t="s">
        <v>26</v>
      </c>
      <c r="AZ5" s="11">
        <v>250</v>
      </c>
    </row>
    <row r="6" spans="1:54" x14ac:dyDescent="0.3">
      <c r="A6" s="11">
        <v>251</v>
      </c>
      <c r="B6" s="15" t="s">
        <v>12</v>
      </c>
      <c r="C6" s="15" t="s">
        <v>27</v>
      </c>
      <c r="D6" s="11" t="s">
        <v>12</v>
      </c>
      <c r="E6" s="11" t="s">
        <v>12</v>
      </c>
      <c r="F6" s="11" t="s">
        <v>26</v>
      </c>
      <c r="G6" s="11" t="s">
        <v>57</v>
      </c>
      <c r="H6" s="11" t="s">
        <v>12</v>
      </c>
      <c r="I6" s="11" t="s">
        <v>12</v>
      </c>
      <c r="J6" s="11" t="s">
        <v>26</v>
      </c>
      <c r="K6" s="11" t="s">
        <v>12</v>
      </c>
      <c r="L6" s="11" t="s">
        <v>27</v>
      </c>
      <c r="M6" s="11" t="s">
        <v>57</v>
      </c>
      <c r="N6" s="11" t="s">
        <v>27</v>
      </c>
      <c r="O6" s="11" t="s">
        <v>57</v>
      </c>
      <c r="P6" s="11" t="s">
        <v>12</v>
      </c>
      <c r="Q6" s="11" t="s">
        <v>12</v>
      </c>
      <c r="R6" s="11" t="s">
        <v>27</v>
      </c>
      <c r="S6" s="11" t="s">
        <v>27</v>
      </c>
      <c r="T6" s="11" t="s">
        <v>12</v>
      </c>
      <c r="U6" s="11" t="s">
        <v>26</v>
      </c>
      <c r="V6" s="11" t="s">
        <v>12</v>
      </c>
      <c r="W6" s="11" t="s">
        <v>12</v>
      </c>
      <c r="X6" s="11" t="s">
        <v>26</v>
      </c>
      <c r="Y6" s="11" t="s">
        <v>26</v>
      </c>
      <c r="Z6" s="11" t="s">
        <v>57</v>
      </c>
      <c r="AA6" s="11" t="s">
        <v>27</v>
      </c>
      <c r="AB6" s="11" t="s">
        <v>27</v>
      </c>
      <c r="AC6" s="11" t="s">
        <v>12</v>
      </c>
      <c r="AD6" s="11" t="s">
        <v>26</v>
      </c>
      <c r="AE6" s="11" t="s">
        <v>12</v>
      </c>
      <c r="AF6" s="11" t="s">
        <v>12</v>
      </c>
      <c r="AG6" s="11" t="s">
        <v>26</v>
      </c>
      <c r="AH6" s="11" t="s">
        <v>26</v>
      </c>
      <c r="AI6" s="11" t="s">
        <v>27</v>
      </c>
      <c r="AJ6" s="11" t="s">
        <v>26</v>
      </c>
      <c r="AK6" s="11" t="s">
        <v>27</v>
      </c>
      <c r="AL6" s="11" t="s">
        <v>26</v>
      </c>
      <c r="AM6" s="11" t="s">
        <v>57</v>
      </c>
      <c r="AN6" s="11" t="s">
        <v>57</v>
      </c>
      <c r="AO6" s="11" t="s">
        <v>12</v>
      </c>
      <c r="AP6" s="11" t="s">
        <v>27</v>
      </c>
      <c r="AQ6" s="11" t="s">
        <v>26</v>
      </c>
      <c r="AR6" s="11" t="s">
        <v>12</v>
      </c>
      <c r="AS6" s="11" t="s">
        <v>26</v>
      </c>
      <c r="AT6" s="11" t="s">
        <v>26</v>
      </c>
      <c r="AU6" s="11" t="s">
        <v>12</v>
      </c>
      <c r="AV6" s="11" t="s">
        <v>12</v>
      </c>
      <c r="AW6" s="11" t="s">
        <v>12</v>
      </c>
      <c r="AX6" s="11" t="s">
        <v>12</v>
      </c>
      <c r="AY6" s="11" t="s">
        <v>27</v>
      </c>
      <c r="AZ6" s="11">
        <v>300</v>
      </c>
    </row>
    <row r="7" spans="1:54" x14ac:dyDescent="0.3">
      <c r="A7" s="11">
        <v>301</v>
      </c>
      <c r="B7" s="11" t="s">
        <v>57</v>
      </c>
      <c r="C7" s="11" t="s">
        <v>27</v>
      </c>
      <c r="D7" s="11" t="s">
        <v>12</v>
      </c>
      <c r="E7" s="11" t="s">
        <v>57</v>
      </c>
      <c r="F7" s="11" t="s">
        <v>27</v>
      </c>
      <c r="G7" s="11" t="s">
        <v>12</v>
      </c>
      <c r="H7" s="11" t="s">
        <v>12</v>
      </c>
      <c r="I7" s="11" t="s">
        <v>12</v>
      </c>
      <c r="J7" s="11" t="s">
        <v>57</v>
      </c>
      <c r="K7" s="11" t="s">
        <v>57</v>
      </c>
      <c r="L7" s="11" t="s">
        <v>12</v>
      </c>
      <c r="M7" s="11" t="s">
        <v>26</v>
      </c>
      <c r="N7" s="11" t="s">
        <v>26</v>
      </c>
      <c r="O7" s="11" t="s">
        <v>12</v>
      </c>
      <c r="P7" s="11" t="s">
        <v>27</v>
      </c>
      <c r="Q7" s="11" t="s">
        <v>26</v>
      </c>
      <c r="R7" s="11" t="s">
        <v>12</v>
      </c>
      <c r="S7" s="11" t="s">
        <v>27</v>
      </c>
      <c r="T7" s="11" t="s">
        <v>27</v>
      </c>
      <c r="U7" s="11" t="s">
        <v>27</v>
      </c>
      <c r="V7" s="11" t="s">
        <v>27</v>
      </c>
      <c r="W7" s="11" t="s">
        <v>57</v>
      </c>
      <c r="X7" s="11" t="s">
        <v>27</v>
      </c>
      <c r="Y7" s="11" t="s">
        <v>57</v>
      </c>
      <c r="Z7" s="11" t="s">
        <v>26</v>
      </c>
      <c r="AA7" s="11" t="s">
        <v>12</v>
      </c>
      <c r="AB7" s="11" t="s">
        <v>57</v>
      </c>
      <c r="AC7" s="11" t="s">
        <v>57</v>
      </c>
      <c r="AD7" s="11" t="s">
        <v>57</v>
      </c>
      <c r="AE7" s="11" t="s">
        <v>27</v>
      </c>
      <c r="AF7" s="11" t="s">
        <v>12</v>
      </c>
      <c r="AG7" s="11" t="s">
        <v>12</v>
      </c>
      <c r="AH7" s="11" t="s">
        <v>26</v>
      </c>
      <c r="AI7" s="11" t="s">
        <v>27</v>
      </c>
      <c r="AJ7" s="11" t="s">
        <v>12</v>
      </c>
      <c r="AK7" s="11" t="s">
        <v>26</v>
      </c>
      <c r="AL7" s="11" t="s">
        <v>12</v>
      </c>
      <c r="AM7" s="11" t="s">
        <v>12</v>
      </c>
      <c r="AN7" s="11" t="s">
        <v>27</v>
      </c>
      <c r="AO7" s="11" t="s">
        <v>26</v>
      </c>
      <c r="AP7" s="11" t="s">
        <v>27</v>
      </c>
      <c r="AQ7" s="11" t="s">
        <v>26</v>
      </c>
      <c r="AR7" s="11" t="s">
        <v>26</v>
      </c>
      <c r="AS7" s="11" t="s">
        <v>27</v>
      </c>
      <c r="AT7" s="11" t="s">
        <v>57</v>
      </c>
      <c r="AU7" s="11" t="s">
        <v>12</v>
      </c>
      <c r="AV7" s="11" t="s">
        <v>12</v>
      </c>
      <c r="AW7" s="11" t="s">
        <v>26</v>
      </c>
      <c r="AX7" s="11" t="s">
        <v>26</v>
      </c>
      <c r="AY7" s="11" t="s">
        <v>12</v>
      </c>
      <c r="AZ7" s="11">
        <v>350</v>
      </c>
    </row>
    <row r="8" spans="1:54" x14ac:dyDescent="0.3">
      <c r="A8" s="11">
        <v>351</v>
      </c>
      <c r="B8" s="11" t="s">
        <v>26</v>
      </c>
      <c r="C8" s="11" t="s">
        <v>57</v>
      </c>
      <c r="D8" s="11" t="s">
        <v>12</v>
      </c>
      <c r="E8" s="11" t="s">
        <v>26</v>
      </c>
      <c r="F8" s="11" t="s">
        <v>57</v>
      </c>
      <c r="G8" s="11" t="s">
        <v>12</v>
      </c>
      <c r="H8" s="11" t="s">
        <v>26</v>
      </c>
      <c r="I8" s="11" t="s">
        <v>27</v>
      </c>
      <c r="J8" s="11" t="s">
        <v>26</v>
      </c>
      <c r="K8" s="11" t="s">
        <v>27</v>
      </c>
      <c r="L8" s="11" t="s">
        <v>27</v>
      </c>
      <c r="M8" s="11" t="s">
        <v>12</v>
      </c>
      <c r="N8" s="11" t="s">
        <v>57</v>
      </c>
      <c r="O8" s="11" t="s">
        <v>27</v>
      </c>
      <c r="P8" s="11" t="s">
        <v>27</v>
      </c>
      <c r="Q8" s="11" t="s">
        <v>26</v>
      </c>
      <c r="R8" s="11" t="s">
        <v>57</v>
      </c>
      <c r="S8" s="11" t="s">
        <v>12</v>
      </c>
      <c r="T8" s="11" t="s">
        <v>57</v>
      </c>
      <c r="U8" s="11" t="s">
        <v>57</v>
      </c>
      <c r="V8" s="11" t="s">
        <v>12</v>
      </c>
      <c r="W8" s="11" t="s">
        <v>27</v>
      </c>
      <c r="X8" s="11" t="s">
        <v>27</v>
      </c>
      <c r="Y8" s="11" t="s">
        <v>12</v>
      </c>
      <c r="Z8" s="11" t="s">
        <v>26</v>
      </c>
      <c r="AA8" s="11" t="s">
        <v>12</v>
      </c>
      <c r="AB8" s="11" t="s">
        <v>12</v>
      </c>
      <c r="AC8" s="11" t="s">
        <v>26</v>
      </c>
      <c r="AD8" s="11" t="s">
        <v>12</v>
      </c>
      <c r="AE8" s="11" t="s">
        <v>26</v>
      </c>
      <c r="AF8" s="11" t="s">
        <v>12</v>
      </c>
      <c r="AG8" s="11" t="s">
        <v>57</v>
      </c>
      <c r="AH8" s="11" t="s">
        <v>27</v>
      </c>
      <c r="AI8" s="11" t="s">
        <v>27</v>
      </c>
      <c r="AJ8" s="11" t="s">
        <v>26</v>
      </c>
      <c r="AK8" s="11" t="s">
        <v>12</v>
      </c>
      <c r="AL8" s="11" t="s">
        <v>26</v>
      </c>
      <c r="AM8" s="11" t="s">
        <v>27</v>
      </c>
      <c r="AN8" s="11" t="s">
        <v>12</v>
      </c>
      <c r="AO8" s="11" t="s">
        <v>26</v>
      </c>
      <c r="AP8" s="11" t="s">
        <v>26</v>
      </c>
      <c r="AQ8" s="11" t="s">
        <v>27</v>
      </c>
      <c r="AR8" s="11" t="s">
        <v>26</v>
      </c>
      <c r="AS8" s="11" t="s">
        <v>12</v>
      </c>
      <c r="AT8" s="11" t="s">
        <v>12</v>
      </c>
      <c r="AU8" s="11" t="s">
        <v>12</v>
      </c>
      <c r="AV8" s="11" t="s">
        <v>26</v>
      </c>
      <c r="AW8" s="11" t="s">
        <v>27</v>
      </c>
      <c r="AX8" s="11" t="s">
        <v>26</v>
      </c>
      <c r="AY8" s="11" t="s">
        <v>27</v>
      </c>
      <c r="AZ8" s="11">
        <v>400</v>
      </c>
    </row>
    <row r="9" spans="1:54" x14ac:dyDescent="0.3">
      <c r="A9" s="11">
        <v>401</v>
      </c>
      <c r="B9" s="11" t="s">
        <v>12</v>
      </c>
      <c r="C9" s="11" t="s">
        <v>12</v>
      </c>
      <c r="D9" s="11" t="s">
        <v>57</v>
      </c>
      <c r="E9" s="11" t="s">
        <v>27</v>
      </c>
      <c r="F9" s="11" t="s">
        <v>12</v>
      </c>
      <c r="G9" s="11" t="s">
        <v>57</v>
      </c>
      <c r="H9" s="11" t="s">
        <v>27</v>
      </c>
      <c r="I9" s="11" t="s">
        <v>26</v>
      </c>
      <c r="J9" s="11" t="s">
        <v>57</v>
      </c>
      <c r="K9" s="11" t="s">
        <v>12</v>
      </c>
      <c r="L9" s="11" t="s">
        <v>27</v>
      </c>
      <c r="M9" s="11" t="s">
        <v>57</v>
      </c>
      <c r="N9" s="11" t="s">
        <v>27</v>
      </c>
      <c r="O9" s="11" t="s">
        <v>26</v>
      </c>
      <c r="P9" s="11" t="s">
        <v>26</v>
      </c>
      <c r="Q9" s="11" t="s">
        <v>12</v>
      </c>
      <c r="R9" s="11" t="s">
        <v>26</v>
      </c>
      <c r="S9" s="11" t="s">
        <v>26</v>
      </c>
      <c r="T9" s="11" t="s">
        <v>12</v>
      </c>
      <c r="U9" s="11" t="s">
        <v>27</v>
      </c>
      <c r="V9" s="11" t="s">
        <v>12</v>
      </c>
      <c r="W9" s="11" t="s">
        <v>12</v>
      </c>
      <c r="X9" s="11" t="s">
        <v>26</v>
      </c>
      <c r="Y9" s="11" t="s">
        <v>12</v>
      </c>
      <c r="Z9" s="11" t="s">
        <v>12</v>
      </c>
      <c r="AA9" s="11" t="s">
        <v>26</v>
      </c>
      <c r="AB9" s="11" t="s">
        <v>26</v>
      </c>
      <c r="AC9" s="11" t="s">
        <v>12</v>
      </c>
      <c r="AD9" s="11" t="s">
        <v>27</v>
      </c>
      <c r="AE9" s="11" t="s">
        <v>57</v>
      </c>
      <c r="AF9" s="11" t="s">
        <v>27</v>
      </c>
      <c r="AG9" s="11" t="s">
        <v>27</v>
      </c>
      <c r="AH9" s="11" t="s">
        <v>57</v>
      </c>
      <c r="AI9" s="11" t="s">
        <v>12</v>
      </c>
      <c r="AJ9" s="11" t="s">
        <v>26</v>
      </c>
      <c r="AK9" s="11" t="s">
        <v>57</v>
      </c>
      <c r="AL9" s="11" t="s">
        <v>12</v>
      </c>
      <c r="AM9" s="11" t="s">
        <v>26</v>
      </c>
      <c r="AN9" s="11" t="s">
        <v>26</v>
      </c>
      <c r="AO9" s="11" t="s">
        <v>26</v>
      </c>
      <c r="AP9" s="11" t="s">
        <v>27</v>
      </c>
      <c r="AQ9" s="11" t="s">
        <v>57</v>
      </c>
      <c r="AR9" s="11" t="s">
        <v>27</v>
      </c>
      <c r="AS9" s="11" t="s">
        <v>57</v>
      </c>
      <c r="AT9" s="11" t="s">
        <v>27</v>
      </c>
      <c r="AU9" s="11" t="s">
        <v>12</v>
      </c>
      <c r="AV9" s="11" t="s">
        <v>27</v>
      </c>
      <c r="AW9" s="11" t="s">
        <v>26</v>
      </c>
      <c r="AX9" s="11" t="s">
        <v>27</v>
      </c>
      <c r="AY9" s="11" t="s">
        <v>57</v>
      </c>
      <c r="AZ9" s="11">
        <v>450</v>
      </c>
    </row>
    <row r="10" spans="1:54" x14ac:dyDescent="0.3">
      <c r="A10" s="11">
        <v>451</v>
      </c>
      <c r="B10" s="11" t="s">
        <v>57</v>
      </c>
      <c r="C10" s="11" t="s">
        <v>12</v>
      </c>
      <c r="D10" s="11" t="s">
        <v>12</v>
      </c>
      <c r="E10" s="11" t="s">
        <v>26</v>
      </c>
      <c r="F10" s="11" t="s">
        <v>27</v>
      </c>
      <c r="G10" s="11" t="s">
        <v>57</v>
      </c>
      <c r="H10" s="11" t="s">
        <v>57</v>
      </c>
      <c r="I10" s="11" t="s">
        <v>12</v>
      </c>
      <c r="J10" s="11" t="s">
        <v>57</v>
      </c>
      <c r="K10" s="11" t="s">
        <v>27</v>
      </c>
      <c r="L10" s="11" t="s">
        <v>12</v>
      </c>
      <c r="M10" s="11" t="s">
        <v>26</v>
      </c>
      <c r="N10" s="11" t="s">
        <v>26</v>
      </c>
      <c r="O10" s="11" t="s">
        <v>12</v>
      </c>
      <c r="P10" s="11" t="s">
        <v>27</v>
      </c>
      <c r="Q10" s="11" t="s">
        <v>26</v>
      </c>
      <c r="R10" s="11" t="s">
        <v>12</v>
      </c>
      <c r="S10" s="11" t="s">
        <v>12</v>
      </c>
      <c r="T10" s="11" t="s">
        <v>12</v>
      </c>
      <c r="U10" s="11" t="s">
        <v>12</v>
      </c>
      <c r="V10" s="11" t="s">
        <v>57</v>
      </c>
      <c r="W10" s="11" t="s">
        <v>57</v>
      </c>
      <c r="X10" s="11" t="s">
        <v>12</v>
      </c>
      <c r="Y10" s="11" t="s">
        <v>12</v>
      </c>
      <c r="Z10" s="11" t="s">
        <v>57</v>
      </c>
      <c r="AA10" s="11" t="s">
        <v>27</v>
      </c>
      <c r="AB10" s="11" t="s">
        <v>27</v>
      </c>
      <c r="AC10" s="11" t="s">
        <v>27</v>
      </c>
      <c r="AD10" s="11" t="s">
        <v>12</v>
      </c>
      <c r="AE10" s="11" t="s">
        <v>27</v>
      </c>
      <c r="AF10" s="11" t="s">
        <v>57</v>
      </c>
      <c r="AG10" s="11" t="s">
        <v>12</v>
      </c>
      <c r="AH10" s="11" t="s">
        <v>57</v>
      </c>
      <c r="AI10" s="11" t="s">
        <v>26</v>
      </c>
      <c r="AJ10" s="11" t="s">
        <v>12</v>
      </c>
      <c r="AK10" s="11" t="s">
        <v>57</v>
      </c>
      <c r="AL10" s="11" t="s">
        <v>26</v>
      </c>
      <c r="AM10" s="11" t="s">
        <v>12</v>
      </c>
      <c r="AN10" s="11" t="s">
        <v>12</v>
      </c>
      <c r="AO10" s="11" t="s">
        <v>26</v>
      </c>
      <c r="AP10" s="11" t="s">
        <v>12</v>
      </c>
      <c r="AQ10" s="11" t="s">
        <v>26</v>
      </c>
      <c r="AR10" s="11" t="s">
        <v>26</v>
      </c>
      <c r="AS10" s="11" t="s">
        <v>27</v>
      </c>
      <c r="AT10" s="11" t="s">
        <v>26</v>
      </c>
      <c r="AU10" s="11" t="s">
        <v>26</v>
      </c>
      <c r="AV10" s="11" t="s">
        <v>12</v>
      </c>
      <c r="AW10" s="11" t="s">
        <v>26</v>
      </c>
      <c r="AX10" s="11" t="s">
        <v>26</v>
      </c>
      <c r="AY10" s="11" t="s">
        <v>12</v>
      </c>
      <c r="AZ10" s="11">
        <v>500</v>
      </c>
    </row>
    <row r="11" spans="1:54" x14ac:dyDescent="0.3">
      <c r="A11" s="11">
        <v>501</v>
      </c>
      <c r="B11" s="11" t="s">
        <v>26</v>
      </c>
      <c r="C11" s="11" t="s">
        <v>26</v>
      </c>
      <c r="D11" s="11" t="s">
        <v>27</v>
      </c>
      <c r="E11" s="11" t="s">
        <v>26</v>
      </c>
      <c r="F11" s="11" t="s">
        <v>27</v>
      </c>
      <c r="G11" s="11" t="s">
        <v>12</v>
      </c>
      <c r="H11" s="11" t="s">
        <v>57</v>
      </c>
      <c r="I11" s="11" t="s">
        <v>27</v>
      </c>
      <c r="J11" s="11" t="s">
        <v>27</v>
      </c>
      <c r="K11" s="11" t="s">
        <v>26</v>
      </c>
      <c r="L11" s="11" t="s">
        <v>57</v>
      </c>
      <c r="M11" s="11" t="s">
        <v>27</v>
      </c>
      <c r="N11" s="11" t="s">
        <v>27</v>
      </c>
      <c r="O11" s="11" t="s">
        <v>26</v>
      </c>
      <c r="P11" s="11" t="s">
        <v>26</v>
      </c>
      <c r="Q11" s="11" t="s">
        <v>26</v>
      </c>
      <c r="R11" s="11" t="s">
        <v>27</v>
      </c>
      <c r="S11" s="11" t="s">
        <v>12</v>
      </c>
      <c r="T11" s="11" t="s">
        <v>27</v>
      </c>
      <c r="U11" s="11" t="s">
        <v>26</v>
      </c>
      <c r="V11" s="11" t="s">
        <v>27</v>
      </c>
      <c r="W11" s="11" t="s">
        <v>57</v>
      </c>
      <c r="X11" s="11" t="s">
        <v>57</v>
      </c>
      <c r="Y11" s="11" t="s">
        <v>12</v>
      </c>
      <c r="Z11" s="11" t="s">
        <v>12</v>
      </c>
      <c r="AA11" s="11" t="s">
        <v>27</v>
      </c>
      <c r="AB11" s="11" t="s">
        <v>27</v>
      </c>
      <c r="AC11" s="11" t="s">
        <v>27</v>
      </c>
      <c r="AD11" s="11" t="s">
        <v>57</v>
      </c>
      <c r="AE11" s="11" t="s">
        <v>27</v>
      </c>
      <c r="AF11" s="11" t="s">
        <v>57</v>
      </c>
      <c r="AG11" s="11" t="s">
        <v>26</v>
      </c>
      <c r="AH11" s="11" t="s">
        <v>12</v>
      </c>
      <c r="AI11" s="11" t="s">
        <v>26</v>
      </c>
      <c r="AJ11" s="11" t="s">
        <v>27</v>
      </c>
      <c r="AK11" s="11" t="s">
        <v>12</v>
      </c>
      <c r="AL11" s="11" t="s">
        <v>26</v>
      </c>
      <c r="AM11" s="11" t="s">
        <v>27</v>
      </c>
      <c r="AN11" s="11" t="s">
        <v>12</v>
      </c>
      <c r="AO11" s="11" t="s">
        <v>27</v>
      </c>
      <c r="AP11" s="11" t="s">
        <v>12</v>
      </c>
      <c r="AQ11" s="11" t="s">
        <v>12</v>
      </c>
      <c r="AR11" s="11" t="s">
        <v>26</v>
      </c>
      <c r="AS11" s="11" t="s">
        <v>26</v>
      </c>
      <c r="AT11" s="11" t="s">
        <v>12</v>
      </c>
      <c r="AU11" s="11" t="s">
        <v>26</v>
      </c>
      <c r="AV11" s="11" t="s">
        <v>26</v>
      </c>
      <c r="AW11" s="11" t="s">
        <v>12</v>
      </c>
      <c r="AX11" s="11" t="s">
        <v>57</v>
      </c>
      <c r="AY11" s="11" t="s">
        <v>27</v>
      </c>
      <c r="AZ11" s="11">
        <v>550</v>
      </c>
    </row>
    <row r="12" spans="1:54" x14ac:dyDescent="0.3">
      <c r="A12" s="11">
        <v>551</v>
      </c>
      <c r="B12" s="11" t="s">
        <v>12</v>
      </c>
      <c r="C12" s="11" t="s">
        <v>26</v>
      </c>
      <c r="D12" s="11" t="s">
        <v>12</v>
      </c>
      <c r="E12" s="11" t="s">
        <v>12</v>
      </c>
      <c r="F12" s="11" t="s">
        <v>57</v>
      </c>
      <c r="G12" s="11" t="s">
        <v>57</v>
      </c>
      <c r="H12" s="11" t="s">
        <v>12</v>
      </c>
      <c r="I12" s="11" t="s">
        <v>27</v>
      </c>
      <c r="J12" s="11" t="s">
        <v>26</v>
      </c>
      <c r="K12" s="11" t="s">
        <v>27</v>
      </c>
      <c r="L12" s="11" t="s">
        <v>57</v>
      </c>
      <c r="M12" s="11" t="s">
        <v>26</v>
      </c>
      <c r="N12" s="11" t="s">
        <v>12</v>
      </c>
      <c r="O12" s="11" t="s">
        <v>27</v>
      </c>
      <c r="P12" s="11" t="s">
        <v>57</v>
      </c>
      <c r="Q12" s="11" t="s">
        <v>27</v>
      </c>
      <c r="R12" s="11" t="s">
        <v>57</v>
      </c>
      <c r="S12" s="11" t="s">
        <v>12</v>
      </c>
      <c r="T12" s="11" t="s">
        <v>12</v>
      </c>
      <c r="U12" s="11" t="s">
        <v>12</v>
      </c>
      <c r="V12" s="11" t="s">
        <v>26</v>
      </c>
      <c r="W12" s="11" t="s">
        <v>27</v>
      </c>
      <c r="X12" s="11" t="s">
        <v>12</v>
      </c>
      <c r="Y12" s="11" t="s">
        <v>12</v>
      </c>
      <c r="Z12" s="11" t="s">
        <v>57</v>
      </c>
      <c r="AA12" s="11" t="s">
        <v>57</v>
      </c>
      <c r="AB12" s="11" t="s">
        <v>57</v>
      </c>
      <c r="AC12" s="11" t="s">
        <v>12</v>
      </c>
      <c r="AD12" s="11" t="s">
        <v>12</v>
      </c>
      <c r="AE12" s="11" t="s">
        <v>57</v>
      </c>
      <c r="AF12" s="11" t="s">
        <v>27</v>
      </c>
      <c r="AG12" s="11" t="s">
        <v>26</v>
      </c>
      <c r="AH12" s="11" t="s">
        <v>57</v>
      </c>
      <c r="AI12" s="11" t="s">
        <v>27</v>
      </c>
      <c r="AJ12" s="11" t="s">
        <v>27</v>
      </c>
      <c r="AK12" s="11" t="s">
        <v>26</v>
      </c>
      <c r="AL12" s="11" t="s">
        <v>12</v>
      </c>
      <c r="AM12" s="11" t="s">
        <v>12</v>
      </c>
      <c r="AN12" s="11" t="s">
        <v>57</v>
      </c>
      <c r="AO12" s="11" t="s">
        <v>27</v>
      </c>
      <c r="AP12" s="11" t="s">
        <v>27</v>
      </c>
      <c r="AQ12" s="11" t="s">
        <v>26</v>
      </c>
      <c r="AR12" s="11" t="s">
        <v>26</v>
      </c>
      <c r="AS12" s="11" t="s">
        <v>27</v>
      </c>
      <c r="AT12" s="11" t="s">
        <v>27</v>
      </c>
      <c r="AU12" s="11" t="s">
        <v>12</v>
      </c>
      <c r="AV12" s="11" t="s">
        <v>26</v>
      </c>
      <c r="AW12" s="11" t="s">
        <v>26</v>
      </c>
      <c r="AX12" s="11" t="s">
        <v>27</v>
      </c>
      <c r="AY12" s="11" t="s">
        <v>12</v>
      </c>
      <c r="AZ12" s="11">
        <v>600</v>
      </c>
    </row>
    <row r="13" spans="1:54" x14ac:dyDescent="0.3">
      <c r="A13" s="11">
        <v>601</v>
      </c>
      <c r="B13" s="11" t="s">
        <v>26</v>
      </c>
      <c r="C13" s="11" t="s">
        <v>27</v>
      </c>
      <c r="D13" s="11" t="s">
        <v>27</v>
      </c>
      <c r="E13" s="11" t="s">
        <v>27</v>
      </c>
      <c r="F13" s="11" t="s">
        <v>12</v>
      </c>
      <c r="G13" s="11" t="s">
        <v>26</v>
      </c>
      <c r="H13" s="11" t="s">
        <v>26</v>
      </c>
      <c r="I13" s="11" t="s">
        <v>12</v>
      </c>
      <c r="J13" s="11" t="s">
        <v>57</v>
      </c>
      <c r="K13" s="11" t="s">
        <v>57</v>
      </c>
      <c r="L13" s="11" t="s">
        <v>12</v>
      </c>
      <c r="M13" s="11" t="s">
        <v>26</v>
      </c>
      <c r="N13" s="11" t="s">
        <v>26</v>
      </c>
      <c r="O13" s="11" t="s">
        <v>27</v>
      </c>
      <c r="P13" s="11" t="s">
        <v>26</v>
      </c>
      <c r="Q13" s="11" t="s">
        <v>26</v>
      </c>
      <c r="R13" s="11" t="s">
        <v>12</v>
      </c>
      <c r="S13" s="11" t="s">
        <v>12</v>
      </c>
      <c r="T13" s="11" t="s">
        <v>57</v>
      </c>
      <c r="U13" s="11" t="s">
        <v>27</v>
      </c>
      <c r="V13" s="11" t="s">
        <v>12</v>
      </c>
      <c r="W13" s="11" t="s">
        <v>27</v>
      </c>
      <c r="X13" s="11" t="s">
        <v>12</v>
      </c>
      <c r="Y13" s="11" t="s">
        <v>27</v>
      </c>
      <c r="Z13" s="11" t="s">
        <v>26</v>
      </c>
      <c r="AA13" s="11" t="s">
        <v>27</v>
      </c>
      <c r="AB13" s="11" t="s">
        <v>57</v>
      </c>
      <c r="AC13" s="11" t="s">
        <v>57</v>
      </c>
      <c r="AD13" s="11" t="s">
        <v>12</v>
      </c>
      <c r="AE13" s="11" t="s">
        <v>27</v>
      </c>
      <c r="AF13" s="11" t="s">
        <v>57</v>
      </c>
      <c r="AG13" s="11" t="s">
        <v>27</v>
      </c>
      <c r="AH13" s="11" t="s">
        <v>57</v>
      </c>
      <c r="AI13" s="11" t="s">
        <v>57</v>
      </c>
      <c r="AJ13" s="11" t="s">
        <v>57</v>
      </c>
      <c r="AK13" s="11" t="s">
        <v>26</v>
      </c>
      <c r="AL13" s="11" t="s">
        <v>26</v>
      </c>
      <c r="AM13" s="11" t="s">
        <v>27</v>
      </c>
      <c r="AN13" s="11" t="s">
        <v>26</v>
      </c>
      <c r="AO13" s="11" t="s">
        <v>26</v>
      </c>
      <c r="AP13" s="11" t="s">
        <v>12</v>
      </c>
      <c r="AQ13" s="11" t="s">
        <v>26</v>
      </c>
      <c r="AR13" s="11" t="s">
        <v>57</v>
      </c>
      <c r="AS13" s="11" t="s">
        <v>12</v>
      </c>
      <c r="AT13" s="11" t="s">
        <v>27</v>
      </c>
      <c r="AU13" s="11" t="s">
        <v>26</v>
      </c>
      <c r="AV13" s="11" t="s">
        <v>12</v>
      </c>
      <c r="AW13" s="11" t="s">
        <v>27</v>
      </c>
      <c r="AX13" s="11" t="s">
        <v>27</v>
      </c>
      <c r="AY13" s="11" t="s">
        <v>12</v>
      </c>
      <c r="AZ13" s="11">
        <v>650</v>
      </c>
    </row>
    <row r="14" spans="1:54" x14ac:dyDescent="0.3">
      <c r="A14" s="11">
        <v>651</v>
      </c>
      <c r="B14" s="11" t="s">
        <v>57</v>
      </c>
      <c r="C14" s="11" t="s">
        <v>26</v>
      </c>
      <c r="D14" s="11" t="s">
        <v>12</v>
      </c>
      <c r="E14" s="11" t="s">
        <v>57</v>
      </c>
      <c r="F14" s="11" t="s">
        <v>57</v>
      </c>
      <c r="G14" s="11" t="s">
        <v>12</v>
      </c>
      <c r="H14" s="11" t="s">
        <v>26</v>
      </c>
      <c r="I14" s="11" t="s">
        <v>26</v>
      </c>
      <c r="J14" s="11" t="s">
        <v>27</v>
      </c>
      <c r="K14" s="11" t="s">
        <v>26</v>
      </c>
      <c r="L14" s="11" t="s">
        <v>57</v>
      </c>
      <c r="M14" s="11" t="s">
        <v>12</v>
      </c>
      <c r="N14" s="11" t="s">
        <v>57</v>
      </c>
      <c r="O14" s="11" t="s">
        <v>26</v>
      </c>
      <c r="P14" s="11" t="s">
        <v>12</v>
      </c>
      <c r="Q14" s="11" t="s">
        <v>26</v>
      </c>
      <c r="R14" s="11" t="s">
        <v>27</v>
      </c>
      <c r="S14" s="11" t="s">
        <v>12</v>
      </c>
      <c r="T14" s="11" t="s">
        <v>26</v>
      </c>
      <c r="U14" s="11" t="s">
        <v>26</v>
      </c>
      <c r="V14" s="11" t="s">
        <v>27</v>
      </c>
      <c r="W14" s="11" t="s">
        <v>12</v>
      </c>
      <c r="X14" s="11" t="s">
        <v>26</v>
      </c>
      <c r="Y14" s="11" t="s">
        <v>12</v>
      </c>
      <c r="Z14" s="11" t="s">
        <v>26</v>
      </c>
      <c r="AA14" s="11" t="s">
        <v>12</v>
      </c>
      <c r="AB14" s="11" t="s">
        <v>12</v>
      </c>
      <c r="AC14" s="11" t="s">
        <v>12</v>
      </c>
      <c r="AD14" s="11" t="s">
        <v>12</v>
      </c>
      <c r="AE14" s="11" t="s">
        <v>57</v>
      </c>
      <c r="AF14" s="11" t="s">
        <v>26</v>
      </c>
      <c r="AG14" s="11" t="s">
        <v>57</v>
      </c>
      <c r="AH14" s="11" t="s">
        <v>12</v>
      </c>
      <c r="AI14" s="11" t="s">
        <v>26</v>
      </c>
      <c r="AJ14" s="11" t="s">
        <v>26</v>
      </c>
      <c r="AK14" s="11" t="s">
        <v>12</v>
      </c>
      <c r="AL14" s="11" t="s">
        <v>12</v>
      </c>
      <c r="AM14" s="11" t="s">
        <v>57</v>
      </c>
      <c r="AN14" s="11" t="s">
        <v>12</v>
      </c>
      <c r="AO14" s="11" t="s">
        <v>27</v>
      </c>
      <c r="AP14" s="11" t="s">
        <v>57</v>
      </c>
      <c r="AQ14" s="11" t="s">
        <v>27</v>
      </c>
      <c r="AR14" s="11" t="s">
        <v>12</v>
      </c>
      <c r="AS14" s="11" t="s">
        <v>27</v>
      </c>
      <c r="AT14" s="11" t="s">
        <v>27</v>
      </c>
      <c r="AU14" s="11" t="s">
        <v>27</v>
      </c>
      <c r="AV14" s="11" t="s">
        <v>26</v>
      </c>
      <c r="AW14" s="11" t="s">
        <v>57</v>
      </c>
      <c r="AX14" s="11" t="s">
        <v>12</v>
      </c>
      <c r="AY14" s="11" t="s">
        <v>57</v>
      </c>
      <c r="AZ14" s="11">
        <v>700</v>
      </c>
    </row>
    <row r="15" spans="1:54" x14ac:dyDescent="0.3">
      <c r="A15" s="11">
        <v>701</v>
      </c>
      <c r="B15" s="11" t="s">
        <v>27</v>
      </c>
      <c r="C15" s="11" t="s">
        <v>12</v>
      </c>
      <c r="D15" s="11" t="s">
        <v>12</v>
      </c>
      <c r="E15" s="11" t="s">
        <v>57</v>
      </c>
      <c r="F15" s="11" t="s">
        <v>12</v>
      </c>
      <c r="G15" s="11" t="s">
        <v>26</v>
      </c>
      <c r="H15" s="11" t="s">
        <v>27</v>
      </c>
      <c r="I15" s="11" t="s">
        <v>27</v>
      </c>
      <c r="J15" s="11" t="s">
        <v>27</v>
      </c>
      <c r="K15" s="11" t="s">
        <v>12</v>
      </c>
      <c r="L15" s="11" t="s">
        <v>57</v>
      </c>
      <c r="M15" s="11" t="s">
        <v>57</v>
      </c>
      <c r="N15" s="11" t="s">
        <v>12</v>
      </c>
      <c r="O15" s="11" t="s">
        <v>57</v>
      </c>
      <c r="P15" s="11" t="s">
        <v>12</v>
      </c>
      <c r="Q15" s="11" t="s">
        <v>57</v>
      </c>
      <c r="R15" s="11" t="s">
        <v>27</v>
      </c>
      <c r="S15" s="11" t="s">
        <v>12</v>
      </c>
      <c r="T15" s="11" t="s">
        <v>57</v>
      </c>
      <c r="U15" s="11" t="s">
        <v>12</v>
      </c>
      <c r="V15" s="11" t="s">
        <v>57</v>
      </c>
      <c r="W15" s="11" t="s">
        <v>27</v>
      </c>
      <c r="X15" s="11" t="s">
        <v>27</v>
      </c>
      <c r="Y15" s="11" t="s">
        <v>26</v>
      </c>
      <c r="Z15" s="11" t="s">
        <v>26</v>
      </c>
      <c r="AA15" s="11" t="s">
        <v>12</v>
      </c>
      <c r="AB15" s="11" t="s">
        <v>12</v>
      </c>
      <c r="AC15" s="11" t="s">
        <v>12</v>
      </c>
      <c r="AD15" s="11" t="s">
        <v>12</v>
      </c>
      <c r="AE15" s="11" t="s">
        <v>57</v>
      </c>
      <c r="AF15" s="11" t="s">
        <v>27</v>
      </c>
      <c r="AG15" s="11" t="s">
        <v>27</v>
      </c>
      <c r="AH15" s="11" t="s">
        <v>57</v>
      </c>
      <c r="AI15" s="11" t="s">
        <v>27</v>
      </c>
      <c r="AJ15" s="11" t="s">
        <v>27</v>
      </c>
      <c r="AK15" s="11" t="s">
        <v>26</v>
      </c>
      <c r="AL15" s="11" t="s">
        <v>57</v>
      </c>
      <c r="AM15" s="11" t="s">
        <v>12</v>
      </c>
      <c r="AN15" s="11" t="s">
        <v>57</v>
      </c>
      <c r="AO15" s="11" t="s">
        <v>27</v>
      </c>
      <c r="AP15" s="11" t="s">
        <v>12</v>
      </c>
      <c r="AQ15" s="11" t="s">
        <v>12</v>
      </c>
      <c r="AR15" s="11" t="s">
        <v>12</v>
      </c>
      <c r="AS15" s="11" t="s">
        <v>26</v>
      </c>
      <c r="AT15" s="11" t="s">
        <v>57</v>
      </c>
      <c r="AU15" s="11" t="s">
        <v>12</v>
      </c>
      <c r="AV15" s="11" t="s">
        <v>27</v>
      </c>
      <c r="AW15" s="11" t="s">
        <v>27</v>
      </c>
      <c r="AX15" s="11" t="s">
        <v>12</v>
      </c>
      <c r="AY15" s="11" t="s">
        <v>26</v>
      </c>
      <c r="AZ15" s="11">
        <v>750</v>
      </c>
    </row>
    <row r="16" spans="1:54" x14ac:dyDescent="0.3">
      <c r="A16" s="11">
        <v>751</v>
      </c>
      <c r="B16" s="11" t="s">
        <v>57</v>
      </c>
      <c r="C16" s="11" t="s">
        <v>12</v>
      </c>
      <c r="D16" s="11" t="s">
        <v>26</v>
      </c>
      <c r="E16" s="11" t="s">
        <v>26</v>
      </c>
      <c r="F16" s="11" t="s">
        <v>12</v>
      </c>
      <c r="G16" s="11" t="s">
        <v>26</v>
      </c>
      <c r="H16" s="11" t="s">
        <v>57</v>
      </c>
      <c r="I16" s="11" t="s">
        <v>12</v>
      </c>
      <c r="J16" s="11" t="s">
        <v>26</v>
      </c>
      <c r="K16" s="11" t="s">
        <v>12</v>
      </c>
      <c r="L16" s="11" t="s">
        <v>12</v>
      </c>
      <c r="M16" s="11" t="s">
        <v>12</v>
      </c>
      <c r="N16" s="11" t="s">
        <v>27</v>
      </c>
      <c r="O16" s="11" t="s">
        <v>27</v>
      </c>
      <c r="P16" s="11" t="s">
        <v>57</v>
      </c>
      <c r="Q16" s="11" t="s">
        <v>57</v>
      </c>
      <c r="R16" s="11" t="s">
        <v>57</v>
      </c>
      <c r="S16" s="11" t="s">
        <v>12</v>
      </c>
      <c r="T16" s="11" t="s">
        <v>26</v>
      </c>
      <c r="U16" s="11" t="s">
        <v>27</v>
      </c>
      <c r="V16" s="11" t="s">
        <v>26</v>
      </c>
      <c r="W16" s="11" t="s">
        <v>12</v>
      </c>
      <c r="X16" s="11" t="s">
        <v>26</v>
      </c>
      <c r="Y16" s="11" t="s">
        <v>12</v>
      </c>
      <c r="Z16" s="11" t="s">
        <v>57</v>
      </c>
      <c r="AA16" s="11" t="s">
        <v>27</v>
      </c>
      <c r="AB16" s="11" t="s">
        <v>12</v>
      </c>
      <c r="AC16" s="11" t="s">
        <v>57</v>
      </c>
      <c r="AD16" s="11" t="s">
        <v>27</v>
      </c>
      <c r="AE16" s="11" t="s">
        <v>27</v>
      </c>
      <c r="AF16" s="11" t="s">
        <v>12</v>
      </c>
      <c r="AG16" s="11" t="s">
        <v>12</v>
      </c>
      <c r="AH16" s="11" t="s">
        <v>12</v>
      </c>
      <c r="AI16" s="11" t="s">
        <v>57</v>
      </c>
      <c r="AJ16" s="11" t="s">
        <v>27</v>
      </c>
      <c r="AK16" s="11" t="s">
        <v>12</v>
      </c>
      <c r="AL16" s="11" t="s">
        <v>26</v>
      </c>
      <c r="AM16" s="11" t="s">
        <v>12</v>
      </c>
      <c r="AN16" s="11" t="s">
        <v>26</v>
      </c>
      <c r="AO16" s="11" t="s">
        <v>27</v>
      </c>
      <c r="AP16" s="11" t="s">
        <v>26</v>
      </c>
      <c r="AQ16" s="11" t="s">
        <v>26</v>
      </c>
      <c r="AR16" s="11" t="s">
        <v>27</v>
      </c>
      <c r="AS16" s="15" t="s">
        <v>12</v>
      </c>
      <c r="AT16" s="15" t="s">
        <v>57</v>
      </c>
      <c r="AU16" s="15" t="s">
        <v>26</v>
      </c>
      <c r="AV16" s="15" t="s">
        <v>12</v>
      </c>
      <c r="AW16" s="15" t="s">
        <v>12</v>
      </c>
      <c r="AX16" s="15" t="s">
        <v>57</v>
      </c>
      <c r="AY16" s="15" t="s">
        <v>27</v>
      </c>
      <c r="AZ16" s="11">
        <v>800</v>
      </c>
    </row>
    <row r="17" spans="1:52" x14ac:dyDescent="0.3">
      <c r="A17" s="11">
        <v>801</v>
      </c>
      <c r="B17" s="11" t="s">
        <v>26</v>
      </c>
      <c r="C17" s="11" t="s">
        <v>12</v>
      </c>
      <c r="D17" s="11" t="s">
        <v>26</v>
      </c>
      <c r="E17" s="11" t="s">
        <v>12</v>
      </c>
      <c r="F17" s="11" t="s">
        <v>12</v>
      </c>
      <c r="G17" s="11" t="s">
        <v>57</v>
      </c>
      <c r="H17" s="11" t="s">
        <v>27</v>
      </c>
      <c r="I17" s="11" t="s">
        <v>27</v>
      </c>
      <c r="J17" s="11" t="s">
        <v>12</v>
      </c>
      <c r="K17" s="11" t="s">
        <v>27</v>
      </c>
      <c r="L17" s="11" t="s">
        <v>26</v>
      </c>
      <c r="M17" s="11" t="s">
        <v>57</v>
      </c>
      <c r="N17" s="11" t="s">
        <v>26</v>
      </c>
      <c r="O17" s="11" t="s">
        <v>27</v>
      </c>
      <c r="P17" s="11" t="s">
        <v>12</v>
      </c>
      <c r="Q17" s="11" t="s">
        <v>26</v>
      </c>
      <c r="R17" s="11" t="s">
        <v>27</v>
      </c>
      <c r="S17" s="11" t="s">
        <v>12</v>
      </c>
      <c r="T17" s="11" t="s">
        <v>26</v>
      </c>
      <c r="U17" s="11" t="s">
        <v>27</v>
      </c>
      <c r="V17" s="11" t="s">
        <v>12</v>
      </c>
      <c r="W17" s="11" t="s">
        <v>27</v>
      </c>
      <c r="X17" s="11" t="s">
        <v>27</v>
      </c>
      <c r="Y17" s="11" t="s">
        <v>26</v>
      </c>
      <c r="Z17" s="11" t="s">
        <v>57</v>
      </c>
      <c r="AA17" s="11" t="s">
        <v>27</v>
      </c>
      <c r="AB17" s="11" t="s">
        <v>27</v>
      </c>
      <c r="AC17" s="11" t="s">
        <v>26</v>
      </c>
      <c r="AD17" s="11" t="s">
        <v>12</v>
      </c>
      <c r="AE17" s="11" t="s">
        <v>26</v>
      </c>
      <c r="AF17" s="11" t="s">
        <v>27</v>
      </c>
      <c r="AG17" s="11" t="s">
        <v>12</v>
      </c>
      <c r="AH17" s="11" t="s">
        <v>57</v>
      </c>
      <c r="AI17" s="11" t="s">
        <v>27</v>
      </c>
      <c r="AJ17" s="11" t="s">
        <v>27</v>
      </c>
      <c r="AK17" s="11" t="s">
        <v>57</v>
      </c>
      <c r="AL17" s="11" t="s">
        <v>27</v>
      </c>
      <c r="AM17" s="11" t="s">
        <v>12</v>
      </c>
      <c r="AN17" s="11" t="s">
        <v>12</v>
      </c>
      <c r="AO17" s="11" t="s">
        <v>27</v>
      </c>
      <c r="AP17" s="11" t="s">
        <v>12</v>
      </c>
      <c r="AQ17" s="11" t="s">
        <v>12</v>
      </c>
      <c r="AR17" s="11" t="s">
        <v>27</v>
      </c>
      <c r="AS17" s="11" t="s">
        <v>12</v>
      </c>
      <c r="AT17" s="11" t="s">
        <v>57</v>
      </c>
      <c r="AU17" s="11" t="s">
        <v>57</v>
      </c>
      <c r="AV17" s="11" t="s">
        <v>26</v>
      </c>
      <c r="AW17" s="11" t="s">
        <v>12</v>
      </c>
      <c r="AX17" s="11" t="s">
        <v>57</v>
      </c>
      <c r="AY17" s="11" t="s">
        <v>26</v>
      </c>
      <c r="AZ17" s="11">
        <v>850</v>
      </c>
    </row>
    <row r="18" spans="1:52" x14ac:dyDescent="0.3">
      <c r="A18" s="11">
        <v>851</v>
      </c>
      <c r="B18" s="11" t="s">
        <v>57</v>
      </c>
      <c r="C18" s="11" t="s">
        <v>27</v>
      </c>
      <c r="D18" s="11" t="s">
        <v>57</v>
      </c>
      <c r="E18" s="11" t="s">
        <v>27</v>
      </c>
      <c r="F18" s="11" t="s">
        <v>27</v>
      </c>
      <c r="G18" s="11" t="s">
        <v>27</v>
      </c>
      <c r="H18" s="15" t="s">
        <v>12</v>
      </c>
      <c r="I18" s="15" t="s">
        <v>57</v>
      </c>
      <c r="J18" s="15" t="s">
        <v>26</v>
      </c>
      <c r="K18" s="15" t="s">
        <v>12</v>
      </c>
      <c r="L18" s="15" t="s">
        <v>12</v>
      </c>
      <c r="M18" s="15" t="s">
        <v>57</v>
      </c>
      <c r="N18" s="15" t="s">
        <v>27</v>
      </c>
      <c r="O18" s="11" t="s">
        <v>12</v>
      </c>
      <c r="P18" s="11" t="s">
        <v>26</v>
      </c>
      <c r="Q18" s="11" t="s">
        <v>27</v>
      </c>
      <c r="R18" s="11" t="s">
        <v>12</v>
      </c>
      <c r="S18" s="11" t="s">
        <v>12</v>
      </c>
      <c r="T18" s="11" t="s">
        <v>57</v>
      </c>
      <c r="U18" s="11" t="s">
        <v>26</v>
      </c>
      <c r="V18" s="11" t="s">
        <v>27</v>
      </c>
      <c r="W18" s="11" t="s">
        <v>26</v>
      </c>
      <c r="X18" s="11" t="s">
        <v>26</v>
      </c>
      <c r="Y18" s="11" t="s">
        <v>12</v>
      </c>
      <c r="Z18" s="11" t="s">
        <v>12</v>
      </c>
      <c r="AA18" s="11" t="s">
        <v>57</v>
      </c>
      <c r="AB18" s="11" t="s">
        <v>57</v>
      </c>
      <c r="AC18" s="11" t="s">
        <v>12</v>
      </c>
      <c r="AD18" s="11" t="s">
        <v>12</v>
      </c>
      <c r="AE18" s="11" t="s">
        <v>57</v>
      </c>
      <c r="AF18" s="11" t="s">
        <v>27</v>
      </c>
      <c r="AG18" s="11" t="s">
        <v>12</v>
      </c>
      <c r="AH18" s="11" t="s">
        <v>57</v>
      </c>
      <c r="AI18" s="11" t="s">
        <v>27</v>
      </c>
      <c r="AJ18" s="11" t="s">
        <v>26</v>
      </c>
      <c r="AK18" s="11" t="s">
        <v>26</v>
      </c>
      <c r="AL18" s="11" t="s">
        <v>27</v>
      </c>
      <c r="AM18" s="11" t="s">
        <v>57</v>
      </c>
      <c r="AN18" s="11" t="s">
        <v>26</v>
      </c>
      <c r="AO18" s="11" t="s">
        <v>12</v>
      </c>
      <c r="AP18" s="11" t="s">
        <v>26</v>
      </c>
      <c r="AQ18" s="11" t="s">
        <v>26</v>
      </c>
      <c r="AR18" s="11" t="s">
        <v>12</v>
      </c>
      <c r="AS18" s="11" t="s">
        <v>27</v>
      </c>
      <c r="AT18" s="11" t="s">
        <v>26</v>
      </c>
      <c r="AU18" s="11" t="s">
        <v>27</v>
      </c>
      <c r="AV18" s="11" t="s">
        <v>26</v>
      </c>
      <c r="AW18" s="11" t="s">
        <v>26</v>
      </c>
      <c r="AX18" s="11" t="s">
        <v>12</v>
      </c>
      <c r="AY18" s="11" t="s">
        <v>27</v>
      </c>
      <c r="AZ18" s="11">
        <v>900</v>
      </c>
    </row>
    <row r="19" spans="1:52" x14ac:dyDescent="0.3">
      <c r="A19" s="11">
        <v>901</v>
      </c>
      <c r="B19" s="11" t="s">
        <v>27</v>
      </c>
      <c r="C19" s="11" t="s">
        <v>12</v>
      </c>
      <c r="D19" s="11" t="s">
        <v>26</v>
      </c>
      <c r="E19" s="11" t="s">
        <v>12</v>
      </c>
      <c r="F19" s="11" t="s">
        <v>12</v>
      </c>
      <c r="G19" s="11" t="s">
        <v>26</v>
      </c>
      <c r="H19" s="11" t="s">
        <v>57</v>
      </c>
      <c r="I19" s="11" t="s">
        <v>12</v>
      </c>
      <c r="J19" s="11" t="s">
        <v>26</v>
      </c>
      <c r="K19" s="11" t="s">
        <v>12</v>
      </c>
      <c r="L19" s="11" t="s">
        <v>12</v>
      </c>
      <c r="M19" s="11" t="s">
        <v>27</v>
      </c>
      <c r="N19" s="11" t="s">
        <v>26</v>
      </c>
      <c r="O19" s="11" t="s">
        <v>12</v>
      </c>
      <c r="P19" s="11" t="s">
        <v>27</v>
      </c>
      <c r="Q19" s="11" t="s">
        <v>12</v>
      </c>
      <c r="R19" s="11" t="s">
        <v>12</v>
      </c>
      <c r="S19" s="11" t="s">
        <v>27</v>
      </c>
      <c r="T19" s="11" t="s">
        <v>57</v>
      </c>
      <c r="U19" s="11" t="s">
        <v>27</v>
      </c>
      <c r="V19" s="11" t="s">
        <v>27</v>
      </c>
      <c r="W19" s="11" t="s">
        <v>26</v>
      </c>
      <c r="X19" s="11" t="s">
        <v>57</v>
      </c>
      <c r="Y19" s="11" t="s">
        <v>57</v>
      </c>
      <c r="Z19" s="11" t="s">
        <v>27</v>
      </c>
      <c r="AA19" s="11" t="s">
        <v>57</v>
      </c>
      <c r="AB19" s="11" t="s">
        <v>27</v>
      </c>
      <c r="AC19" s="11" t="s">
        <v>12</v>
      </c>
      <c r="AD19" s="11" t="s">
        <v>57</v>
      </c>
      <c r="AE19" s="11" t="s">
        <v>12</v>
      </c>
      <c r="AF19" s="11" t="s">
        <v>57</v>
      </c>
      <c r="AG19" s="11" t="s">
        <v>27</v>
      </c>
      <c r="AH19" s="11" t="s">
        <v>27</v>
      </c>
      <c r="AI19" s="11" t="s">
        <v>26</v>
      </c>
      <c r="AJ19" s="11" t="s">
        <v>57</v>
      </c>
      <c r="AK19" s="11" t="s">
        <v>12</v>
      </c>
      <c r="AL19" s="11" t="s">
        <v>12</v>
      </c>
      <c r="AM19" s="11" t="s">
        <v>57</v>
      </c>
      <c r="AN19" s="11" t="s">
        <v>12</v>
      </c>
      <c r="AO19" s="11" t="s">
        <v>57</v>
      </c>
      <c r="AP19" s="11" t="s">
        <v>27</v>
      </c>
      <c r="AQ19" s="11" t="s">
        <v>26</v>
      </c>
      <c r="AR19" s="11" t="s">
        <v>27</v>
      </c>
      <c r="AS19" s="11" t="s">
        <v>12</v>
      </c>
      <c r="AT19" s="11" t="s">
        <v>27</v>
      </c>
      <c r="AU19" s="11" t="s">
        <v>26</v>
      </c>
      <c r="AV19" s="11" t="s">
        <v>27</v>
      </c>
      <c r="AW19" s="11" t="s">
        <v>26</v>
      </c>
      <c r="AX19" s="11" t="s">
        <v>12</v>
      </c>
      <c r="AY19" s="11" t="s">
        <v>26</v>
      </c>
      <c r="AZ19" s="11">
        <v>950</v>
      </c>
    </row>
    <row r="20" spans="1:52" x14ac:dyDescent="0.3">
      <c r="A20" s="11">
        <v>951</v>
      </c>
      <c r="B20" s="11" t="s">
        <v>26</v>
      </c>
      <c r="C20" s="11" t="s">
        <v>26</v>
      </c>
      <c r="D20" s="11" t="s">
        <v>27</v>
      </c>
      <c r="E20" s="11" t="s">
        <v>57</v>
      </c>
      <c r="F20" s="11" t="s">
        <v>27</v>
      </c>
      <c r="G20" s="11" t="s">
        <v>12</v>
      </c>
      <c r="H20" s="11" t="s">
        <v>26</v>
      </c>
      <c r="I20" s="11" t="s">
        <v>12</v>
      </c>
      <c r="J20" s="11" t="s">
        <v>12</v>
      </c>
      <c r="K20" s="11" t="s">
        <v>12</v>
      </c>
      <c r="L20" s="11" t="s">
        <v>57</v>
      </c>
      <c r="M20" s="11" t="s">
        <v>27</v>
      </c>
      <c r="N20" s="11" t="s">
        <v>26</v>
      </c>
      <c r="O20" s="11" t="s">
        <v>26</v>
      </c>
      <c r="P20" s="11" t="s">
        <v>27</v>
      </c>
      <c r="Q20" s="11" t="s">
        <v>57</v>
      </c>
      <c r="R20" s="11" t="s">
        <v>12</v>
      </c>
      <c r="S20" s="11" t="s">
        <v>12</v>
      </c>
      <c r="T20" s="11" t="s">
        <v>57</v>
      </c>
      <c r="U20" s="11" t="s">
        <v>57</v>
      </c>
      <c r="V20" s="11" t="s">
        <v>12</v>
      </c>
      <c r="W20" s="11" t="s">
        <v>26</v>
      </c>
      <c r="X20" s="11" t="s">
        <v>12</v>
      </c>
      <c r="Y20" s="11" t="s">
        <v>12</v>
      </c>
      <c r="Z20" s="11" t="s">
        <v>27</v>
      </c>
      <c r="AA20" s="11" t="s">
        <v>57</v>
      </c>
      <c r="AB20" s="11" t="s">
        <v>27</v>
      </c>
      <c r="AC20" s="11" t="s">
        <v>27</v>
      </c>
      <c r="AD20" s="11" t="s">
        <v>26</v>
      </c>
      <c r="AE20" s="11" t="s">
        <v>26</v>
      </c>
      <c r="AF20" s="11" t="s">
        <v>26</v>
      </c>
      <c r="AG20" s="11" t="s">
        <v>26</v>
      </c>
      <c r="AH20" s="11" t="s">
        <v>27</v>
      </c>
      <c r="AI20" s="11" t="s">
        <v>27</v>
      </c>
      <c r="AJ20" s="11" t="s">
        <v>27</v>
      </c>
      <c r="AK20" s="11" t="s">
        <v>12</v>
      </c>
      <c r="AL20" s="11" t="s">
        <v>26</v>
      </c>
      <c r="AM20" s="11" t="s">
        <v>57</v>
      </c>
      <c r="AN20" s="11" t="s">
        <v>12</v>
      </c>
      <c r="AO20" s="11" t="s">
        <v>57</v>
      </c>
      <c r="AP20" s="11" t="s">
        <v>26</v>
      </c>
      <c r="AQ20" s="11" t="s">
        <v>12</v>
      </c>
      <c r="AR20" s="11" t="s">
        <v>12</v>
      </c>
      <c r="AS20" s="11" t="s">
        <v>26</v>
      </c>
      <c r="AT20" s="11" t="s">
        <v>27</v>
      </c>
      <c r="AU20" s="11" t="s">
        <v>26</v>
      </c>
      <c r="AV20" s="11" t="s">
        <v>12</v>
      </c>
      <c r="AW20" s="11" t="s">
        <v>12</v>
      </c>
      <c r="AX20" s="11" t="s">
        <v>26</v>
      </c>
      <c r="AY20" s="11" t="s">
        <v>27</v>
      </c>
      <c r="AZ20" s="11">
        <v>1000</v>
      </c>
    </row>
    <row r="21" spans="1:52" x14ac:dyDescent="0.3">
      <c r="A21" s="11">
        <v>1001</v>
      </c>
      <c r="B21" s="11" t="s">
        <v>12</v>
      </c>
      <c r="C21" s="11" t="s">
        <v>26</v>
      </c>
      <c r="D21" s="11" t="s">
        <v>26</v>
      </c>
      <c r="E21" s="11" t="s">
        <v>12</v>
      </c>
      <c r="F21" s="11" t="s">
        <v>57</v>
      </c>
      <c r="G21" s="11" t="s">
        <v>57</v>
      </c>
      <c r="H21" s="11" t="s">
        <v>12</v>
      </c>
      <c r="I21" s="11" t="s">
        <v>12</v>
      </c>
      <c r="J21" s="11" t="s">
        <v>27</v>
      </c>
      <c r="K21" s="11" t="s">
        <v>27</v>
      </c>
      <c r="L21" s="11" t="s">
        <v>27</v>
      </c>
      <c r="M21" s="11" t="s">
        <v>57</v>
      </c>
      <c r="N21" s="11" t="s">
        <v>27</v>
      </c>
      <c r="O21" s="11" t="s">
        <v>12</v>
      </c>
      <c r="P21" s="11" t="s">
        <v>26</v>
      </c>
      <c r="Q21" s="11" t="s">
        <v>27</v>
      </c>
      <c r="R21" s="11" t="s">
        <v>12</v>
      </c>
      <c r="S21" s="11" t="s">
        <v>12</v>
      </c>
      <c r="T21" s="11" t="s">
        <v>12</v>
      </c>
      <c r="U21" s="11" t="s">
        <v>26</v>
      </c>
      <c r="V21" s="11" t="s">
        <v>12</v>
      </c>
      <c r="W21" s="11" t="s">
        <v>12</v>
      </c>
      <c r="X21" s="11" t="s">
        <v>27</v>
      </c>
      <c r="Y21" s="11" t="s">
        <v>26</v>
      </c>
      <c r="Z21" s="11" t="s">
        <v>26</v>
      </c>
      <c r="AA21" s="11" t="s">
        <v>57</v>
      </c>
      <c r="AB21" s="11" t="s">
        <v>12</v>
      </c>
      <c r="AC21" s="11" t="s">
        <v>12</v>
      </c>
      <c r="AD21" s="11" t="s">
        <v>26</v>
      </c>
      <c r="AE21" s="11" t="s">
        <v>57</v>
      </c>
      <c r="AF21" s="11" t="s">
        <v>12</v>
      </c>
      <c r="AG21" s="11" t="s">
        <v>27</v>
      </c>
      <c r="AH21" s="11" t="s">
        <v>57</v>
      </c>
      <c r="AI21" s="11" t="s">
        <v>27</v>
      </c>
      <c r="AJ21" s="11" t="s">
        <v>12</v>
      </c>
      <c r="AK21" s="11" t="s">
        <v>27</v>
      </c>
      <c r="AL21" s="11" t="s">
        <v>27</v>
      </c>
      <c r="AM21" s="11" t="s">
        <v>57</v>
      </c>
      <c r="AN21" s="11" t="s">
        <v>57</v>
      </c>
      <c r="AO21" s="11" t="s">
        <v>12</v>
      </c>
      <c r="AP21" s="11" t="s">
        <v>12</v>
      </c>
      <c r="AQ21" s="11" t="s">
        <v>12</v>
      </c>
      <c r="AR21" s="11" t="s">
        <v>12</v>
      </c>
      <c r="AS21" s="11" t="s">
        <v>26</v>
      </c>
      <c r="AT21" s="11" t="s">
        <v>26</v>
      </c>
      <c r="AU21" s="11" t="s">
        <v>57</v>
      </c>
      <c r="AV21" s="11" t="s">
        <v>26</v>
      </c>
      <c r="AW21" s="11" t="s">
        <v>57</v>
      </c>
      <c r="AX21" s="11" t="s">
        <v>12</v>
      </c>
      <c r="AY21" s="11" t="s">
        <v>26</v>
      </c>
      <c r="AZ21" s="11">
        <v>1050</v>
      </c>
    </row>
    <row r="22" spans="1:52" x14ac:dyDescent="0.3">
      <c r="A22" s="11">
        <v>1051</v>
      </c>
      <c r="B22" s="11" t="s">
        <v>12</v>
      </c>
      <c r="C22" s="11" t="s">
        <v>12</v>
      </c>
      <c r="D22" s="11" t="s">
        <v>26</v>
      </c>
      <c r="E22" s="11" t="s">
        <v>26</v>
      </c>
      <c r="F22" s="11" t="s">
        <v>57</v>
      </c>
      <c r="G22" s="11" t="s">
        <v>12</v>
      </c>
      <c r="H22" s="11" t="s">
        <v>57</v>
      </c>
      <c r="I22" s="11" t="s">
        <v>27</v>
      </c>
      <c r="J22" s="11" t="s">
        <v>57</v>
      </c>
      <c r="K22" s="11" t="s">
        <v>27</v>
      </c>
      <c r="L22" s="11" t="s">
        <v>12</v>
      </c>
      <c r="M22" s="11" t="s">
        <v>12</v>
      </c>
      <c r="N22" s="11" t="s">
        <v>12</v>
      </c>
      <c r="O22" s="11" t="s">
        <v>12</v>
      </c>
      <c r="P22" s="11" t="s">
        <v>57</v>
      </c>
      <c r="Q22" s="11" t="s">
        <v>57</v>
      </c>
      <c r="R22" s="11" t="s">
        <v>12</v>
      </c>
      <c r="S22" s="11" t="s">
        <v>27</v>
      </c>
      <c r="T22" s="11" t="s">
        <v>27</v>
      </c>
      <c r="U22" s="11" t="s">
        <v>12</v>
      </c>
      <c r="V22" s="11" t="s">
        <v>27</v>
      </c>
      <c r="W22" s="11" t="s">
        <v>26</v>
      </c>
      <c r="X22" s="11" t="s">
        <v>27</v>
      </c>
      <c r="Y22" s="11" t="s">
        <v>27</v>
      </c>
      <c r="Z22" s="11" t="s">
        <v>57</v>
      </c>
      <c r="AA22" s="11" t="s">
        <v>27</v>
      </c>
      <c r="AB22" s="11" t="s">
        <v>57</v>
      </c>
      <c r="AC22" s="11" t="s">
        <v>57</v>
      </c>
      <c r="AD22" s="11" t="s">
        <v>12</v>
      </c>
      <c r="AE22" s="11" t="s">
        <v>26</v>
      </c>
      <c r="AF22" s="11" t="s">
        <v>26</v>
      </c>
      <c r="AG22" s="11" t="s">
        <v>57</v>
      </c>
      <c r="AH22" s="11" t="s">
        <v>27</v>
      </c>
      <c r="AI22" s="11" t="s">
        <v>12</v>
      </c>
      <c r="AJ22" s="11" t="s">
        <v>12</v>
      </c>
      <c r="AK22" s="11" t="s">
        <v>26</v>
      </c>
      <c r="AL22" s="11" t="s">
        <v>12</v>
      </c>
      <c r="AM22" s="11" t="s">
        <v>12</v>
      </c>
      <c r="AN22" s="11" t="s">
        <v>26</v>
      </c>
      <c r="AO22" s="11" t="s">
        <v>27</v>
      </c>
      <c r="AP22" s="11" t="s">
        <v>26</v>
      </c>
      <c r="AQ22" s="11" t="s">
        <v>57</v>
      </c>
      <c r="AR22" s="11" t="s">
        <v>57</v>
      </c>
      <c r="AS22" s="11" t="s">
        <v>12</v>
      </c>
      <c r="AT22" s="11" t="s">
        <v>27</v>
      </c>
      <c r="AU22" s="11" t="s">
        <v>12</v>
      </c>
      <c r="AV22" s="11" t="s">
        <v>12</v>
      </c>
      <c r="AW22" s="11" t="s">
        <v>57</v>
      </c>
      <c r="AX22" s="11" t="s">
        <v>12</v>
      </c>
      <c r="AY22" s="11" t="s">
        <v>57</v>
      </c>
      <c r="AZ22" s="11">
        <v>1100</v>
      </c>
    </row>
    <row r="23" spans="1:52" x14ac:dyDescent="0.3">
      <c r="A23" s="11">
        <v>1101</v>
      </c>
      <c r="B23" s="11" t="s">
        <v>27</v>
      </c>
      <c r="C23" s="11" t="s">
        <v>57</v>
      </c>
      <c r="D23" s="11" t="s">
        <v>27</v>
      </c>
      <c r="E23" s="11" t="s">
        <v>57</v>
      </c>
      <c r="F23" s="11" t="s">
        <v>26</v>
      </c>
      <c r="G23" s="11" t="s">
        <v>12</v>
      </c>
      <c r="H23" s="11" t="s">
        <v>27</v>
      </c>
      <c r="I23" s="11" t="s">
        <v>12</v>
      </c>
      <c r="J23" s="11" t="s">
        <v>12</v>
      </c>
      <c r="K23" s="11" t="s">
        <v>57</v>
      </c>
      <c r="L23" s="11" t="s">
        <v>27</v>
      </c>
      <c r="M23" s="11" t="s">
        <v>27</v>
      </c>
      <c r="N23" s="11" t="s">
        <v>26</v>
      </c>
      <c r="O23" s="11" t="s">
        <v>26</v>
      </c>
      <c r="P23" s="11" t="s">
        <v>12</v>
      </c>
      <c r="Q23" s="11" t="s">
        <v>12</v>
      </c>
      <c r="R23" s="11" t="s">
        <v>27</v>
      </c>
      <c r="S23" s="11" t="s">
        <v>27</v>
      </c>
      <c r="T23" s="11" t="s">
        <v>26</v>
      </c>
      <c r="U23" s="11" t="s">
        <v>26</v>
      </c>
      <c r="V23" s="11" t="s">
        <v>27</v>
      </c>
      <c r="W23" s="11" t="s">
        <v>12</v>
      </c>
      <c r="X23" s="11" t="s">
        <v>27</v>
      </c>
      <c r="Y23" s="11" t="s">
        <v>27</v>
      </c>
      <c r="Z23" s="11" t="s">
        <v>26</v>
      </c>
      <c r="AA23" s="11" t="s">
        <v>57</v>
      </c>
      <c r="AB23" s="11" t="s">
        <v>12</v>
      </c>
      <c r="AC23" s="11" t="s">
        <v>26</v>
      </c>
      <c r="AD23" s="11" t="s">
        <v>27</v>
      </c>
      <c r="AE23" s="11" t="s">
        <v>12</v>
      </c>
      <c r="AF23" s="11" t="s">
        <v>26</v>
      </c>
      <c r="AG23" s="11" t="s">
        <v>26</v>
      </c>
      <c r="AH23" s="11" t="s">
        <v>57</v>
      </c>
      <c r="AI23" s="11" t="s">
        <v>57</v>
      </c>
      <c r="AJ23" s="11" t="s">
        <v>27</v>
      </c>
      <c r="AK23" s="11" t="s">
        <v>12</v>
      </c>
      <c r="AL23" s="11" t="s">
        <v>27</v>
      </c>
      <c r="AM23" s="11" t="s">
        <v>57</v>
      </c>
      <c r="AN23" s="11" t="s">
        <v>27</v>
      </c>
      <c r="AO23" s="11" t="s">
        <v>27</v>
      </c>
      <c r="AP23" s="11" t="s">
        <v>12</v>
      </c>
      <c r="AQ23" s="11" t="s">
        <v>12</v>
      </c>
      <c r="AR23" s="11" t="s">
        <v>27</v>
      </c>
      <c r="AS23" s="11" t="s">
        <v>26</v>
      </c>
      <c r="AT23" s="11" t="s">
        <v>12</v>
      </c>
      <c r="AU23" s="11" t="s">
        <v>57</v>
      </c>
      <c r="AV23" s="11" t="s">
        <v>26</v>
      </c>
      <c r="AW23" s="11" t="s">
        <v>12</v>
      </c>
      <c r="AX23" s="11" t="s">
        <v>57</v>
      </c>
      <c r="AY23" s="11" t="s">
        <v>12</v>
      </c>
      <c r="AZ23" s="11">
        <v>1150</v>
      </c>
    </row>
    <row r="24" spans="1:52" x14ac:dyDescent="0.3">
      <c r="A24" s="11">
        <v>1151</v>
      </c>
      <c r="B24" s="11" t="s">
        <v>12</v>
      </c>
      <c r="C24" s="11" t="s">
        <v>27</v>
      </c>
      <c r="D24" s="11" t="s">
        <v>57</v>
      </c>
      <c r="E24" s="11" t="s">
        <v>27</v>
      </c>
      <c r="F24" s="11" t="s">
        <v>12</v>
      </c>
      <c r="G24" s="11" t="s">
        <v>57</v>
      </c>
      <c r="H24" s="11" t="s">
        <v>27</v>
      </c>
      <c r="I24" s="11" t="s">
        <v>57</v>
      </c>
      <c r="J24" s="11" t="s">
        <v>26</v>
      </c>
      <c r="K24" s="11" t="s">
        <v>12</v>
      </c>
      <c r="L24" s="11" t="s">
        <v>26</v>
      </c>
      <c r="M24" s="11" t="s">
        <v>26</v>
      </c>
      <c r="N24" s="11" t="s">
        <v>12</v>
      </c>
      <c r="O24" s="11" t="s">
        <v>57</v>
      </c>
      <c r="P24" s="11" t="s">
        <v>12</v>
      </c>
      <c r="Q24" s="11" t="s">
        <v>12</v>
      </c>
      <c r="R24" s="11" t="s">
        <v>27</v>
      </c>
      <c r="S24" s="11" t="s">
        <v>12</v>
      </c>
      <c r="T24" s="11" t="s">
        <v>12</v>
      </c>
      <c r="U24" s="11" t="s">
        <v>26</v>
      </c>
      <c r="V24" s="11" t="s">
        <v>27</v>
      </c>
      <c r="W24" s="11" t="s">
        <v>12</v>
      </c>
      <c r="X24" s="11" t="s">
        <v>57</v>
      </c>
      <c r="Y24" s="11" t="s">
        <v>57</v>
      </c>
      <c r="Z24" s="11" t="s">
        <v>12</v>
      </c>
      <c r="AA24" s="11" t="s">
        <v>26</v>
      </c>
      <c r="AB24" s="11" t="s">
        <v>27</v>
      </c>
      <c r="AC24" s="11" t="s">
        <v>12</v>
      </c>
      <c r="AD24" s="11" t="s">
        <v>26</v>
      </c>
      <c r="AE24" s="11" t="s">
        <v>12</v>
      </c>
      <c r="AF24" s="11" t="s">
        <v>12</v>
      </c>
      <c r="AG24" s="11" t="s">
        <v>57</v>
      </c>
      <c r="AH24" s="11" t="s">
        <v>57</v>
      </c>
      <c r="AI24" s="11" t="s">
        <v>12</v>
      </c>
      <c r="AJ24" s="11" t="s">
        <v>26</v>
      </c>
      <c r="AK24" s="11" t="s">
        <v>26</v>
      </c>
      <c r="AL24" s="11" t="s">
        <v>27</v>
      </c>
      <c r="AM24" s="11" t="s">
        <v>57</v>
      </c>
      <c r="AN24" s="11" t="s">
        <v>27</v>
      </c>
      <c r="AO24" s="11" t="s">
        <v>12</v>
      </c>
      <c r="AP24" s="11" t="s">
        <v>57</v>
      </c>
      <c r="AQ24" s="11" t="s">
        <v>26</v>
      </c>
      <c r="AR24" s="11" t="s">
        <v>12</v>
      </c>
      <c r="AS24" s="11" t="s">
        <v>27</v>
      </c>
      <c r="AT24" s="11" t="s">
        <v>27</v>
      </c>
      <c r="AU24" s="11" t="s">
        <v>12</v>
      </c>
      <c r="AV24" s="11" t="s">
        <v>27</v>
      </c>
      <c r="AW24" s="11" t="s">
        <v>57</v>
      </c>
      <c r="AX24" s="11" t="s">
        <v>27</v>
      </c>
      <c r="AY24" s="11" t="s">
        <v>57</v>
      </c>
      <c r="AZ24" s="11">
        <v>1200</v>
      </c>
    </row>
    <row r="25" spans="1:52" x14ac:dyDescent="0.3">
      <c r="A25" s="11">
        <v>1201</v>
      </c>
      <c r="B25" s="11" t="s">
        <v>12</v>
      </c>
      <c r="C25" s="11" t="s">
        <v>12</v>
      </c>
      <c r="D25" s="11" t="s">
        <v>12</v>
      </c>
      <c r="E25" s="11" t="s">
        <v>12</v>
      </c>
      <c r="F25" s="11" t="s">
        <v>57</v>
      </c>
      <c r="G25" s="11" t="s">
        <v>26</v>
      </c>
      <c r="H25" s="11" t="s">
        <v>12</v>
      </c>
      <c r="I25" s="11" t="s">
        <v>12</v>
      </c>
      <c r="J25" s="11" t="s">
        <v>26</v>
      </c>
      <c r="K25" s="11" t="s">
        <v>26</v>
      </c>
      <c r="L25" s="11" t="s">
        <v>27</v>
      </c>
      <c r="M25" s="11" t="s">
        <v>12</v>
      </c>
      <c r="N25" s="11" t="s">
        <v>57</v>
      </c>
      <c r="O25" s="11" t="s">
        <v>27</v>
      </c>
      <c r="P25" s="11" t="s">
        <v>26</v>
      </c>
      <c r="Q25" s="11" t="s">
        <v>26</v>
      </c>
      <c r="R25" s="11" t="s">
        <v>12</v>
      </c>
      <c r="S25" s="11" t="s">
        <v>27</v>
      </c>
      <c r="T25" s="11" t="s">
        <v>26</v>
      </c>
      <c r="U25" s="11" t="s">
        <v>12</v>
      </c>
      <c r="V25" s="11" t="s">
        <v>12</v>
      </c>
      <c r="W25" s="11" t="s">
        <v>57</v>
      </c>
      <c r="X25" s="11" t="s">
        <v>27</v>
      </c>
      <c r="Y25" s="11" t="s">
        <v>57</v>
      </c>
      <c r="Z25" s="11" t="s">
        <v>27</v>
      </c>
      <c r="AA25" s="11" t="s">
        <v>12</v>
      </c>
      <c r="AB25" s="11" t="s">
        <v>57</v>
      </c>
      <c r="AC25" s="11" t="s">
        <v>57</v>
      </c>
      <c r="AD25" s="11" t="s">
        <v>12</v>
      </c>
      <c r="AE25" s="11" t="s">
        <v>26</v>
      </c>
      <c r="AF25" s="11" t="s">
        <v>12</v>
      </c>
      <c r="AG25" s="11" t="s">
        <v>26</v>
      </c>
      <c r="AH25" s="11" t="s">
        <v>26</v>
      </c>
      <c r="AI25" s="11" t="s">
        <v>26</v>
      </c>
      <c r="AJ25" s="11" t="s">
        <v>12</v>
      </c>
      <c r="AK25" s="11" t="s">
        <v>27</v>
      </c>
      <c r="AL25" s="11" t="s">
        <v>57</v>
      </c>
      <c r="AM25" s="11" t="s">
        <v>27</v>
      </c>
      <c r="AN25" s="11" t="s">
        <v>57</v>
      </c>
      <c r="AO25" s="11" t="s">
        <v>26</v>
      </c>
      <c r="AP25" s="11" t="s">
        <v>12</v>
      </c>
      <c r="AQ25" s="11" t="s">
        <v>27</v>
      </c>
      <c r="AR25" s="11" t="s">
        <v>12</v>
      </c>
      <c r="AS25" s="11" t="s">
        <v>12</v>
      </c>
      <c r="AT25" s="11" t="s">
        <v>27</v>
      </c>
      <c r="AU25" s="11" t="s">
        <v>26</v>
      </c>
      <c r="AV25" s="11" t="s">
        <v>12</v>
      </c>
      <c r="AW25" s="11" t="s">
        <v>26</v>
      </c>
      <c r="AX25" s="11" t="s">
        <v>27</v>
      </c>
      <c r="AY25" s="11" t="s">
        <v>12</v>
      </c>
      <c r="AZ25" s="11">
        <v>1250</v>
      </c>
    </row>
    <row r="26" spans="1:52" x14ac:dyDescent="0.3">
      <c r="A26" s="11">
        <v>1251</v>
      </c>
      <c r="B26" s="11" t="s">
        <v>57</v>
      </c>
      <c r="C26" s="11" t="s">
        <v>57</v>
      </c>
      <c r="D26" s="11" t="s">
        <v>12</v>
      </c>
      <c r="E26" s="11" t="s">
        <v>27</v>
      </c>
      <c r="F26" s="11" t="s">
        <v>57</v>
      </c>
      <c r="G26" s="11" t="s">
        <v>27</v>
      </c>
      <c r="H26" s="11" t="s">
        <v>26</v>
      </c>
      <c r="I26" s="11" t="s">
        <v>57</v>
      </c>
      <c r="J26" s="11" t="s">
        <v>12</v>
      </c>
      <c r="K26" s="11" t="s">
        <v>12</v>
      </c>
      <c r="L26" s="11" t="s">
        <v>27</v>
      </c>
      <c r="M26" s="11" t="s">
        <v>27</v>
      </c>
      <c r="N26" s="11" t="s">
        <v>27</v>
      </c>
      <c r="O26" s="11" t="s">
        <v>27</v>
      </c>
      <c r="P26" s="11" t="s">
        <v>26</v>
      </c>
      <c r="Q26" s="11" t="s">
        <v>27</v>
      </c>
      <c r="R26" s="11" t="s">
        <v>26</v>
      </c>
      <c r="S26" s="11" t="s">
        <v>57</v>
      </c>
      <c r="T26" s="11" t="s">
        <v>27</v>
      </c>
      <c r="U26" s="11" t="s">
        <v>26</v>
      </c>
      <c r="V26" s="11" t="s">
        <v>26</v>
      </c>
      <c r="W26" s="11" t="s">
        <v>27</v>
      </c>
      <c r="X26" s="11" t="s">
        <v>57</v>
      </c>
      <c r="Y26" s="11" t="s">
        <v>27</v>
      </c>
      <c r="Z26" s="11" t="s">
        <v>12</v>
      </c>
      <c r="AA26" s="11" t="s">
        <v>27</v>
      </c>
      <c r="AB26" s="11" t="s">
        <v>27</v>
      </c>
      <c r="AC26" s="11" t="s">
        <v>12</v>
      </c>
      <c r="AD26" s="11" t="s">
        <v>26</v>
      </c>
      <c r="AE26" s="11" t="s">
        <v>27</v>
      </c>
      <c r="AF26" s="11" t="s">
        <v>26</v>
      </c>
      <c r="AG26" s="11" t="s">
        <v>57</v>
      </c>
      <c r="AH26" s="11" t="s">
        <v>57</v>
      </c>
      <c r="AI26" s="11" t="s">
        <v>27</v>
      </c>
      <c r="AJ26" s="11" t="s">
        <v>12</v>
      </c>
      <c r="AK26" s="11" t="s">
        <v>12</v>
      </c>
      <c r="AL26" s="11" t="s">
        <v>12</v>
      </c>
      <c r="AM26" s="11" t="s">
        <v>12</v>
      </c>
      <c r="AN26" s="11" t="s">
        <v>57</v>
      </c>
      <c r="AO26" s="11" t="s">
        <v>27</v>
      </c>
      <c r="AP26" s="11" t="s">
        <v>27</v>
      </c>
      <c r="AQ26" s="11" t="s">
        <v>26</v>
      </c>
      <c r="AR26" s="11" t="s">
        <v>12</v>
      </c>
      <c r="AS26" s="11" t="s">
        <v>26</v>
      </c>
      <c r="AT26" s="11" t="s">
        <v>27</v>
      </c>
      <c r="AU26" s="11" t="s">
        <v>26</v>
      </c>
      <c r="AV26" s="11" t="s">
        <v>12</v>
      </c>
      <c r="AW26" s="11" t="s">
        <v>26</v>
      </c>
      <c r="AX26" s="11" t="s">
        <v>27</v>
      </c>
      <c r="AY26" s="11" t="s">
        <v>27</v>
      </c>
      <c r="AZ26" s="11">
        <v>1300</v>
      </c>
    </row>
    <row r="27" spans="1:52" x14ac:dyDescent="0.3">
      <c r="A27" s="11">
        <v>1301</v>
      </c>
      <c r="B27" s="11" t="s">
        <v>12</v>
      </c>
      <c r="C27" s="11" t="s">
        <v>26</v>
      </c>
      <c r="D27" s="11" t="s">
        <v>26</v>
      </c>
      <c r="E27" s="11" t="s">
        <v>27</v>
      </c>
      <c r="F27" s="11" t="s">
        <v>26</v>
      </c>
      <c r="G27" s="11" t="s">
        <v>57</v>
      </c>
      <c r="H27" s="11" t="s">
        <v>12</v>
      </c>
      <c r="I27" s="11" t="s">
        <v>27</v>
      </c>
      <c r="J27" s="11" t="s">
        <v>12</v>
      </c>
      <c r="K27" s="11" t="s">
        <v>12</v>
      </c>
      <c r="L27" s="11" t="s">
        <v>27</v>
      </c>
      <c r="M27" s="11" t="s">
        <v>26</v>
      </c>
      <c r="N27" s="11" t="s">
        <v>12</v>
      </c>
      <c r="O27" s="11" t="s">
        <v>57</v>
      </c>
      <c r="P27" s="11" t="s">
        <v>26</v>
      </c>
      <c r="Q27" s="11" t="s">
        <v>12</v>
      </c>
      <c r="R27" s="11" t="s">
        <v>26</v>
      </c>
      <c r="S27" s="11" t="s">
        <v>26</v>
      </c>
      <c r="T27" s="11" t="s">
        <v>12</v>
      </c>
      <c r="U27" s="11" t="s">
        <v>57</v>
      </c>
      <c r="V27" s="11" t="s">
        <v>26</v>
      </c>
      <c r="W27" s="11" t="s">
        <v>12</v>
      </c>
      <c r="X27" s="11" t="s">
        <v>26</v>
      </c>
      <c r="Y27" s="11" t="s">
        <v>26</v>
      </c>
      <c r="Z27" s="11" t="s">
        <v>27</v>
      </c>
      <c r="AA27" s="11" t="s">
        <v>12</v>
      </c>
      <c r="AB27" s="11" t="s">
        <v>57</v>
      </c>
      <c r="AC27" s="11" t="s">
        <v>27</v>
      </c>
      <c r="AD27" s="11" t="s">
        <v>12</v>
      </c>
      <c r="AE27" s="11" t="s">
        <v>12</v>
      </c>
      <c r="AF27" s="11" t="s">
        <v>12</v>
      </c>
      <c r="AG27" s="11" t="s">
        <v>27</v>
      </c>
      <c r="AH27" s="11" t="s">
        <v>26</v>
      </c>
      <c r="AI27" s="11" t="s">
        <v>12</v>
      </c>
      <c r="AJ27" s="11" t="s">
        <v>27</v>
      </c>
      <c r="AK27" s="11" t="s">
        <v>26</v>
      </c>
      <c r="AL27" s="11" t="s">
        <v>12</v>
      </c>
      <c r="AM27" s="11" t="s">
        <v>57</v>
      </c>
      <c r="AN27" s="11" t="s">
        <v>57</v>
      </c>
      <c r="AO27" s="11" t="s">
        <v>12</v>
      </c>
      <c r="AP27" s="11" t="s">
        <v>26</v>
      </c>
      <c r="AQ27" s="11" t="s">
        <v>12</v>
      </c>
      <c r="AR27" s="11" t="s">
        <v>12</v>
      </c>
      <c r="AS27" s="11" t="s">
        <v>27</v>
      </c>
      <c r="AT27" s="11" t="s">
        <v>27</v>
      </c>
      <c r="AU27" s="11" t="s">
        <v>12</v>
      </c>
      <c r="AV27" s="11" t="s">
        <v>57</v>
      </c>
      <c r="AW27" s="11" t="s">
        <v>27</v>
      </c>
      <c r="AX27" s="11" t="s">
        <v>57</v>
      </c>
      <c r="AY27" s="11" t="s">
        <v>27</v>
      </c>
      <c r="AZ27" s="11">
        <v>1350</v>
      </c>
    </row>
    <row r="28" spans="1:52" x14ac:dyDescent="0.3">
      <c r="A28" s="11">
        <v>1351</v>
      </c>
      <c r="B28" s="11" t="s">
        <v>57</v>
      </c>
      <c r="C28" s="11" t="s">
        <v>27</v>
      </c>
      <c r="D28" s="11" t="s">
        <v>26</v>
      </c>
      <c r="E28" s="11" t="s">
        <v>57</v>
      </c>
      <c r="F28" s="11" t="s">
        <v>57</v>
      </c>
      <c r="G28" s="11" t="s">
        <v>27</v>
      </c>
      <c r="H28" s="11" t="s">
        <v>12</v>
      </c>
      <c r="I28" s="11" t="s">
        <v>12</v>
      </c>
      <c r="J28" s="11" t="s">
        <v>57</v>
      </c>
      <c r="K28" s="11" t="s">
        <v>27</v>
      </c>
      <c r="L28" s="11" t="s">
        <v>27</v>
      </c>
      <c r="M28" s="11" t="s">
        <v>26</v>
      </c>
      <c r="N28" s="11" t="s">
        <v>26</v>
      </c>
      <c r="O28" s="11" t="s">
        <v>12</v>
      </c>
      <c r="P28" s="11" t="s">
        <v>26</v>
      </c>
      <c r="Q28" s="11" t="s">
        <v>27</v>
      </c>
      <c r="R28" s="11" t="s">
        <v>12</v>
      </c>
      <c r="S28" s="11" t="s">
        <v>26</v>
      </c>
      <c r="T28" s="11" t="s">
        <v>26</v>
      </c>
      <c r="U28" s="11" t="s">
        <v>12</v>
      </c>
      <c r="V28" s="11" t="s">
        <v>26</v>
      </c>
      <c r="W28" s="11" t="s">
        <v>26</v>
      </c>
      <c r="X28" s="11" t="s">
        <v>12</v>
      </c>
      <c r="Y28" s="11" t="s">
        <v>12</v>
      </c>
      <c r="Z28" s="11" t="s">
        <v>57</v>
      </c>
      <c r="AA28" s="11" t="s">
        <v>27</v>
      </c>
      <c r="AB28" s="11" t="s">
        <v>27</v>
      </c>
      <c r="AC28" s="11" t="s">
        <v>26</v>
      </c>
      <c r="AD28" s="11" t="s">
        <v>12</v>
      </c>
      <c r="AE28" s="11" t="s">
        <v>57</v>
      </c>
      <c r="AF28" s="11" t="s">
        <v>12</v>
      </c>
      <c r="AG28" s="11" t="s">
        <v>12</v>
      </c>
      <c r="AH28" s="11" t="s">
        <v>26</v>
      </c>
      <c r="AI28" s="11" t="s">
        <v>26</v>
      </c>
      <c r="AJ28" s="11" t="s">
        <v>26</v>
      </c>
      <c r="AK28" s="11" t="s">
        <v>27</v>
      </c>
      <c r="AL28" s="11" t="s">
        <v>57</v>
      </c>
      <c r="AM28" s="11" t="s">
        <v>12</v>
      </c>
      <c r="AN28" s="11" t="s">
        <v>27</v>
      </c>
      <c r="AO28" s="11" t="s">
        <v>27</v>
      </c>
      <c r="AP28" s="11" t="s">
        <v>12</v>
      </c>
      <c r="AQ28" s="11" t="s">
        <v>27</v>
      </c>
      <c r="AR28" s="11" t="s">
        <v>27</v>
      </c>
      <c r="AS28" s="11" t="s">
        <v>12</v>
      </c>
      <c r="AT28" s="11" t="s">
        <v>26</v>
      </c>
      <c r="AU28" s="11" t="s">
        <v>26</v>
      </c>
      <c r="AV28" s="11" t="s">
        <v>12</v>
      </c>
      <c r="AW28" s="11" t="s">
        <v>57</v>
      </c>
      <c r="AX28" s="11" t="s">
        <v>26</v>
      </c>
      <c r="AY28" s="11" t="s">
        <v>12</v>
      </c>
      <c r="AZ28" s="11">
        <v>1400</v>
      </c>
    </row>
    <row r="29" spans="1:52" x14ac:dyDescent="0.3">
      <c r="A29" s="11">
        <v>1401</v>
      </c>
      <c r="B29" s="11" t="s">
        <v>26</v>
      </c>
      <c r="C29" s="11" t="s">
        <v>26</v>
      </c>
      <c r="D29" s="11" t="s">
        <v>57</v>
      </c>
      <c r="E29" s="11" t="s">
        <v>57</v>
      </c>
      <c r="F29" s="11" t="s">
        <v>26</v>
      </c>
      <c r="G29" s="11" t="s">
        <v>12</v>
      </c>
      <c r="H29" s="11" t="s">
        <v>12</v>
      </c>
      <c r="I29" s="11" t="s">
        <v>57</v>
      </c>
      <c r="J29" s="11" t="s">
        <v>27</v>
      </c>
      <c r="K29" s="11" t="s">
        <v>57</v>
      </c>
      <c r="L29" s="11" t="s">
        <v>26</v>
      </c>
      <c r="M29" s="11" t="s">
        <v>12</v>
      </c>
      <c r="N29" s="11" t="s">
        <v>12</v>
      </c>
      <c r="O29" s="11" t="s">
        <v>27</v>
      </c>
      <c r="P29" s="11" t="s">
        <v>27</v>
      </c>
      <c r="Q29" s="11" t="s">
        <v>12</v>
      </c>
      <c r="R29" s="11" t="s">
        <v>57</v>
      </c>
      <c r="S29" s="11" t="s">
        <v>27</v>
      </c>
      <c r="T29" s="11" t="s">
        <v>57</v>
      </c>
      <c r="U29" s="11" t="s">
        <v>57</v>
      </c>
      <c r="V29" s="11" t="s">
        <v>12</v>
      </c>
      <c r="W29" s="11" t="s">
        <v>12</v>
      </c>
      <c r="X29" s="11" t="s">
        <v>27</v>
      </c>
      <c r="Y29" s="11" t="s">
        <v>27</v>
      </c>
      <c r="Z29" s="11" t="s">
        <v>26</v>
      </c>
      <c r="AA29" s="11" t="s">
        <v>26</v>
      </c>
      <c r="AB29" s="11" t="s">
        <v>27</v>
      </c>
      <c r="AC29" s="11" t="s">
        <v>57</v>
      </c>
      <c r="AD29" s="11" t="s">
        <v>12</v>
      </c>
      <c r="AE29" s="11" t="s">
        <v>12</v>
      </c>
      <c r="AF29" s="11" t="s">
        <v>26</v>
      </c>
      <c r="AG29" s="11" t="s">
        <v>26</v>
      </c>
      <c r="AH29" s="11" t="s">
        <v>57</v>
      </c>
      <c r="AI29" s="11" t="s">
        <v>12</v>
      </c>
      <c r="AJ29" s="11" t="s">
        <v>57</v>
      </c>
      <c r="AK29" s="11" t="s">
        <v>27</v>
      </c>
      <c r="AL29" s="11" t="s">
        <v>26</v>
      </c>
      <c r="AM29" s="11" t="s">
        <v>26</v>
      </c>
      <c r="AN29" s="11" t="s">
        <v>27</v>
      </c>
      <c r="AO29" s="11" t="s">
        <v>12</v>
      </c>
      <c r="AP29" s="11" t="s">
        <v>12</v>
      </c>
      <c r="AQ29" s="11" t="s">
        <v>12</v>
      </c>
      <c r="AR29" s="11" t="s">
        <v>57</v>
      </c>
      <c r="AS29" s="11" t="s">
        <v>57</v>
      </c>
      <c r="AT29" s="11" t="s">
        <v>12</v>
      </c>
      <c r="AU29" s="11" t="s">
        <v>27</v>
      </c>
      <c r="AV29" s="11" t="s">
        <v>26</v>
      </c>
      <c r="AW29" s="11" t="s">
        <v>27</v>
      </c>
      <c r="AX29" s="11" t="s">
        <v>12</v>
      </c>
      <c r="AY29" s="11" t="s">
        <v>27</v>
      </c>
      <c r="AZ29" s="11">
        <v>1450</v>
      </c>
    </row>
    <row r="30" spans="1:52" x14ac:dyDescent="0.3">
      <c r="A30" s="11">
        <v>1451</v>
      </c>
      <c r="B30" s="11" t="s">
        <v>27</v>
      </c>
      <c r="C30" s="11" t="s">
        <v>27</v>
      </c>
      <c r="D30" s="11" t="s">
        <v>26</v>
      </c>
      <c r="E30" s="11" t="s">
        <v>12</v>
      </c>
      <c r="F30" s="11" t="s">
        <v>26</v>
      </c>
      <c r="G30" s="11" t="s">
        <v>57</v>
      </c>
      <c r="H30" s="11" t="s">
        <v>12</v>
      </c>
      <c r="I30" s="11" t="s">
        <v>57</v>
      </c>
      <c r="J30" s="11" t="s">
        <v>12</v>
      </c>
      <c r="K30" s="11" t="s">
        <v>12</v>
      </c>
      <c r="L30" s="11" t="s">
        <v>26</v>
      </c>
      <c r="M30" s="11" t="s">
        <v>12</v>
      </c>
      <c r="N30" s="11" t="s">
        <v>12</v>
      </c>
      <c r="O30" s="11" t="s">
        <v>27</v>
      </c>
      <c r="P30" s="11" t="s">
        <v>26</v>
      </c>
      <c r="Q30" s="11" t="s">
        <v>27</v>
      </c>
      <c r="R30" s="11" t="s">
        <v>26</v>
      </c>
      <c r="S30" s="11" t="s">
        <v>57</v>
      </c>
      <c r="T30" s="11" t="s">
        <v>12</v>
      </c>
      <c r="U30" s="11" t="s">
        <v>57</v>
      </c>
      <c r="V30" s="11" t="s">
        <v>26</v>
      </c>
      <c r="W30" s="11" t="s">
        <v>57</v>
      </c>
      <c r="X30" s="11" t="s">
        <v>12</v>
      </c>
      <c r="Y30" s="11" t="s">
        <v>26</v>
      </c>
      <c r="Z30" s="11" t="s">
        <v>27</v>
      </c>
      <c r="AA30" s="11" t="s">
        <v>27</v>
      </c>
      <c r="AB30" s="11" t="s">
        <v>12</v>
      </c>
      <c r="AC30" s="11" t="s">
        <v>12</v>
      </c>
      <c r="AD30" s="11" t="s">
        <v>27</v>
      </c>
      <c r="AE30" s="11" t="s">
        <v>27</v>
      </c>
      <c r="AF30" s="11" t="s">
        <v>12</v>
      </c>
      <c r="AG30" s="11" t="s">
        <v>26</v>
      </c>
      <c r="AH30" s="11" t="s">
        <v>27</v>
      </c>
      <c r="AI30" s="11" t="s">
        <v>12</v>
      </c>
      <c r="AJ30" s="11" t="s">
        <v>26</v>
      </c>
      <c r="AK30" s="11" t="s">
        <v>12</v>
      </c>
      <c r="AL30" s="11" t="s">
        <v>12</v>
      </c>
      <c r="AM30" s="11" t="s">
        <v>12</v>
      </c>
      <c r="AN30" s="11" t="s">
        <v>12</v>
      </c>
      <c r="AO30" s="11" t="s">
        <v>57</v>
      </c>
      <c r="AP30" s="11" t="s">
        <v>57</v>
      </c>
      <c r="AQ30" s="11" t="s">
        <v>27</v>
      </c>
      <c r="AR30" s="11" t="s">
        <v>57</v>
      </c>
      <c r="AS30" s="11" t="s">
        <v>26</v>
      </c>
      <c r="AT30" s="11" t="s">
        <v>26</v>
      </c>
      <c r="AU30" s="11" t="s">
        <v>12</v>
      </c>
      <c r="AV30" s="11" t="s">
        <v>27</v>
      </c>
      <c r="AW30" s="11" t="s">
        <v>27</v>
      </c>
      <c r="AX30" s="11" t="s">
        <v>12</v>
      </c>
      <c r="AY30" s="11" t="s">
        <v>27</v>
      </c>
      <c r="AZ30" s="11">
        <v>1500</v>
      </c>
    </row>
    <row r="31" spans="1:52" x14ac:dyDescent="0.3">
      <c r="A31" s="11">
        <v>1501</v>
      </c>
      <c r="B31" s="11" t="s">
        <v>57</v>
      </c>
      <c r="C31" s="11" t="s">
        <v>27</v>
      </c>
      <c r="D31" s="11" t="s">
        <v>27</v>
      </c>
      <c r="E31" s="11" t="s">
        <v>26</v>
      </c>
      <c r="F31" s="11" t="s">
        <v>26</v>
      </c>
      <c r="G31" s="11" t="s">
        <v>27</v>
      </c>
      <c r="H31" s="11" t="s">
        <v>27</v>
      </c>
      <c r="I31" s="11" t="s">
        <v>12</v>
      </c>
      <c r="J31" s="11" t="s">
        <v>57</v>
      </c>
      <c r="K31" s="11" t="s">
        <v>57</v>
      </c>
      <c r="L31" s="11" t="s">
        <v>12</v>
      </c>
      <c r="M31" s="11" t="s">
        <v>26</v>
      </c>
      <c r="N31" s="11" t="s">
        <v>26</v>
      </c>
      <c r="O31" s="11" t="s">
        <v>12</v>
      </c>
      <c r="P31" s="11" t="s">
        <v>57</v>
      </c>
      <c r="Q31" s="11" t="s">
        <v>27</v>
      </c>
      <c r="R31" s="11" t="s">
        <v>12</v>
      </c>
      <c r="S31" s="11" t="s">
        <v>57</v>
      </c>
      <c r="T31" s="11" t="s">
        <v>26</v>
      </c>
      <c r="U31" s="11" t="s">
        <v>12</v>
      </c>
      <c r="V31" s="11" t="s">
        <v>57</v>
      </c>
      <c r="W31" s="11" t="s">
        <v>57</v>
      </c>
      <c r="X31" s="11" t="s">
        <v>12</v>
      </c>
      <c r="Y31" s="11" t="s">
        <v>12</v>
      </c>
      <c r="Z31" s="11" t="s">
        <v>12</v>
      </c>
      <c r="AA31" s="11" t="s">
        <v>26</v>
      </c>
      <c r="AB31" s="11" t="s">
        <v>12</v>
      </c>
      <c r="AC31" s="11" t="s">
        <v>57</v>
      </c>
      <c r="AD31" s="11" t="s">
        <v>27</v>
      </c>
      <c r="AE31" s="11" t="s">
        <v>12</v>
      </c>
      <c r="AF31" s="11" t="s">
        <v>26</v>
      </c>
      <c r="AG31" s="11" t="s">
        <v>27</v>
      </c>
      <c r="AH31" s="15" t="s">
        <v>57</v>
      </c>
      <c r="AI31" s="15" t="s">
        <v>12</v>
      </c>
      <c r="AJ31" s="15" t="s">
        <v>12</v>
      </c>
      <c r="AK31" s="15" t="s">
        <v>57</v>
      </c>
      <c r="AL31" s="15" t="s">
        <v>26</v>
      </c>
      <c r="AM31" s="15" t="s">
        <v>12</v>
      </c>
      <c r="AN31" s="15" t="s">
        <v>27</v>
      </c>
      <c r="AO31" s="11" t="s">
        <v>27</v>
      </c>
      <c r="AP31" s="11" t="s">
        <v>12</v>
      </c>
      <c r="AQ31" s="11" t="s">
        <v>57</v>
      </c>
      <c r="AR31" s="11" t="s">
        <v>57</v>
      </c>
      <c r="AS31" s="11" t="s">
        <v>57</v>
      </c>
      <c r="AT31" s="11" t="s">
        <v>12</v>
      </c>
      <c r="AU31" s="11" t="s">
        <v>26</v>
      </c>
      <c r="AV31" s="11" t="s">
        <v>27</v>
      </c>
      <c r="AW31" s="11" t="s">
        <v>12</v>
      </c>
      <c r="AX31" s="11" t="s">
        <v>12</v>
      </c>
      <c r="AY31" s="11" t="s">
        <v>12</v>
      </c>
      <c r="AZ31" s="11">
        <v>1550</v>
      </c>
    </row>
    <row r="32" spans="1:52" x14ac:dyDescent="0.3">
      <c r="A32" s="11">
        <v>1551</v>
      </c>
      <c r="B32" s="11" t="s">
        <v>26</v>
      </c>
      <c r="C32" s="11" t="s">
        <v>12</v>
      </c>
      <c r="D32" s="11" t="s">
        <v>26</v>
      </c>
      <c r="E32" s="11" t="s">
        <v>26</v>
      </c>
      <c r="F32" s="11" t="s">
        <v>26</v>
      </c>
      <c r="G32" s="11" t="s">
        <v>57</v>
      </c>
      <c r="H32" s="11" t="s">
        <v>27</v>
      </c>
      <c r="I32" s="11" t="s">
        <v>27</v>
      </c>
      <c r="J32" s="11" t="s">
        <v>12</v>
      </c>
      <c r="K32" s="11" t="s">
        <v>27</v>
      </c>
      <c r="L32" s="11" t="s">
        <v>57</v>
      </c>
      <c r="M32" s="11" t="s">
        <v>27</v>
      </c>
      <c r="N32" s="11" t="s">
        <v>27</v>
      </c>
      <c r="O32" s="11" t="s">
        <v>27</v>
      </c>
      <c r="P32" s="11" t="s">
        <v>12</v>
      </c>
      <c r="Q32" s="11" t="s">
        <v>57</v>
      </c>
      <c r="R32" s="11" t="s">
        <v>26</v>
      </c>
      <c r="S32" s="11" t="s">
        <v>57</v>
      </c>
      <c r="T32" s="11" t="s">
        <v>12</v>
      </c>
      <c r="U32" s="11" t="s">
        <v>26</v>
      </c>
      <c r="V32" s="11" t="s">
        <v>27</v>
      </c>
      <c r="W32" s="11" t="s">
        <v>12</v>
      </c>
      <c r="X32" s="11" t="s">
        <v>12</v>
      </c>
      <c r="Y32" s="11" t="s">
        <v>12</v>
      </c>
      <c r="Z32" s="11" t="s">
        <v>57</v>
      </c>
      <c r="AA32" s="11" t="s">
        <v>26</v>
      </c>
      <c r="AB32" s="11" t="s">
        <v>12</v>
      </c>
      <c r="AC32" s="11" t="s">
        <v>26</v>
      </c>
      <c r="AD32" s="11" t="s">
        <v>27</v>
      </c>
      <c r="AE32" s="11" t="s">
        <v>26</v>
      </c>
      <c r="AF32" s="11" t="s">
        <v>27</v>
      </c>
      <c r="AG32" s="11" t="s">
        <v>57</v>
      </c>
      <c r="AH32" s="11" t="s">
        <v>27</v>
      </c>
      <c r="AI32" s="11" t="s">
        <v>27</v>
      </c>
      <c r="AJ32" s="11" t="s">
        <v>57</v>
      </c>
      <c r="AK32" s="11" t="s">
        <v>27</v>
      </c>
      <c r="AL32" s="11" t="s">
        <v>27</v>
      </c>
      <c r="AM32" s="11" t="s">
        <v>57</v>
      </c>
      <c r="AN32" s="11" t="s">
        <v>27</v>
      </c>
      <c r="AO32" s="11" t="s">
        <v>12</v>
      </c>
      <c r="AP32" s="11" t="s">
        <v>57</v>
      </c>
      <c r="AQ32" s="11" t="s">
        <v>27</v>
      </c>
      <c r="AR32" s="11" t="s">
        <v>26</v>
      </c>
      <c r="AS32" s="11" t="s">
        <v>27</v>
      </c>
      <c r="AT32" s="11" t="s">
        <v>12</v>
      </c>
      <c r="AU32" s="11" t="s">
        <v>57</v>
      </c>
      <c r="AV32" s="11" t="s">
        <v>57</v>
      </c>
      <c r="AW32" s="11" t="s">
        <v>12</v>
      </c>
      <c r="AX32" s="11" t="s">
        <v>27</v>
      </c>
      <c r="AY32" s="11" t="s">
        <v>26</v>
      </c>
      <c r="AZ32" s="11">
        <v>1600</v>
      </c>
    </row>
    <row r="33" spans="1:52" x14ac:dyDescent="0.3">
      <c r="A33" s="11">
        <v>1601</v>
      </c>
      <c r="B33" s="11" t="s">
        <v>26</v>
      </c>
      <c r="C33" s="11" t="s">
        <v>12</v>
      </c>
      <c r="D33" s="11" t="s">
        <v>57</v>
      </c>
      <c r="E33" s="11" t="s">
        <v>27</v>
      </c>
      <c r="F33" s="11" t="s">
        <v>12</v>
      </c>
      <c r="G33" s="11" t="s">
        <v>57</v>
      </c>
      <c r="H33" s="11" t="s">
        <v>27</v>
      </c>
      <c r="I33" s="11" t="s">
        <v>12</v>
      </c>
      <c r="J33" s="11" t="s">
        <v>26</v>
      </c>
      <c r="K33" s="11" t="s">
        <v>57</v>
      </c>
      <c r="L33" s="11" t="s">
        <v>27</v>
      </c>
      <c r="M33" s="11" t="s">
        <v>12</v>
      </c>
      <c r="N33" s="11" t="s">
        <v>12</v>
      </c>
      <c r="O33" s="11" t="s">
        <v>12</v>
      </c>
      <c r="P33" s="11" t="s">
        <v>12</v>
      </c>
      <c r="Q33" s="11" t="s">
        <v>57</v>
      </c>
      <c r="R33" s="11" t="s">
        <v>27</v>
      </c>
      <c r="S33" s="11" t="s">
        <v>12</v>
      </c>
      <c r="T33" s="11" t="s">
        <v>12</v>
      </c>
      <c r="U33" s="11" t="s">
        <v>26</v>
      </c>
      <c r="V33" s="11" t="s">
        <v>12</v>
      </c>
      <c r="W33" s="11" t="s">
        <v>26</v>
      </c>
      <c r="X33" s="11" t="s">
        <v>27</v>
      </c>
      <c r="Y33" s="11" t="s">
        <v>57</v>
      </c>
      <c r="Z33" s="11" t="s">
        <v>27</v>
      </c>
      <c r="AA33" s="11" t="s">
        <v>57</v>
      </c>
      <c r="AB33" s="11" t="s">
        <v>27</v>
      </c>
      <c r="AC33" s="11" t="s">
        <v>12</v>
      </c>
      <c r="AD33" s="11" t="s">
        <v>27</v>
      </c>
      <c r="AE33" s="11" t="s">
        <v>27</v>
      </c>
      <c r="AF33" s="11" t="s">
        <v>12</v>
      </c>
      <c r="AG33" s="11" t="s">
        <v>12</v>
      </c>
      <c r="AH33" s="11" t="s">
        <v>12</v>
      </c>
      <c r="AI33" s="11" t="s">
        <v>57</v>
      </c>
      <c r="AJ33" s="11" t="s">
        <v>26</v>
      </c>
      <c r="AK33" s="11" t="s">
        <v>26</v>
      </c>
      <c r="AL33" s="11" t="s">
        <v>27</v>
      </c>
      <c r="AM33" s="11" t="s">
        <v>26</v>
      </c>
      <c r="AN33" s="11" t="s">
        <v>26</v>
      </c>
      <c r="AO33" s="11" t="s">
        <v>26</v>
      </c>
      <c r="AP33" s="11" t="s">
        <v>26</v>
      </c>
      <c r="AQ33" s="11" t="s">
        <v>27</v>
      </c>
      <c r="AR33" s="11" t="s">
        <v>12</v>
      </c>
      <c r="AS33" s="11" t="s">
        <v>26</v>
      </c>
      <c r="AT33" s="11" t="s">
        <v>12</v>
      </c>
      <c r="AU33" s="11" t="s">
        <v>12</v>
      </c>
      <c r="AV33" s="11" t="s">
        <v>26</v>
      </c>
      <c r="AW33" s="11" t="s">
        <v>26</v>
      </c>
      <c r="AX33" s="11" t="s">
        <v>57</v>
      </c>
      <c r="AY33" s="11" t="s">
        <v>12</v>
      </c>
      <c r="AZ33" s="11">
        <v>1650</v>
      </c>
    </row>
    <row r="34" spans="1:52" x14ac:dyDescent="0.3">
      <c r="A34" s="11">
        <v>1651</v>
      </c>
      <c r="B34" s="11" t="s">
        <v>57</v>
      </c>
      <c r="C34" s="11" t="s">
        <v>12</v>
      </c>
      <c r="D34" s="11" t="s">
        <v>27</v>
      </c>
      <c r="E34" s="11" t="s">
        <v>57</v>
      </c>
      <c r="F34" s="11" t="s">
        <v>27</v>
      </c>
      <c r="G34" s="11" t="s">
        <v>26</v>
      </c>
      <c r="H34" s="11" t="s">
        <v>26</v>
      </c>
      <c r="I34" s="11" t="s">
        <v>27</v>
      </c>
      <c r="J34" s="11" t="s">
        <v>26</v>
      </c>
      <c r="K34" s="11" t="s">
        <v>26</v>
      </c>
      <c r="L34" s="11" t="s">
        <v>12</v>
      </c>
      <c r="M34" s="11" t="s">
        <v>26</v>
      </c>
      <c r="N34" s="11" t="s">
        <v>26</v>
      </c>
      <c r="O34" s="11" t="s">
        <v>26</v>
      </c>
      <c r="P34" s="11" t="s">
        <v>57</v>
      </c>
      <c r="Q34" s="11" t="s">
        <v>27</v>
      </c>
      <c r="R34" s="11" t="s">
        <v>12</v>
      </c>
      <c r="S34" s="11" t="s">
        <v>27</v>
      </c>
      <c r="T34" s="11" t="s">
        <v>57</v>
      </c>
      <c r="U34" s="11" t="s">
        <v>27</v>
      </c>
      <c r="V34" s="11" t="s">
        <v>26</v>
      </c>
      <c r="W34" s="11" t="s">
        <v>26</v>
      </c>
      <c r="X34" s="11" t="s">
        <v>12</v>
      </c>
      <c r="Y34" s="11" t="s">
        <v>57</v>
      </c>
      <c r="Z34" s="11" t="s">
        <v>57</v>
      </c>
      <c r="AA34" s="11" t="s">
        <v>12</v>
      </c>
      <c r="AB34" s="11" t="s">
        <v>26</v>
      </c>
      <c r="AC34" s="11" t="s">
        <v>26</v>
      </c>
      <c r="AD34" s="11" t="s">
        <v>12</v>
      </c>
      <c r="AE34" s="11" t="s">
        <v>57</v>
      </c>
      <c r="AF34" s="11" t="s">
        <v>57</v>
      </c>
      <c r="AG34" s="11" t="s">
        <v>12</v>
      </c>
      <c r="AH34" s="11" t="s">
        <v>26</v>
      </c>
      <c r="AI34" s="11" t="s">
        <v>26</v>
      </c>
      <c r="AJ34" s="11" t="s">
        <v>12</v>
      </c>
      <c r="AK34" s="11" t="s">
        <v>27</v>
      </c>
      <c r="AL34" s="11" t="s">
        <v>27</v>
      </c>
      <c r="AM34" s="11" t="s">
        <v>12</v>
      </c>
      <c r="AN34" s="11" t="s">
        <v>12</v>
      </c>
      <c r="AO34" s="11" t="s">
        <v>57</v>
      </c>
      <c r="AP34" s="11" t="s">
        <v>27</v>
      </c>
      <c r="AQ34" s="11" t="s">
        <v>26</v>
      </c>
      <c r="AR34" s="11" t="s">
        <v>12</v>
      </c>
      <c r="AS34" s="11" t="s">
        <v>12</v>
      </c>
      <c r="AT34" s="11" t="s">
        <v>27</v>
      </c>
      <c r="AU34" s="11" t="s">
        <v>27</v>
      </c>
      <c r="AV34" s="11" t="s">
        <v>12</v>
      </c>
      <c r="AW34" s="11" t="s">
        <v>26</v>
      </c>
      <c r="AX34" s="11" t="s">
        <v>12</v>
      </c>
      <c r="AY34" s="11" t="s">
        <v>12</v>
      </c>
      <c r="AZ34" s="11">
        <v>1700</v>
      </c>
    </row>
    <row r="35" spans="1:52" x14ac:dyDescent="0.3">
      <c r="A35" s="11">
        <v>1701</v>
      </c>
      <c r="B35" s="11" t="s">
        <v>27</v>
      </c>
      <c r="C35" s="11" t="s">
        <v>27</v>
      </c>
      <c r="D35" s="11" t="s">
        <v>12</v>
      </c>
      <c r="E35" s="11" t="s">
        <v>27</v>
      </c>
      <c r="F35" s="11" t="s">
        <v>57</v>
      </c>
      <c r="G35" s="11" t="s">
        <v>27</v>
      </c>
      <c r="H35" s="11" t="s">
        <v>12</v>
      </c>
      <c r="I35" s="11" t="s">
        <v>57</v>
      </c>
      <c r="J35" s="11" t="s">
        <v>27</v>
      </c>
      <c r="K35" s="11" t="s">
        <v>26</v>
      </c>
      <c r="L35" s="11" t="s">
        <v>12</v>
      </c>
      <c r="M35" s="11" t="s">
        <v>26</v>
      </c>
      <c r="N35" s="11" t="s">
        <v>27</v>
      </c>
      <c r="O35" s="11" t="s">
        <v>26</v>
      </c>
      <c r="P35" s="11" t="s">
        <v>27</v>
      </c>
      <c r="Q35" s="11" t="s">
        <v>26</v>
      </c>
      <c r="R35" s="11" t="s">
        <v>27</v>
      </c>
      <c r="S35" s="11" t="s">
        <v>12</v>
      </c>
      <c r="T35" s="11" t="s">
        <v>26</v>
      </c>
      <c r="U35" s="11" t="s">
        <v>26</v>
      </c>
      <c r="V35" s="11" t="s">
        <v>12</v>
      </c>
      <c r="W35" s="11" t="s">
        <v>26</v>
      </c>
      <c r="X35" s="11" t="s">
        <v>26</v>
      </c>
      <c r="Y35" s="11" t="s">
        <v>27</v>
      </c>
      <c r="Z35" s="11" t="s">
        <v>26</v>
      </c>
      <c r="AA35" s="11" t="s">
        <v>26</v>
      </c>
      <c r="AB35" s="11" t="s">
        <v>27</v>
      </c>
      <c r="AC35" s="11" t="s">
        <v>57</v>
      </c>
      <c r="AD35" s="11" t="s">
        <v>57</v>
      </c>
      <c r="AE35" s="11" t="s">
        <v>12</v>
      </c>
      <c r="AF35" s="11" t="s">
        <v>12</v>
      </c>
      <c r="AG35" s="11" t="s">
        <v>57</v>
      </c>
      <c r="AH35" s="11" t="s">
        <v>27</v>
      </c>
      <c r="AI35" s="11" t="s">
        <v>12</v>
      </c>
      <c r="AJ35" s="11" t="s">
        <v>12</v>
      </c>
      <c r="AK35" s="11" t="s">
        <v>26</v>
      </c>
      <c r="AL35" s="11" t="s">
        <v>57</v>
      </c>
      <c r="AM35" s="11" t="s">
        <v>57</v>
      </c>
      <c r="AN35" s="11" t="s">
        <v>12</v>
      </c>
      <c r="AO35" s="11" t="s">
        <v>12</v>
      </c>
      <c r="AP35" s="11" t="s">
        <v>26</v>
      </c>
      <c r="AQ35" s="11" t="s">
        <v>27</v>
      </c>
      <c r="AR35" s="11" t="s">
        <v>12</v>
      </c>
      <c r="AS35" s="11" t="s">
        <v>26</v>
      </c>
      <c r="AT35" s="11" t="s">
        <v>27</v>
      </c>
      <c r="AU35" s="11" t="s">
        <v>57</v>
      </c>
      <c r="AV35" s="11" t="s">
        <v>57</v>
      </c>
      <c r="AW35" s="11" t="s">
        <v>57</v>
      </c>
      <c r="AX35" s="11" t="s">
        <v>27</v>
      </c>
      <c r="AY35" s="11" t="s">
        <v>27</v>
      </c>
      <c r="AZ35" s="11">
        <v>1750</v>
      </c>
    </row>
    <row r="36" spans="1:52" x14ac:dyDescent="0.3">
      <c r="A36" s="11">
        <v>1751</v>
      </c>
      <c r="B36" s="11" t="s">
        <v>12</v>
      </c>
      <c r="C36" s="11" t="s">
        <v>12</v>
      </c>
      <c r="D36" s="11" t="s">
        <v>27</v>
      </c>
      <c r="E36" s="11" t="s">
        <v>27</v>
      </c>
      <c r="F36" s="11" t="s">
        <v>27</v>
      </c>
      <c r="G36" s="11" t="s">
        <v>26</v>
      </c>
      <c r="H36" s="11" t="s">
        <v>57</v>
      </c>
      <c r="I36" s="11" t="s">
        <v>26</v>
      </c>
      <c r="J36" s="11" t="s">
        <v>57</v>
      </c>
      <c r="K36" s="11" t="s">
        <v>12</v>
      </c>
      <c r="L36" s="11" t="s">
        <v>27</v>
      </c>
      <c r="M36" s="11" t="s">
        <v>12</v>
      </c>
      <c r="N36" s="11" t="s">
        <v>12</v>
      </c>
      <c r="O36" s="11" t="s">
        <v>27</v>
      </c>
      <c r="P36" s="11" t="s">
        <v>26</v>
      </c>
      <c r="Q36" s="11" t="s">
        <v>57</v>
      </c>
      <c r="R36" s="11" t="s">
        <v>26</v>
      </c>
      <c r="S36" s="11" t="s">
        <v>12</v>
      </c>
      <c r="T36" s="11" t="s">
        <v>12</v>
      </c>
      <c r="U36" s="11" t="s">
        <v>26</v>
      </c>
      <c r="V36" s="11" t="s">
        <v>12</v>
      </c>
      <c r="W36" s="11" t="s">
        <v>26</v>
      </c>
      <c r="X36" s="11" t="s">
        <v>27</v>
      </c>
      <c r="Y36" s="11" t="s">
        <v>26</v>
      </c>
      <c r="Z36" s="11" t="s">
        <v>12</v>
      </c>
      <c r="AA36" s="11" t="s">
        <v>27</v>
      </c>
      <c r="AB36" s="11" t="s">
        <v>12</v>
      </c>
      <c r="AC36" s="11" t="s">
        <v>12</v>
      </c>
      <c r="AD36" s="11" t="s">
        <v>27</v>
      </c>
      <c r="AE36" s="11" t="s">
        <v>57</v>
      </c>
      <c r="AF36" s="11" t="s">
        <v>57</v>
      </c>
      <c r="AG36" s="11" t="s">
        <v>26</v>
      </c>
      <c r="AH36" s="11" t="s">
        <v>27</v>
      </c>
      <c r="AI36" s="11" t="s">
        <v>26</v>
      </c>
      <c r="AJ36" s="11" t="s">
        <v>27</v>
      </c>
      <c r="AK36" s="11" t="s">
        <v>26</v>
      </c>
      <c r="AL36" s="11" t="s">
        <v>57</v>
      </c>
      <c r="AM36" s="11" t="s">
        <v>12</v>
      </c>
      <c r="AN36" s="11" t="s">
        <v>12</v>
      </c>
      <c r="AO36" s="11" t="s">
        <v>12</v>
      </c>
      <c r="AP36" s="11" t="s">
        <v>12</v>
      </c>
      <c r="AQ36" s="11" t="s">
        <v>26</v>
      </c>
      <c r="AR36" s="11" t="s">
        <v>27</v>
      </c>
      <c r="AS36" s="11" t="s">
        <v>26</v>
      </c>
      <c r="AT36" s="11" t="s">
        <v>12</v>
      </c>
      <c r="AU36" s="11" t="s">
        <v>26</v>
      </c>
      <c r="AV36" s="11" t="s">
        <v>12</v>
      </c>
      <c r="AW36" s="11" t="s">
        <v>57</v>
      </c>
      <c r="AX36" s="11" t="s">
        <v>27</v>
      </c>
      <c r="AY36" s="11" t="s">
        <v>27</v>
      </c>
      <c r="AZ36" s="11">
        <v>1800</v>
      </c>
    </row>
    <row r="37" spans="1:52" x14ac:dyDescent="0.3">
      <c r="A37" s="11">
        <v>1801</v>
      </c>
      <c r="B37" s="11" t="s">
        <v>26</v>
      </c>
      <c r="C37" s="11" t="s">
        <v>26</v>
      </c>
      <c r="D37" s="11" t="s">
        <v>26</v>
      </c>
      <c r="E37" s="11" t="s">
        <v>57</v>
      </c>
      <c r="F37" s="11" t="s">
        <v>12</v>
      </c>
      <c r="G37" s="11" t="s">
        <v>12</v>
      </c>
      <c r="H37" s="11" t="s">
        <v>57</v>
      </c>
      <c r="I37" s="11" t="s">
        <v>27</v>
      </c>
      <c r="J37" s="11" t="s">
        <v>27</v>
      </c>
      <c r="K37" s="11" t="s">
        <v>26</v>
      </c>
      <c r="L37" s="11" t="s">
        <v>12</v>
      </c>
      <c r="M37" s="11" t="s">
        <v>26</v>
      </c>
      <c r="N37" s="11" t="s">
        <v>57</v>
      </c>
      <c r="O37" s="11" t="s">
        <v>12</v>
      </c>
      <c r="P37" s="11" t="s">
        <v>26</v>
      </c>
      <c r="Q37" s="11" t="s">
        <v>12</v>
      </c>
      <c r="R37" s="11" t="s">
        <v>12</v>
      </c>
      <c r="S37" s="11" t="s">
        <v>12</v>
      </c>
      <c r="T37" s="11" t="s">
        <v>12</v>
      </c>
      <c r="U37" s="11" t="s">
        <v>57</v>
      </c>
      <c r="V37" s="11" t="s">
        <v>57</v>
      </c>
      <c r="W37" s="11" t="s">
        <v>27</v>
      </c>
      <c r="X37" s="11" t="s">
        <v>12</v>
      </c>
      <c r="Y37" s="11" t="s">
        <v>26</v>
      </c>
      <c r="Z37" s="11" t="s">
        <v>27</v>
      </c>
      <c r="AA37" s="11" t="s">
        <v>12</v>
      </c>
      <c r="AB37" s="11" t="s">
        <v>57</v>
      </c>
      <c r="AC37" s="11" t="s">
        <v>57</v>
      </c>
      <c r="AD37" s="11" t="s">
        <v>12</v>
      </c>
      <c r="AE37" s="11" t="s">
        <v>27</v>
      </c>
      <c r="AF37" s="11" t="s">
        <v>27</v>
      </c>
      <c r="AG37" s="11" t="s">
        <v>12</v>
      </c>
      <c r="AH37" s="11" t="s">
        <v>27</v>
      </c>
      <c r="AI37" s="11" t="s">
        <v>27</v>
      </c>
      <c r="AJ37" s="11" t="s">
        <v>26</v>
      </c>
      <c r="AK37" s="11" t="s">
        <v>27</v>
      </c>
      <c r="AL37" s="11" t="s">
        <v>57</v>
      </c>
      <c r="AM37" s="11" t="s">
        <v>27</v>
      </c>
      <c r="AN37" s="11" t="s">
        <v>57</v>
      </c>
      <c r="AO37" s="11" t="s">
        <v>12</v>
      </c>
      <c r="AP37" s="11" t="s">
        <v>57</v>
      </c>
      <c r="AQ37" s="11" t="s">
        <v>27</v>
      </c>
      <c r="AR37" s="11" t="s">
        <v>57</v>
      </c>
      <c r="AS37" s="11" t="s">
        <v>27</v>
      </c>
      <c r="AT37" s="11" t="s">
        <v>26</v>
      </c>
      <c r="AU37" s="11" t="s">
        <v>57</v>
      </c>
      <c r="AV37" s="11" t="s">
        <v>12</v>
      </c>
      <c r="AW37" s="11" t="s">
        <v>26</v>
      </c>
      <c r="AX37" s="11" t="s">
        <v>12</v>
      </c>
      <c r="AY37" s="11" t="s">
        <v>12</v>
      </c>
      <c r="AZ37" s="11">
        <v>1850</v>
      </c>
    </row>
    <row r="38" spans="1:52" x14ac:dyDescent="0.3">
      <c r="A38" s="11">
        <v>1851</v>
      </c>
      <c r="B38" s="11" t="s">
        <v>12</v>
      </c>
      <c r="C38" s="11" t="s">
        <v>12</v>
      </c>
      <c r="D38" s="11" t="s">
        <v>57</v>
      </c>
      <c r="E38" s="11" t="s">
        <v>27</v>
      </c>
      <c r="F38" s="11" t="s">
        <v>27</v>
      </c>
      <c r="G38" s="11" t="s">
        <v>12</v>
      </c>
      <c r="H38" s="11" t="s">
        <v>26</v>
      </c>
      <c r="I38" s="11" t="s">
        <v>12</v>
      </c>
      <c r="J38" s="11" t="s">
        <v>12</v>
      </c>
      <c r="K38" s="11" t="s">
        <v>26</v>
      </c>
      <c r="L38" s="11" t="s">
        <v>26</v>
      </c>
      <c r="M38" s="11" t="s">
        <v>12</v>
      </c>
      <c r="N38" s="11" t="s">
        <v>26</v>
      </c>
      <c r="O38" s="11" t="s">
        <v>12</v>
      </c>
      <c r="P38" s="11" t="s">
        <v>12</v>
      </c>
      <c r="Q38" s="11" t="s">
        <v>26</v>
      </c>
      <c r="R38" s="11" t="s">
        <v>27</v>
      </c>
      <c r="S38" s="11" t="s">
        <v>12</v>
      </c>
      <c r="T38" s="11" t="s">
        <v>26</v>
      </c>
      <c r="U38" s="11" t="s">
        <v>26</v>
      </c>
      <c r="V38" s="11" t="s">
        <v>57</v>
      </c>
      <c r="W38" s="11" t="s">
        <v>12</v>
      </c>
      <c r="X38" s="11" t="s">
        <v>26</v>
      </c>
      <c r="Y38" s="11" t="s">
        <v>27</v>
      </c>
      <c r="Z38" s="11" t="s">
        <v>27</v>
      </c>
      <c r="AA38" s="11" t="s">
        <v>57</v>
      </c>
      <c r="AB38" s="11" t="s">
        <v>27</v>
      </c>
      <c r="AC38" s="11" t="s">
        <v>27</v>
      </c>
      <c r="AD38" s="11" t="s">
        <v>12</v>
      </c>
      <c r="AE38" s="11" t="s">
        <v>26</v>
      </c>
      <c r="AF38" s="11" t="s">
        <v>27</v>
      </c>
      <c r="AG38" s="11" t="s">
        <v>57</v>
      </c>
      <c r="AH38" s="11" t="s">
        <v>27</v>
      </c>
      <c r="AI38" s="11" t="s">
        <v>12</v>
      </c>
      <c r="AJ38" s="11" t="s">
        <v>57</v>
      </c>
      <c r="AK38" s="11" t="s">
        <v>27</v>
      </c>
      <c r="AL38" s="11" t="s">
        <v>57</v>
      </c>
      <c r="AM38" s="11" t="s">
        <v>26</v>
      </c>
      <c r="AN38" s="11" t="s">
        <v>12</v>
      </c>
      <c r="AO38" s="11" t="s">
        <v>12</v>
      </c>
      <c r="AP38" s="11" t="s">
        <v>26</v>
      </c>
      <c r="AQ38" s="11" t="s">
        <v>27</v>
      </c>
      <c r="AR38" s="11" t="s">
        <v>27</v>
      </c>
      <c r="AS38" s="11" t="s">
        <v>26</v>
      </c>
      <c r="AT38" s="11" t="s">
        <v>12</v>
      </c>
      <c r="AU38" s="11" t="s">
        <v>27</v>
      </c>
      <c r="AV38" s="11" t="s">
        <v>57</v>
      </c>
      <c r="AW38" s="11" t="s">
        <v>27</v>
      </c>
      <c r="AX38" s="11" t="s">
        <v>26</v>
      </c>
      <c r="AY38" s="11" t="s">
        <v>26</v>
      </c>
      <c r="AZ38" s="11">
        <v>1900</v>
      </c>
    </row>
    <row r="39" spans="1:52" x14ac:dyDescent="0.3">
      <c r="A39" s="11">
        <v>1901</v>
      </c>
      <c r="B39" s="11" t="s">
        <v>12</v>
      </c>
      <c r="C39" s="11" t="s">
        <v>57</v>
      </c>
      <c r="D39" s="11" t="s">
        <v>27</v>
      </c>
      <c r="E39" s="11" t="s">
        <v>57</v>
      </c>
      <c r="F39" s="11" t="s">
        <v>26</v>
      </c>
      <c r="G39" s="11" t="s">
        <v>12</v>
      </c>
      <c r="H39" s="11" t="s">
        <v>12</v>
      </c>
      <c r="I39" s="11" t="s">
        <v>27</v>
      </c>
      <c r="J39" s="11" t="s">
        <v>26</v>
      </c>
      <c r="K39" s="11" t="s">
        <v>26</v>
      </c>
      <c r="L39" s="11" t="s">
        <v>27</v>
      </c>
      <c r="M39" s="11" t="s">
        <v>57</v>
      </c>
      <c r="N39" s="11" t="s">
        <v>27</v>
      </c>
      <c r="O39" s="11" t="s">
        <v>12</v>
      </c>
      <c r="P39" s="11" t="s">
        <v>12</v>
      </c>
      <c r="Q39" s="11" t="s">
        <v>12</v>
      </c>
      <c r="R39" s="11" t="s">
        <v>27</v>
      </c>
      <c r="S39" s="11" t="s">
        <v>57</v>
      </c>
      <c r="T39" s="11" t="s">
        <v>27</v>
      </c>
      <c r="U39" s="11" t="s">
        <v>27</v>
      </c>
      <c r="V39" s="11" t="s">
        <v>12</v>
      </c>
      <c r="W39" s="11" t="s">
        <v>12</v>
      </c>
      <c r="X39" s="11" t="s">
        <v>26</v>
      </c>
      <c r="Y39" s="11" t="s">
        <v>57</v>
      </c>
      <c r="Z39" s="11" t="s">
        <v>57</v>
      </c>
      <c r="AA39" s="11" t="s">
        <v>12</v>
      </c>
      <c r="AB39" s="11" t="s">
        <v>26</v>
      </c>
      <c r="AC39" s="11" t="s">
        <v>12</v>
      </c>
      <c r="AD39" s="11" t="s">
        <v>27</v>
      </c>
      <c r="AE39" s="11" t="s">
        <v>12</v>
      </c>
      <c r="AF39" s="11" t="s">
        <v>12</v>
      </c>
      <c r="AG39" s="11" t="s">
        <v>27</v>
      </c>
      <c r="AH39" s="11" t="s">
        <v>26</v>
      </c>
      <c r="AI39" s="11" t="s">
        <v>57</v>
      </c>
      <c r="AJ39" s="11" t="s">
        <v>12</v>
      </c>
      <c r="AK39" s="11" t="s">
        <v>26</v>
      </c>
      <c r="AL39" s="11" t="s">
        <v>27</v>
      </c>
      <c r="AM39" s="11" t="s">
        <v>12</v>
      </c>
      <c r="AN39" s="11" t="s">
        <v>57</v>
      </c>
      <c r="AO39" s="11" t="s">
        <v>27</v>
      </c>
      <c r="AP39" s="11" t="s">
        <v>26</v>
      </c>
      <c r="AQ39" s="11" t="s">
        <v>12</v>
      </c>
      <c r="AR39" s="11" t="s">
        <v>26</v>
      </c>
      <c r="AS39" s="11" t="s">
        <v>12</v>
      </c>
      <c r="AT39" s="11" t="s">
        <v>12</v>
      </c>
      <c r="AU39" s="11" t="s">
        <v>57</v>
      </c>
      <c r="AV39" s="11" t="s">
        <v>26</v>
      </c>
      <c r="AW39" s="11" t="s">
        <v>12</v>
      </c>
      <c r="AX39" s="11" t="s">
        <v>26</v>
      </c>
      <c r="AY39" s="11" t="s">
        <v>57</v>
      </c>
      <c r="AZ39" s="11">
        <v>1950</v>
      </c>
    </row>
    <row r="40" spans="1:52" x14ac:dyDescent="0.3">
      <c r="A40" s="11">
        <v>1951</v>
      </c>
      <c r="B40" s="11" t="s">
        <v>27</v>
      </c>
      <c r="C40" s="11" t="s">
        <v>27</v>
      </c>
      <c r="D40" s="11" t="s">
        <v>12</v>
      </c>
      <c r="E40" s="11" t="s">
        <v>27</v>
      </c>
      <c r="F40" s="11" t="s">
        <v>27</v>
      </c>
      <c r="G40" s="11" t="s">
        <v>27</v>
      </c>
      <c r="H40" s="11" t="s">
        <v>57</v>
      </c>
      <c r="I40" s="11" t="s">
        <v>27</v>
      </c>
      <c r="J40" s="11" t="s">
        <v>57</v>
      </c>
      <c r="K40" s="11" t="s">
        <v>26</v>
      </c>
      <c r="L40" s="11" t="s">
        <v>12</v>
      </c>
      <c r="M40" s="11" t="s">
        <v>57</v>
      </c>
      <c r="N40" s="11" t="s">
        <v>12</v>
      </c>
      <c r="O40" s="11" t="s">
        <v>12</v>
      </c>
      <c r="P40" s="11" t="s">
        <v>26</v>
      </c>
      <c r="Q40" s="11" t="s">
        <v>12</v>
      </c>
      <c r="R40" s="11" t="s">
        <v>12</v>
      </c>
      <c r="S40" s="11" t="s">
        <v>27</v>
      </c>
      <c r="T40" s="11" t="s">
        <v>27</v>
      </c>
      <c r="U40" s="11" t="s">
        <v>12</v>
      </c>
      <c r="V40" s="11" t="s">
        <v>26</v>
      </c>
      <c r="W40" s="11" t="s">
        <v>27</v>
      </c>
      <c r="X40" s="11" t="s">
        <v>12</v>
      </c>
      <c r="Y40" s="11" t="s">
        <v>26</v>
      </c>
      <c r="Z40" s="11" t="s">
        <v>26</v>
      </c>
      <c r="AA40" s="11" t="s">
        <v>57</v>
      </c>
      <c r="AB40" s="11" t="s">
        <v>27</v>
      </c>
      <c r="AC40" s="11" t="s">
        <v>57</v>
      </c>
      <c r="AD40" s="11" t="s">
        <v>27</v>
      </c>
      <c r="AE40" s="11" t="s">
        <v>57</v>
      </c>
      <c r="AF40" s="11" t="s">
        <v>57</v>
      </c>
      <c r="AG40" s="11" t="s">
        <v>57</v>
      </c>
      <c r="AH40" s="11" t="s">
        <v>12</v>
      </c>
      <c r="AI40" s="11" t="s">
        <v>26</v>
      </c>
      <c r="AJ40" s="11" t="s">
        <v>27</v>
      </c>
      <c r="AK40" s="11" t="s">
        <v>26</v>
      </c>
      <c r="AL40" s="11" t="s">
        <v>12</v>
      </c>
      <c r="AM40" s="11" t="s">
        <v>12</v>
      </c>
      <c r="AN40" s="11" t="s">
        <v>26</v>
      </c>
      <c r="AO40" s="11" t="s">
        <v>27</v>
      </c>
      <c r="AP40" s="11" t="s">
        <v>26</v>
      </c>
      <c r="AQ40" s="11" t="s">
        <v>27</v>
      </c>
      <c r="AR40" s="11" t="s">
        <v>12</v>
      </c>
      <c r="AS40" s="11" t="s">
        <v>12</v>
      </c>
      <c r="AT40" s="11" t="s">
        <v>27</v>
      </c>
      <c r="AU40" s="11" t="s">
        <v>27</v>
      </c>
      <c r="AV40" s="11" t="s">
        <v>12</v>
      </c>
      <c r="AW40" s="11" t="s">
        <v>57</v>
      </c>
      <c r="AX40" s="11" t="s">
        <v>27</v>
      </c>
      <c r="AY40" s="11" t="s">
        <v>57</v>
      </c>
      <c r="AZ40" s="11">
        <v>2000</v>
      </c>
    </row>
    <row r="41" spans="1:52" x14ac:dyDescent="0.3">
      <c r="A41" s="11">
        <v>2001</v>
      </c>
      <c r="B41" s="11" t="s">
        <v>12</v>
      </c>
      <c r="C41" s="11" t="s">
        <v>57</v>
      </c>
      <c r="D41" s="11" t="s">
        <v>27</v>
      </c>
      <c r="E41" s="11" t="s">
        <v>26</v>
      </c>
      <c r="F41" s="11" t="s">
        <v>57</v>
      </c>
      <c r="G41" s="11" t="s">
        <v>12</v>
      </c>
      <c r="H41" s="11" t="s">
        <v>27</v>
      </c>
      <c r="I41" s="11" t="s">
        <v>27</v>
      </c>
      <c r="J41" s="11" t="s">
        <v>26</v>
      </c>
      <c r="K41" s="11" t="s">
        <v>27</v>
      </c>
      <c r="L41" s="11" t="s">
        <v>12</v>
      </c>
      <c r="M41" s="11" t="s">
        <v>12</v>
      </c>
      <c r="N41" s="11" t="s">
        <v>27</v>
      </c>
      <c r="O41" s="11" t="s">
        <v>26</v>
      </c>
      <c r="P41" s="11" t="s">
        <v>27</v>
      </c>
      <c r="Q41" s="11" t="s">
        <v>12</v>
      </c>
      <c r="R41" s="11" t="s">
        <v>26</v>
      </c>
      <c r="S41" s="11" t="s">
        <v>12</v>
      </c>
      <c r="T41" s="11" t="s">
        <v>27</v>
      </c>
      <c r="U41" s="11" t="s">
        <v>57</v>
      </c>
      <c r="V41" s="11" t="s">
        <v>27</v>
      </c>
      <c r="W41" s="11" t="s">
        <v>26</v>
      </c>
      <c r="X41" s="11" t="s">
        <v>26</v>
      </c>
      <c r="Y41" s="11" t="s">
        <v>12</v>
      </c>
      <c r="Z41" s="11" t="s">
        <v>26</v>
      </c>
      <c r="AA41" s="11" t="s">
        <v>26</v>
      </c>
      <c r="AB41" s="11" t="s">
        <v>57</v>
      </c>
      <c r="AC41" s="11" t="s">
        <v>26</v>
      </c>
      <c r="AD41" s="11" t="s">
        <v>27</v>
      </c>
      <c r="AE41" s="11" t="s">
        <v>12</v>
      </c>
      <c r="AF41" s="11" t="s">
        <v>57</v>
      </c>
      <c r="AG41" s="11" t="s">
        <v>26</v>
      </c>
      <c r="AH41" s="11" t="s">
        <v>12</v>
      </c>
      <c r="AI41" s="11" t="s">
        <v>27</v>
      </c>
      <c r="AJ41" s="11" t="s">
        <v>26</v>
      </c>
      <c r="AK41" s="11" t="s">
        <v>27</v>
      </c>
      <c r="AL41" s="11" t="s">
        <v>57</v>
      </c>
      <c r="AM41" s="11" t="s">
        <v>27</v>
      </c>
      <c r="AN41" s="11" t="s">
        <v>12</v>
      </c>
      <c r="AO41" s="11" t="s">
        <v>27</v>
      </c>
      <c r="AP41" s="11" t="s">
        <v>26</v>
      </c>
      <c r="AQ41" s="11" t="s">
        <v>12</v>
      </c>
      <c r="AR41" s="11" t="s">
        <v>26</v>
      </c>
      <c r="AS41" s="11" t="s">
        <v>57</v>
      </c>
      <c r="AT41" s="11" t="s">
        <v>12</v>
      </c>
      <c r="AU41" s="11" t="s">
        <v>12</v>
      </c>
      <c r="AV41" s="11" t="s">
        <v>12</v>
      </c>
      <c r="AW41" s="11" t="s">
        <v>12</v>
      </c>
      <c r="AX41" s="11" t="s">
        <v>26</v>
      </c>
      <c r="AY41" s="11" t="s">
        <v>57</v>
      </c>
      <c r="AZ41" s="11">
        <v>2050</v>
      </c>
    </row>
    <row r="42" spans="1:52" x14ac:dyDescent="0.3">
      <c r="A42" s="11">
        <v>2051</v>
      </c>
      <c r="B42" s="11" t="s">
        <v>12</v>
      </c>
      <c r="C42" s="11" t="s">
        <v>27</v>
      </c>
      <c r="D42" s="11" t="s">
        <v>27</v>
      </c>
      <c r="E42" s="11" t="s">
        <v>12</v>
      </c>
      <c r="F42" s="11" t="s">
        <v>27</v>
      </c>
      <c r="G42" s="11" t="s">
        <v>12</v>
      </c>
      <c r="H42" s="11" t="s">
        <v>57</v>
      </c>
      <c r="I42" s="11" t="s">
        <v>27</v>
      </c>
      <c r="J42" s="11" t="s">
        <v>27</v>
      </c>
      <c r="K42" s="11" t="s">
        <v>26</v>
      </c>
      <c r="L42" s="11" t="s">
        <v>26</v>
      </c>
      <c r="M42" s="11" t="s">
        <v>57</v>
      </c>
      <c r="N42" s="11" t="s">
        <v>12</v>
      </c>
      <c r="O42" s="11" t="s">
        <v>57</v>
      </c>
      <c r="P42" s="11" t="s">
        <v>27</v>
      </c>
      <c r="Q42" s="11" t="s">
        <v>12</v>
      </c>
      <c r="R42" s="11" t="s">
        <v>27</v>
      </c>
      <c r="S42" s="11" t="s">
        <v>12</v>
      </c>
      <c r="T42" s="11" t="s">
        <v>12</v>
      </c>
      <c r="U42" s="11" t="s">
        <v>26</v>
      </c>
      <c r="V42" s="11" t="s">
        <v>27</v>
      </c>
      <c r="W42" s="11" t="s">
        <v>12</v>
      </c>
      <c r="X42" s="11" t="s">
        <v>57</v>
      </c>
      <c r="Y42" s="11" t="s">
        <v>26</v>
      </c>
      <c r="Z42" s="11" t="s">
        <v>12</v>
      </c>
      <c r="AA42" s="11" t="s">
        <v>12</v>
      </c>
      <c r="AB42" s="11" t="s">
        <v>26</v>
      </c>
      <c r="AC42" s="11" t="s">
        <v>27</v>
      </c>
      <c r="AD42" s="11" t="s">
        <v>26</v>
      </c>
      <c r="AE42" s="11" t="s">
        <v>12</v>
      </c>
      <c r="AF42" s="11" t="s">
        <v>26</v>
      </c>
      <c r="AG42" s="11" t="s">
        <v>12</v>
      </c>
      <c r="AH42" s="11" t="s">
        <v>26</v>
      </c>
      <c r="AI42" s="11" t="s">
        <v>27</v>
      </c>
      <c r="AJ42" s="11" t="s">
        <v>26</v>
      </c>
      <c r="AK42" s="11" t="s">
        <v>12</v>
      </c>
      <c r="AL42" s="11" t="s">
        <v>26</v>
      </c>
      <c r="AM42" s="11" t="s">
        <v>26</v>
      </c>
      <c r="AN42" s="11" t="s">
        <v>26</v>
      </c>
      <c r="AO42" s="11" t="s">
        <v>12</v>
      </c>
      <c r="AP42" s="11" t="s">
        <v>26</v>
      </c>
      <c r="AQ42" s="11" t="s">
        <v>27</v>
      </c>
      <c r="AR42" s="11" t="s">
        <v>12</v>
      </c>
      <c r="AS42" s="11" t="s">
        <v>12</v>
      </c>
      <c r="AT42" s="11" t="s">
        <v>12</v>
      </c>
      <c r="AU42" s="11" t="s">
        <v>57</v>
      </c>
      <c r="AV42" s="11" t="s">
        <v>12</v>
      </c>
      <c r="AW42" s="11" t="s">
        <v>27</v>
      </c>
      <c r="AX42" s="11" t="s">
        <v>27</v>
      </c>
      <c r="AY42" s="11" t="s">
        <v>26</v>
      </c>
      <c r="AZ42" s="11">
        <v>2100</v>
      </c>
    </row>
    <row r="43" spans="1:52" x14ac:dyDescent="0.3">
      <c r="A43" s="11">
        <v>2101</v>
      </c>
      <c r="B43" s="11" t="s">
        <v>27</v>
      </c>
      <c r="C43" s="11" t="s">
        <v>26</v>
      </c>
      <c r="D43" s="11" t="s">
        <v>27</v>
      </c>
      <c r="E43" s="11" t="s">
        <v>12</v>
      </c>
      <c r="F43" s="11" t="s">
        <v>12</v>
      </c>
      <c r="G43" s="11" t="s">
        <v>26</v>
      </c>
      <c r="H43" s="11" t="s">
        <v>27</v>
      </c>
      <c r="I43" s="11" t="s">
        <v>26</v>
      </c>
      <c r="J43" s="11" t="s">
        <v>26</v>
      </c>
      <c r="K43" s="11" t="s">
        <v>27</v>
      </c>
      <c r="L43" s="11" t="s">
        <v>12</v>
      </c>
      <c r="M43" s="11" t="s">
        <v>27</v>
      </c>
      <c r="N43" s="11" t="s">
        <v>57</v>
      </c>
      <c r="O43" s="11" t="s">
        <v>27</v>
      </c>
      <c r="P43" s="11" t="s">
        <v>27</v>
      </c>
      <c r="Q43" s="11" t="s">
        <v>12</v>
      </c>
      <c r="R43" s="11" t="s">
        <v>12</v>
      </c>
      <c r="S43" s="11" t="s">
        <v>26</v>
      </c>
      <c r="T43" s="11" t="s">
        <v>27</v>
      </c>
      <c r="U43" s="11" t="s">
        <v>12</v>
      </c>
      <c r="V43" s="11" t="s">
        <v>12</v>
      </c>
      <c r="W43" s="11" t="s">
        <v>26</v>
      </c>
      <c r="X43" s="11" t="s">
        <v>27</v>
      </c>
      <c r="Y43" s="11" t="s">
        <v>26</v>
      </c>
      <c r="Z43" s="11" t="s">
        <v>27</v>
      </c>
      <c r="AA43" s="11" t="s">
        <v>12</v>
      </c>
      <c r="AB43" s="11" t="s">
        <v>26</v>
      </c>
      <c r="AC43" s="11" t="s">
        <v>57</v>
      </c>
      <c r="AD43" s="11" t="s">
        <v>12</v>
      </c>
      <c r="AE43" s="11" t="s">
        <v>26</v>
      </c>
      <c r="AF43" s="11" t="s">
        <v>57</v>
      </c>
      <c r="AG43" s="11" t="s">
        <v>57</v>
      </c>
      <c r="AH43" s="11" t="s">
        <v>27</v>
      </c>
      <c r="AI43" s="11" t="s">
        <v>12</v>
      </c>
      <c r="AJ43" s="11" t="s">
        <v>12</v>
      </c>
      <c r="AK43" s="11" t="s">
        <v>57</v>
      </c>
      <c r="AL43" s="11" t="s">
        <v>26</v>
      </c>
      <c r="AM43" s="11" t="s">
        <v>12</v>
      </c>
      <c r="AN43" s="11" t="s">
        <v>26</v>
      </c>
      <c r="AO43" s="11" t="s">
        <v>12</v>
      </c>
      <c r="AP43" s="11" t="s">
        <v>26</v>
      </c>
      <c r="AQ43" s="11" t="s">
        <v>26</v>
      </c>
      <c r="AR43" s="11" t="s">
        <v>57</v>
      </c>
      <c r="AS43" s="11" t="s">
        <v>27</v>
      </c>
      <c r="AT43" s="11" t="s">
        <v>57</v>
      </c>
      <c r="AU43" s="11" t="s">
        <v>12</v>
      </c>
      <c r="AV43" s="11" t="s">
        <v>57</v>
      </c>
      <c r="AW43" s="11" t="s">
        <v>12</v>
      </c>
      <c r="AX43" s="11" t="s">
        <v>57</v>
      </c>
      <c r="AY43" s="11" t="s">
        <v>27</v>
      </c>
      <c r="AZ43" s="11">
        <v>2150</v>
      </c>
    </row>
    <row r="44" spans="1:52" x14ac:dyDescent="0.3">
      <c r="A44" s="11">
        <v>2151</v>
      </c>
      <c r="B44" s="11" t="s">
        <v>27</v>
      </c>
      <c r="C44" s="11" t="s">
        <v>27</v>
      </c>
      <c r="D44" s="11" t="s">
        <v>12</v>
      </c>
      <c r="E44" s="11" t="s">
        <v>27</v>
      </c>
      <c r="F44" s="11" t="s">
        <v>12</v>
      </c>
      <c r="G44" s="11" t="s">
        <v>12</v>
      </c>
      <c r="H44" s="11" t="s">
        <v>27</v>
      </c>
      <c r="I44" s="11" t="s">
        <v>26</v>
      </c>
      <c r="J44" s="11" t="s">
        <v>27</v>
      </c>
      <c r="K44" s="11" t="s">
        <v>26</v>
      </c>
      <c r="L44" s="11" t="s">
        <v>26</v>
      </c>
      <c r="M44" s="11" t="s">
        <v>12</v>
      </c>
      <c r="N44" s="11" t="s">
        <v>26</v>
      </c>
      <c r="O44" s="11" t="s">
        <v>27</v>
      </c>
      <c r="P44" s="11" t="s">
        <v>12</v>
      </c>
      <c r="Q44" s="11" t="s">
        <v>27</v>
      </c>
      <c r="R44" s="11" t="s">
        <v>57</v>
      </c>
      <c r="S44" s="11" t="s">
        <v>27</v>
      </c>
      <c r="T44" s="11" t="s">
        <v>27</v>
      </c>
      <c r="U44" s="11" t="s">
        <v>12</v>
      </c>
      <c r="V44" s="11" t="s">
        <v>12</v>
      </c>
      <c r="W44" s="11" t="s">
        <v>57</v>
      </c>
      <c r="X44" s="11" t="s">
        <v>26</v>
      </c>
      <c r="Y44" s="11" t="s">
        <v>12</v>
      </c>
      <c r="Z44" s="11" t="s">
        <v>57</v>
      </c>
      <c r="AA44" s="11" t="s">
        <v>12</v>
      </c>
      <c r="AB44" s="11" t="s">
        <v>12</v>
      </c>
      <c r="AC44" s="11" t="s">
        <v>26</v>
      </c>
      <c r="AD44" s="11" t="s">
        <v>26</v>
      </c>
      <c r="AE44" s="11" t="s">
        <v>12</v>
      </c>
      <c r="AF44" s="11" t="s">
        <v>26</v>
      </c>
      <c r="AG44" s="11" t="s">
        <v>26</v>
      </c>
      <c r="AH44" s="11" t="s">
        <v>12</v>
      </c>
      <c r="AI44" s="11" t="s">
        <v>57</v>
      </c>
      <c r="AJ44" s="11" t="s">
        <v>12</v>
      </c>
      <c r="AK44" s="11" t="s">
        <v>57</v>
      </c>
      <c r="AL44" s="11" t="s">
        <v>26</v>
      </c>
      <c r="AM44" s="11" t="s">
        <v>57</v>
      </c>
      <c r="AN44" s="11" t="s">
        <v>12</v>
      </c>
      <c r="AO44" s="11" t="s">
        <v>27</v>
      </c>
      <c r="AP44" s="11" t="s">
        <v>12</v>
      </c>
      <c r="AQ44" s="11" t="s">
        <v>57</v>
      </c>
      <c r="AR44" s="11" t="s">
        <v>26</v>
      </c>
      <c r="AS44" s="11" t="s">
        <v>57</v>
      </c>
      <c r="AT44" s="11" t="s">
        <v>12</v>
      </c>
      <c r="AU44" s="11" t="s">
        <v>12</v>
      </c>
      <c r="AV44" s="11" t="s">
        <v>12</v>
      </c>
      <c r="AW44" s="11" t="s">
        <v>12</v>
      </c>
      <c r="AX44" s="11" t="s">
        <v>26</v>
      </c>
      <c r="AY44" s="11" t="s">
        <v>12</v>
      </c>
      <c r="AZ44" s="11">
        <v>2200</v>
      </c>
    </row>
    <row r="45" spans="1:52" x14ac:dyDescent="0.3">
      <c r="A45" s="11">
        <v>2201</v>
      </c>
      <c r="B45" s="11" t="s">
        <v>12</v>
      </c>
      <c r="C45" s="11" t="s">
        <v>26</v>
      </c>
      <c r="D45" s="11" t="s">
        <v>26</v>
      </c>
      <c r="E45" s="11" t="s">
        <v>12</v>
      </c>
      <c r="F45" s="11" t="s">
        <v>57</v>
      </c>
      <c r="G45" s="11" t="s">
        <v>57</v>
      </c>
      <c r="H45" s="11" t="s">
        <v>12</v>
      </c>
      <c r="I45" s="11" t="s">
        <v>26</v>
      </c>
      <c r="J45" s="11" t="s">
        <v>12</v>
      </c>
      <c r="K45" s="11" t="s">
        <v>12</v>
      </c>
      <c r="L45" s="11" t="s">
        <v>26</v>
      </c>
      <c r="M45" s="11" t="s">
        <v>57</v>
      </c>
      <c r="N45" s="11" t="s">
        <v>12</v>
      </c>
      <c r="O45" s="11" t="s">
        <v>26</v>
      </c>
      <c r="P45" s="11" t="s">
        <v>27</v>
      </c>
      <c r="Q45" s="11" t="s">
        <v>12</v>
      </c>
      <c r="R45" s="11" t="s">
        <v>27</v>
      </c>
      <c r="S45" s="11" t="s">
        <v>57</v>
      </c>
      <c r="T45" s="11" t="s">
        <v>27</v>
      </c>
      <c r="U45" s="11" t="s">
        <v>26</v>
      </c>
      <c r="V45" s="11" t="s">
        <v>12</v>
      </c>
      <c r="W45" s="11" t="s">
        <v>12</v>
      </c>
      <c r="X45" s="11" t="s">
        <v>26</v>
      </c>
      <c r="Y45" s="11" t="s">
        <v>12</v>
      </c>
      <c r="Z45" s="11" t="s">
        <v>26</v>
      </c>
      <c r="AA45" s="11" t="s">
        <v>27</v>
      </c>
      <c r="AB45" s="11" t="s">
        <v>26</v>
      </c>
      <c r="AC45" s="11" t="s">
        <v>27</v>
      </c>
      <c r="AD45" s="11" t="s">
        <v>26</v>
      </c>
      <c r="AE45" s="11" t="s">
        <v>57</v>
      </c>
      <c r="AF45" s="11" t="s">
        <v>12</v>
      </c>
      <c r="AG45" s="11" t="s">
        <v>12</v>
      </c>
      <c r="AH45" s="11" t="s">
        <v>57</v>
      </c>
      <c r="AI45" s="11" t="s">
        <v>27</v>
      </c>
      <c r="AJ45" s="11" t="s">
        <v>12</v>
      </c>
      <c r="AK45" s="11" t="s">
        <v>12</v>
      </c>
      <c r="AL45" s="11" t="s">
        <v>57</v>
      </c>
      <c r="AM45" s="11" t="s">
        <v>27</v>
      </c>
      <c r="AN45" s="11" t="s">
        <v>57</v>
      </c>
      <c r="AO45" s="11" t="s">
        <v>27</v>
      </c>
      <c r="AP45" s="11" t="s">
        <v>57</v>
      </c>
      <c r="AQ45" s="11" t="s">
        <v>12</v>
      </c>
      <c r="AR45" s="11" t="s">
        <v>12</v>
      </c>
      <c r="AS45" s="11" t="s">
        <v>26</v>
      </c>
      <c r="AT45" s="11" t="s">
        <v>57</v>
      </c>
      <c r="AU45" s="11" t="s">
        <v>27</v>
      </c>
      <c r="AV45" s="11" t="s">
        <v>26</v>
      </c>
      <c r="AW45" s="11" t="s">
        <v>12</v>
      </c>
      <c r="AX45" s="11" t="s">
        <v>12</v>
      </c>
      <c r="AY45" s="11" t="s">
        <v>26</v>
      </c>
      <c r="AZ45" s="11">
        <v>2250</v>
      </c>
    </row>
    <row r="46" spans="1:52" x14ac:dyDescent="0.3">
      <c r="A46" s="11">
        <v>2251</v>
      </c>
      <c r="B46" s="11" t="s">
        <v>26</v>
      </c>
      <c r="C46" s="11" t="s">
        <v>27</v>
      </c>
      <c r="D46" s="11" t="s">
        <v>26</v>
      </c>
      <c r="E46" s="11" t="s">
        <v>12</v>
      </c>
      <c r="F46" s="11" t="s">
        <v>12</v>
      </c>
      <c r="G46" s="11" t="s">
        <v>26</v>
      </c>
      <c r="H46" s="11" t="s">
        <v>27</v>
      </c>
      <c r="I46" s="11" t="s">
        <v>12</v>
      </c>
      <c r="J46" s="11" t="s">
        <v>27</v>
      </c>
      <c r="K46" s="11" t="s">
        <v>57</v>
      </c>
      <c r="L46" s="11" t="s">
        <v>27</v>
      </c>
      <c r="M46" s="11" t="s">
        <v>27</v>
      </c>
      <c r="N46" s="11" t="s">
        <v>26</v>
      </c>
      <c r="O46" s="11" t="s">
        <v>12</v>
      </c>
      <c r="P46" s="11" t="s">
        <v>57</v>
      </c>
      <c r="Q46" s="11" t="s">
        <v>27</v>
      </c>
      <c r="R46" s="11" t="s">
        <v>12</v>
      </c>
      <c r="S46" s="11" t="s">
        <v>26</v>
      </c>
      <c r="T46" s="11" t="s">
        <v>12</v>
      </c>
      <c r="U46" s="11" t="s">
        <v>12</v>
      </c>
      <c r="V46" s="11" t="s">
        <v>26</v>
      </c>
      <c r="W46" s="11" t="s">
        <v>57</v>
      </c>
      <c r="X46" s="11" t="s">
        <v>27</v>
      </c>
      <c r="Y46" s="11" t="s">
        <v>57</v>
      </c>
      <c r="Z46" s="11" t="s">
        <v>26</v>
      </c>
      <c r="AA46" s="11" t="s">
        <v>12</v>
      </c>
      <c r="AB46" s="11" t="s">
        <v>26</v>
      </c>
      <c r="AC46" s="11" t="s">
        <v>57</v>
      </c>
      <c r="AD46" s="11" t="s">
        <v>12</v>
      </c>
      <c r="AE46" s="11" t="s">
        <v>57</v>
      </c>
      <c r="AF46" s="11" t="s">
        <v>27</v>
      </c>
      <c r="AG46" s="11" t="s">
        <v>12</v>
      </c>
      <c r="AH46" s="11" t="s">
        <v>27</v>
      </c>
      <c r="AI46" s="11" t="s">
        <v>27</v>
      </c>
      <c r="AJ46" s="11" t="s">
        <v>12</v>
      </c>
      <c r="AK46" s="11" t="s">
        <v>27</v>
      </c>
      <c r="AL46" s="11" t="s">
        <v>26</v>
      </c>
      <c r="AM46" s="11" t="s">
        <v>57</v>
      </c>
      <c r="AN46" s="11" t="s">
        <v>57</v>
      </c>
      <c r="AO46" s="11" t="s">
        <v>12</v>
      </c>
      <c r="AP46" s="11" t="s">
        <v>12</v>
      </c>
      <c r="AQ46" s="11" t="s">
        <v>26</v>
      </c>
      <c r="AR46" s="11" t="s">
        <v>12</v>
      </c>
      <c r="AS46" s="11" t="s">
        <v>12</v>
      </c>
      <c r="AT46" s="11" t="s">
        <v>27</v>
      </c>
      <c r="AU46" s="11" t="s">
        <v>26</v>
      </c>
      <c r="AV46" s="11" t="s">
        <v>27</v>
      </c>
      <c r="AW46" s="11" t="s">
        <v>57</v>
      </c>
      <c r="AX46" s="11" t="s">
        <v>27</v>
      </c>
      <c r="AY46" s="11" t="s">
        <v>12</v>
      </c>
      <c r="AZ46" s="11">
        <v>2300</v>
      </c>
    </row>
    <row r="47" spans="1:52" x14ac:dyDescent="0.3">
      <c r="A47" s="11">
        <v>2301</v>
      </c>
      <c r="B47" s="11" t="s">
        <v>57</v>
      </c>
      <c r="C47" s="11" t="s">
        <v>12</v>
      </c>
      <c r="D47" s="11" t="s">
        <v>12</v>
      </c>
      <c r="E47" s="11" t="s">
        <v>26</v>
      </c>
      <c r="F47" s="11" t="s">
        <v>26</v>
      </c>
      <c r="G47" s="11" t="s">
        <v>12</v>
      </c>
      <c r="H47" s="11" t="s">
        <v>12</v>
      </c>
      <c r="I47" s="11" t="s">
        <v>57</v>
      </c>
      <c r="J47" s="11" t="s">
        <v>27</v>
      </c>
      <c r="K47" s="11" t="s">
        <v>12</v>
      </c>
      <c r="L47" s="11" t="s">
        <v>57</v>
      </c>
      <c r="M47" s="11" t="s">
        <v>27</v>
      </c>
      <c r="N47" s="11" t="s">
        <v>12</v>
      </c>
      <c r="O47" s="11" t="s">
        <v>57</v>
      </c>
      <c r="P47" s="11" t="s">
        <v>27</v>
      </c>
      <c r="Q47" s="11" t="s">
        <v>12</v>
      </c>
      <c r="R47" s="11" t="s">
        <v>26</v>
      </c>
      <c r="S47" s="11" t="s">
        <v>27</v>
      </c>
      <c r="T47" s="11" t="s">
        <v>57</v>
      </c>
      <c r="U47" s="11" t="s">
        <v>26</v>
      </c>
      <c r="V47" s="11" t="s">
        <v>12</v>
      </c>
      <c r="W47" s="11" t="s">
        <v>27</v>
      </c>
      <c r="X47" s="11" t="s">
        <v>27</v>
      </c>
      <c r="Y47" s="11" t="s">
        <v>12</v>
      </c>
      <c r="Z47" s="11" t="s">
        <v>26</v>
      </c>
      <c r="AA47" s="11" t="s">
        <v>27</v>
      </c>
      <c r="AB47" s="11" t="s">
        <v>12</v>
      </c>
      <c r="AC47" s="11" t="s">
        <v>57</v>
      </c>
      <c r="AD47" s="11" t="s">
        <v>57</v>
      </c>
      <c r="AE47" s="11" t="s">
        <v>12</v>
      </c>
      <c r="AF47" s="11" t="s">
        <v>57</v>
      </c>
      <c r="AG47" s="11" t="s">
        <v>27</v>
      </c>
      <c r="AH47" s="11" t="s">
        <v>12</v>
      </c>
      <c r="AI47" s="11" t="s">
        <v>26</v>
      </c>
      <c r="AJ47" s="11" t="s">
        <v>12</v>
      </c>
      <c r="AK47" s="11" t="s">
        <v>12</v>
      </c>
      <c r="AL47" s="11" t="s">
        <v>12</v>
      </c>
      <c r="AM47" s="11" t="s">
        <v>26</v>
      </c>
      <c r="AN47" s="11" t="s">
        <v>27</v>
      </c>
      <c r="AO47" s="11" t="s">
        <v>12</v>
      </c>
      <c r="AP47" s="11" t="s">
        <v>57</v>
      </c>
      <c r="AQ47" s="11" t="s">
        <v>27</v>
      </c>
      <c r="AR47" s="11" t="s">
        <v>26</v>
      </c>
      <c r="AS47" s="11" t="s">
        <v>26</v>
      </c>
      <c r="AT47" s="11" t="s">
        <v>57</v>
      </c>
      <c r="AU47" s="11" t="s">
        <v>26</v>
      </c>
      <c r="AV47" s="11" t="s">
        <v>27</v>
      </c>
      <c r="AW47" s="11" t="s">
        <v>26</v>
      </c>
      <c r="AX47" s="11" t="s">
        <v>27</v>
      </c>
      <c r="AY47" s="11" t="s">
        <v>12</v>
      </c>
      <c r="AZ47" s="11">
        <v>2350</v>
      </c>
    </row>
    <row r="48" spans="1:52" x14ac:dyDescent="0.3">
      <c r="A48" s="11">
        <v>2351</v>
      </c>
      <c r="B48" s="11" t="s">
        <v>12</v>
      </c>
      <c r="C48" s="11" t="s">
        <v>12</v>
      </c>
      <c r="D48" s="11" t="s">
        <v>57</v>
      </c>
      <c r="E48" s="11" t="s">
        <v>27</v>
      </c>
      <c r="F48" s="11" t="s">
        <v>26</v>
      </c>
      <c r="G48" s="11" t="s">
        <v>12</v>
      </c>
      <c r="H48" s="11" t="s">
        <v>26</v>
      </c>
      <c r="I48" s="11" t="s">
        <v>27</v>
      </c>
      <c r="J48" s="11" t="s">
        <v>27</v>
      </c>
      <c r="K48" s="11" t="s">
        <v>27</v>
      </c>
      <c r="L48" s="11" t="s">
        <v>26</v>
      </c>
      <c r="M48" s="11" t="s">
        <v>57</v>
      </c>
      <c r="N48" s="11" t="s">
        <v>12</v>
      </c>
      <c r="O48" s="11" t="s">
        <v>27</v>
      </c>
      <c r="P48" s="11" t="s">
        <v>12</v>
      </c>
      <c r="Q48" s="11" t="s">
        <v>12</v>
      </c>
      <c r="R48" s="11" t="s">
        <v>27</v>
      </c>
      <c r="S48" s="11" t="s">
        <v>57</v>
      </c>
      <c r="T48" s="11" t="s">
        <v>27</v>
      </c>
      <c r="U48" s="11" t="s">
        <v>27</v>
      </c>
      <c r="V48" s="11" t="s">
        <v>26</v>
      </c>
      <c r="W48" s="11" t="s">
        <v>26</v>
      </c>
      <c r="X48" s="11" t="s">
        <v>12</v>
      </c>
      <c r="Y48" s="11" t="s">
        <v>26</v>
      </c>
      <c r="Z48" s="11" t="s">
        <v>27</v>
      </c>
      <c r="AA48" s="11" t="s">
        <v>27</v>
      </c>
      <c r="AB48" s="11" t="s">
        <v>26</v>
      </c>
      <c r="AC48" s="11" t="s">
        <v>12</v>
      </c>
      <c r="AD48" s="11" t="s">
        <v>26</v>
      </c>
      <c r="AE48" s="11" t="s">
        <v>26</v>
      </c>
      <c r="AF48" s="11" t="s">
        <v>27</v>
      </c>
      <c r="AG48" s="11" t="s">
        <v>26</v>
      </c>
      <c r="AH48" s="11" t="s">
        <v>26</v>
      </c>
      <c r="AI48" s="11" t="s">
        <v>12</v>
      </c>
      <c r="AJ48" s="11" t="s">
        <v>26</v>
      </c>
      <c r="AK48" s="11" t="s">
        <v>12</v>
      </c>
      <c r="AL48" s="11" t="s">
        <v>12</v>
      </c>
      <c r="AM48" s="11" t="s">
        <v>12</v>
      </c>
      <c r="AN48" s="11" t="s">
        <v>26</v>
      </c>
      <c r="AO48" s="11" t="s">
        <v>26</v>
      </c>
      <c r="AP48" s="11" t="s">
        <v>27</v>
      </c>
      <c r="AQ48" s="11" t="s">
        <v>26</v>
      </c>
      <c r="AR48" s="11" t="s">
        <v>27</v>
      </c>
      <c r="AS48" s="11" t="s">
        <v>27</v>
      </c>
      <c r="AT48" s="11" t="s">
        <v>57</v>
      </c>
      <c r="AU48" s="11" t="s">
        <v>27</v>
      </c>
      <c r="AV48" s="11" t="s">
        <v>57</v>
      </c>
      <c r="AW48" s="11" t="s">
        <v>57</v>
      </c>
      <c r="AX48" s="11" t="s">
        <v>12</v>
      </c>
      <c r="AY48" s="11" t="s">
        <v>27</v>
      </c>
      <c r="AZ48" s="11">
        <v>2400</v>
      </c>
    </row>
    <row r="49" spans="1:52" x14ac:dyDescent="0.3">
      <c r="A49" s="11">
        <v>2401</v>
      </c>
      <c r="B49" s="11" t="s">
        <v>12</v>
      </c>
      <c r="C49" s="11" t="s">
        <v>12</v>
      </c>
      <c r="D49" s="11" t="s">
        <v>12</v>
      </c>
      <c r="E49" s="11" t="s">
        <v>26</v>
      </c>
      <c r="F49" s="11" t="s">
        <v>26</v>
      </c>
      <c r="G49" s="11" t="s">
        <v>27</v>
      </c>
      <c r="H49" s="11" t="s">
        <v>57</v>
      </c>
      <c r="I49" s="11" t="s">
        <v>27</v>
      </c>
      <c r="J49" s="11" t="s">
        <v>26</v>
      </c>
      <c r="K49" s="11" t="s">
        <v>26</v>
      </c>
      <c r="L49" s="11" t="s">
        <v>27</v>
      </c>
      <c r="M49" s="11" t="s">
        <v>12</v>
      </c>
      <c r="N49" s="11" t="s">
        <v>26</v>
      </c>
      <c r="O49" s="11" t="s">
        <v>27</v>
      </c>
      <c r="P49" s="11" t="s">
        <v>26</v>
      </c>
      <c r="Q49" s="11" t="s">
        <v>57</v>
      </c>
      <c r="R49" s="11" t="s">
        <v>12</v>
      </c>
      <c r="S49" s="11" t="s">
        <v>57</v>
      </c>
      <c r="T49" s="11" t="s">
        <v>26</v>
      </c>
      <c r="U49" s="11" t="s">
        <v>12</v>
      </c>
      <c r="V49" s="11" t="s">
        <v>26</v>
      </c>
      <c r="W49" s="11" t="s">
        <v>26</v>
      </c>
      <c r="X49" s="11" t="s">
        <v>27</v>
      </c>
      <c r="Y49" s="11" t="s">
        <v>26</v>
      </c>
      <c r="Z49" s="11" t="s">
        <v>12</v>
      </c>
      <c r="AA49" s="11" t="s">
        <v>12</v>
      </c>
      <c r="AB49" s="11" t="s">
        <v>12</v>
      </c>
      <c r="AC49" s="11" t="s">
        <v>12</v>
      </c>
      <c r="AD49" s="11" t="s">
        <v>57</v>
      </c>
      <c r="AE49" s="11" t="s">
        <v>12</v>
      </c>
      <c r="AF49" s="11" t="s">
        <v>12</v>
      </c>
      <c r="AG49" s="11" t="s">
        <v>57</v>
      </c>
      <c r="AH49" s="11" t="s">
        <v>26</v>
      </c>
      <c r="AI49" s="11" t="s">
        <v>57</v>
      </c>
      <c r="AJ49" s="11" t="s">
        <v>12</v>
      </c>
      <c r="AK49" s="11" t="s">
        <v>26</v>
      </c>
      <c r="AL49" s="11" t="s">
        <v>26</v>
      </c>
      <c r="AM49" s="11" t="s">
        <v>27</v>
      </c>
      <c r="AN49" s="11" t="s">
        <v>27</v>
      </c>
      <c r="AO49" s="11" t="s">
        <v>26</v>
      </c>
      <c r="AP49" s="11" t="s">
        <v>12</v>
      </c>
      <c r="AQ49" s="11" t="s">
        <v>57</v>
      </c>
      <c r="AR49" s="11" t="s">
        <v>57</v>
      </c>
      <c r="AS49" s="11" t="s">
        <v>12</v>
      </c>
      <c r="AT49" s="11" t="s">
        <v>27</v>
      </c>
      <c r="AU49" s="11" t="s">
        <v>27</v>
      </c>
      <c r="AV49" s="11" t="s">
        <v>12</v>
      </c>
      <c r="AW49" s="11" t="s">
        <v>27</v>
      </c>
      <c r="AX49" s="11" t="s">
        <v>27</v>
      </c>
      <c r="AY49" s="11" t="s">
        <v>12</v>
      </c>
      <c r="AZ49" s="11">
        <v>2450</v>
      </c>
    </row>
    <row r="50" spans="1:52" x14ac:dyDescent="0.3">
      <c r="A50" s="11">
        <v>2451</v>
      </c>
      <c r="B50" s="11" t="s">
        <v>57</v>
      </c>
      <c r="C50" s="11" t="s">
        <v>57</v>
      </c>
      <c r="D50" s="11" t="s">
        <v>12</v>
      </c>
      <c r="E50" s="11" t="s">
        <v>26</v>
      </c>
      <c r="F50" s="11" t="s">
        <v>26</v>
      </c>
      <c r="G50" s="11" t="s">
        <v>57</v>
      </c>
      <c r="H50" s="11" t="s">
        <v>57</v>
      </c>
      <c r="I50" s="11" t="s">
        <v>57</v>
      </c>
      <c r="J50" s="11" t="s">
        <v>12</v>
      </c>
      <c r="K50" s="11" t="s">
        <v>26</v>
      </c>
      <c r="L50" s="11" t="s">
        <v>27</v>
      </c>
      <c r="M50" s="11" t="s">
        <v>12</v>
      </c>
      <c r="N50" s="11" t="s">
        <v>12</v>
      </c>
      <c r="O50" s="11" t="s">
        <v>26</v>
      </c>
      <c r="P50" s="11" t="s">
        <v>27</v>
      </c>
      <c r="Q50" s="11" t="s">
        <v>26</v>
      </c>
      <c r="R50" s="11" t="s">
        <v>57</v>
      </c>
      <c r="S50" s="11" t="s">
        <v>57</v>
      </c>
      <c r="T50" s="11" t="s">
        <v>12</v>
      </c>
      <c r="U50" s="11" t="s">
        <v>57</v>
      </c>
      <c r="V50" s="11" t="s">
        <v>27</v>
      </c>
      <c r="W50" s="11" t="s">
        <v>12</v>
      </c>
      <c r="X50" s="11" t="s">
        <v>12</v>
      </c>
      <c r="Y50" s="11" t="s">
        <v>12</v>
      </c>
      <c r="Z50" s="11" t="s">
        <v>27</v>
      </c>
      <c r="AA50" s="11" t="s">
        <v>26</v>
      </c>
      <c r="AB50" s="11" t="s">
        <v>57</v>
      </c>
      <c r="AC50" s="11" t="s">
        <v>12</v>
      </c>
      <c r="AD50" s="11" t="s">
        <v>12</v>
      </c>
      <c r="AE50" s="11" t="s">
        <v>57</v>
      </c>
      <c r="AF50" s="11" t="s">
        <v>26</v>
      </c>
      <c r="AG50" s="11" t="s">
        <v>27</v>
      </c>
      <c r="AH50" s="11" t="s">
        <v>12</v>
      </c>
      <c r="AI50" s="11" t="s">
        <v>26</v>
      </c>
      <c r="AJ50" s="11" t="s">
        <v>26</v>
      </c>
      <c r="AK50" s="11" t="s">
        <v>27</v>
      </c>
      <c r="AL50" s="11" t="s">
        <v>12</v>
      </c>
      <c r="AM50" s="11" t="s">
        <v>12</v>
      </c>
      <c r="AN50" s="11" t="s">
        <v>12</v>
      </c>
      <c r="AO50" s="11" t="s">
        <v>26</v>
      </c>
      <c r="AP50" s="11" t="s">
        <v>27</v>
      </c>
      <c r="AQ50" s="11" t="s">
        <v>12</v>
      </c>
      <c r="AR50" s="11" t="s">
        <v>26</v>
      </c>
      <c r="AS50" s="11" t="s">
        <v>26</v>
      </c>
      <c r="AT50" s="11" t="s">
        <v>27</v>
      </c>
      <c r="AU50" s="11" t="s">
        <v>12</v>
      </c>
      <c r="AV50" s="11" t="s">
        <v>27</v>
      </c>
      <c r="AW50" s="11" t="s">
        <v>27</v>
      </c>
      <c r="AX50" s="11" t="s">
        <v>26</v>
      </c>
      <c r="AY50" s="11" t="s">
        <v>27</v>
      </c>
      <c r="AZ50" s="11">
        <v>2500</v>
      </c>
    </row>
    <row r="51" spans="1:52" x14ac:dyDescent="0.3">
      <c r="A51" s="11">
        <v>2501</v>
      </c>
      <c r="B51" s="11" t="s">
        <v>12</v>
      </c>
      <c r="C51" s="11" t="s">
        <v>57</v>
      </c>
      <c r="D51" s="11" t="s">
        <v>57</v>
      </c>
      <c r="E51" s="11" t="s">
        <v>12</v>
      </c>
      <c r="F51" s="11" t="s">
        <v>26</v>
      </c>
      <c r="G51" s="11" t="s">
        <v>57</v>
      </c>
      <c r="H51" s="11" t="s">
        <v>12</v>
      </c>
      <c r="I51" s="11" t="s">
        <v>27</v>
      </c>
      <c r="J51" s="11" t="s">
        <v>26</v>
      </c>
      <c r="K51" s="11" t="s">
        <v>27</v>
      </c>
      <c r="L51" s="11" t="s">
        <v>27</v>
      </c>
      <c r="M51" s="11" t="s">
        <v>26</v>
      </c>
      <c r="N51" s="11" t="s">
        <v>12</v>
      </c>
      <c r="O51" s="11" t="s">
        <v>12</v>
      </c>
      <c r="P51" s="11" t="s">
        <v>57</v>
      </c>
      <c r="Q51" s="11" t="s">
        <v>27</v>
      </c>
      <c r="R51" s="11" t="s">
        <v>12</v>
      </c>
      <c r="S51" s="11" t="s">
        <v>57</v>
      </c>
      <c r="T51" s="11" t="s">
        <v>27</v>
      </c>
      <c r="U51" s="11" t="s">
        <v>57</v>
      </c>
      <c r="V51" s="11" t="s">
        <v>57</v>
      </c>
      <c r="W51" s="11" t="s">
        <v>12</v>
      </c>
      <c r="X51" s="11" t="s">
        <v>26</v>
      </c>
      <c r="Y51" s="11" t="s">
        <v>26</v>
      </c>
      <c r="Z51" s="11" t="s">
        <v>12</v>
      </c>
      <c r="AA51" s="11" t="s">
        <v>26</v>
      </c>
      <c r="AB51" s="11" t="s">
        <v>26</v>
      </c>
      <c r="AC51" s="11" t="s">
        <v>26</v>
      </c>
      <c r="AD51" s="11" t="s">
        <v>27</v>
      </c>
      <c r="AE51" s="11" t="s">
        <v>57</v>
      </c>
      <c r="AF51" s="11" t="s">
        <v>27</v>
      </c>
      <c r="AG51" s="11" t="s">
        <v>26</v>
      </c>
      <c r="AH51" s="11" t="s">
        <v>12</v>
      </c>
      <c r="AI51" s="11" t="s">
        <v>26</v>
      </c>
      <c r="AJ51" s="11" t="s">
        <v>12</v>
      </c>
      <c r="AK51" s="11" t="s">
        <v>57</v>
      </c>
      <c r="AL51" s="11" t="s">
        <v>27</v>
      </c>
      <c r="AM51" s="11" t="s">
        <v>27</v>
      </c>
      <c r="AN51" s="11" t="s">
        <v>12</v>
      </c>
      <c r="AO51" s="11" t="s">
        <v>12</v>
      </c>
      <c r="AP51" s="11" t="s">
        <v>27</v>
      </c>
      <c r="AQ51" s="11" t="s">
        <v>26</v>
      </c>
      <c r="AR51" s="11" t="s">
        <v>12</v>
      </c>
      <c r="AS51" s="11" t="s">
        <v>27</v>
      </c>
      <c r="AT51" s="11" t="s">
        <v>12</v>
      </c>
      <c r="AU51" s="11" t="s">
        <v>12</v>
      </c>
      <c r="AV51" s="11" t="s">
        <v>27</v>
      </c>
      <c r="AW51" s="11" t="s">
        <v>27</v>
      </c>
      <c r="AX51" s="11" t="s">
        <v>12</v>
      </c>
      <c r="AY51" s="11" t="s">
        <v>57</v>
      </c>
      <c r="AZ51" s="11">
        <v>2550</v>
      </c>
    </row>
    <row r="52" spans="1:52" x14ac:dyDescent="0.3">
      <c r="A52" s="11">
        <v>2551</v>
      </c>
      <c r="B52" s="11" t="s">
        <v>57</v>
      </c>
      <c r="C52" s="11" t="s">
        <v>12</v>
      </c>
      <c r="D52" s="11" t="s">
        <v>26</v>
      </c>
      <c r="E52" s="11" t="s">
        <v>57</v>
      </c>
      <c r="F52" s="11" t="s">
        <v>12</v>
      </c>
      <c r="G52" s="11" t="s">
        <v>26</v>
      </c>
      <c r="H52" s="11" t="s">
        <v>26</v>
      </c>
      <c r="I52" s="11" t="s">
        <v>27</v>
      </c>
      <c r="J52" s="11" t="s">
        <v>12</v>
      </c>
      <c r="K52" s="11" t="s">
        <v>26</v>
      </c>
      <c r="L52" s="11" t="s">
        <v>27</v>
      </c>
      <c r="M52" s="11" t="s">
        <v>57</v>
      </c>
      <c r="N52" s="11" t="s">
        <v>26</v>
      </c>
      <c r="O52" s="11" t="s">
        <v>57</v>
      </c>
      <c r="P52" s="11" t="s">
        <v>27</v>
      </c>
      <c r="Q52" s="11" t="s">
        <v>27</v>
      </c>
      <c r="R52" s="11" t="s">
        <v>12</v>
      </c>
      <c r="S52" s="11" t="s">
        <v>27</v>
      </c>
      <c r="T52" s="11" t="s">
        <v>26</v>
      </c>
      <c r="U52" s="11" t="s">
        <v>57</v>
      </c>
      <c r="V52" s="11" t="s">
        <v>57</v>
      </c>
      <c r="W52" s="11" t="s">
        <v>27</v>
      </c>
      <c r="X52" s="11" t="s">
        <v>57</v>
      </c>
      <c r="Y52" s="11" t="s">
        <v>12</v>
      </c>
      <c r="Z52" s="11" t="s">
        <v>57</v>
      </c>
      <c r="AA52" s="11" t="s">
        <v>27</v>
      </c>
      <c r="AB52" s="11" t="s">
        <v>27</v>
      </c>
      <c r="AC52" s="11" t="s">
        <v>27</v>
      </c>
      <c r="AD52" s="11" t="s">
        <v>12</v>
      </c>
      <c r="AE52" s="11" t="s">
        <v>27</v>
      </c>
      <c r="AF52" s="11" t="s">
        <v>26</v>
      </c>
      <c r="AG52" s="11" t="s">
        <v>12</v>
      </c>
      <c r="AH52" s="11" t="s">
        <v>26</v>
      </c>
      <c r="AI52" s="11" t="s">
        <v>57</v>
      </c>
      <c r="AJ52" s="11" t="s">
        <v>57</v>
      </c>
      <c r="AK52" s="11" t="s">
        <v>27</v>
      </c>
      <c r="AL52" s="11" t="s">
        <v>12</v>
      </c>
      <c r="AM52" s="11" t="s">
        <v>12</v>
      </c>
      <c r="AN52" s="11" t="s">
        <v>27</v>
      </c>
      <c r="AO52" s="11" t="s">
        <v>12</v>
      </c>
      <c r="AP52" s="11" t="s">
        <v>12</v>
      </c>
      <c r="AQ52" s="11" t="s">
        <v>26</v>
      </c>
      <c r="AR52" s="11" t="s">
        <v>27</v>
      </c>
      <c r="AS52" s="11" t="s">
        <v>27</v>
      </c>
      <c r="AT52" s="11" t="s">
        <v>27</v>
      </c>
      <c r="AU52" s="11" t="s">
        <v>26</v>
      </c>
      <c r="AV52" s="11" t="s">
        <v>57</v>
      </c>
      <c r="AW52" s="11" t="s">
        <v>12</v>
      </c>
      <c r="AX52" s="11" t="s">
        <v>57</v>
      </c>
      <c r="AY52" s="11" t="s">
        <v>27</v>
      </c>
      <c r="AZ52" s="11">
        <v>2600</v>
      </c>
    </row>
    <row r="53" spans="1:52" x14ac:dyDescent="0.3">
      <c r="A53" s="11">
        <v>2601</v>
      </c>
      <c r="B53" s="11" t="s">
        <v>26</v>
      </c>
      <c r="C53" s="11" t="s">
        <v>57</v>
      </c>
      <c r="D53" s="11" t="s">
        <v>57</v>
      </c>
      <c r="E53" s="11" t="s">
        <v>57</v>
      </c>
      <c r="F53" s="11" t="s">
        <v>27</v>
      </c>
      <c r="G53" s="11" t="s">
        <v>12</v>
      </c>
      <c r="H53" s="11" t="s">
        <v>27</v>
      </c>
      <c r="I53" s="11" t="s">
        <v>12</v>
      </c>
      <c r="J53" s="11" t="s">
        <v>12</v>
      </c>
      <c r="K53" s="11" t="s">
        <v>12</v>
      </c>
      <c r="L53" s="11" t="s">
        <v>26</v>
      </c>
      <c r="M53" s="11" t="s">
        <v>27</v>
      </c>
      <c r="N53" s="11" t="s">
        <v>26</v>
      </c>
      <c r="O53" s="11" t="s">
        <v>26</v>
      </c>
      <c r="P53" s="11" t="s">
        <v>27</v>
      </c>
      <c r="Q53" s="11" t="s">
        <v>57</v>
      </c>
      <c r="R53" s="11" t="s">
        <v>57</v>
      </c>
      <c r="S53" s="11" t="s">
        <v>57</v>
      </c>
      <c r="T53" s="11" t="s">
        <v>26</v>
      </c>
      <c r="U53" s="11" t="s">
        <v>26</v>
      </c>
      <c r="V53" s="11" t="s">
        <v>12</v>
      </c>
      <c r="W53" s="11" t="s">
        <v>27</v>
      </c>
      <c r="X53" s="11" t="s">
        <v>27</v>
      </c>
      <c r="Y53" s="11" t="s">
        <v>26</v>
      </c>
      <c r="Z53" s="11" t="s">
        <v>12</v>
      </c>
      <c r="AA53" s="11" t="s">
        <v>57</v>
      </c>
      <c r="AB53" s="11" t="s">
        <v>27</v>
      </c>
      <c r="AC53" s="11" t="s">
        <v>26</v>
      </c>
      <c r="AD53" s="11" t="s">
        <v>12</v>
      </c>
      <c r="AE53" s="11" t="s">
        <v>26</v>
      </c>
      <c r="AF53" s="11" t="s">
        <v>27</v>
      </c>
      <c r="AG53" s="11" t="s">
        <v>57</v>
      </c>
      <c r="AH53" s="11" t="s">
        <v>27</v>
      </c>
      <c r="AI53" s="11" t="s">
        <v>12</v>
      </c>
      <c r="AJ53" s="11" t="s">
        <v>57</v>
      </c>
      <c r="AK53" s="11" t="s">
        <v>27</v>
      </c>
      <c r="AL53" s="11" t="s">
        <v>12</v>
      </c>
      <c r="AM53" s="11" t="s">
        <v>12</v>
      </c>
      <c r="AN53" s="11" t="s">
        <v>57</v>
      </c>
      <c r="AO53" s="11" t="s">
        <v>12</v>
      </c>
      <c r="AP53" s="11" t="s">
        <v>12</v>
      </c>
      <c r="AQ53" s="11" t="s">
        <v>57</v>
      </c>
      <c r="AR53" s="11" t="s">
        <v>12</v>
      </c>
      <c r="AS53" s="11" t="s">
        <v>57</v>
      </c>
      <c r="AT53" s="11" t="s">
        <v>27</v>
      </c>
      <c r="AU53" s="11" t="s">
        <v>12</v>
      </c>
      <c r="AV53" s="11" t="s">
        <v>57</v>
      </c>
      <c r="AW53" s="11" t="s">
        <v>27</v>
      </c>
      <c r="AX53" s="11" t="s">
        <v>26</v>
      </c>
      <c r="AY53" s="11" t="s">
        <v>12</v>
      </c>
      <c r="AZ53" s="11">
        <v>2650</v>
      </c>
    </row>
    <row r="54" spans="1:52" x14ac:dyDescent="0.3">
      <c r="A54" s="11">
        <v>2651</v>
      </c>
      <c r="B54" s="11" t="s">
        <v>12</v>
      </c>
      <c r="C54" s="11" t="s">
        <v>27</v>
      </c>
      <c r="D54" s="11" t="s">
        <v>26</v>
      </c>
      <c r="E54" s="11" t="s">
        <v>57</v>
      </c>
      <c r="F54" s="11" t="s">
        <v>27</v>
      </c>
      <c r="G54" s="11" t="s">
        <v>26</v>
      </c>
      <c r="H54" s="11" t="s">
        <v>27</v>
      </c>
      <c r="I54" s="11" t="s">
        <v>26</v>
      </c>
      <c r="J54" s="11" t="s">
        <v>57</v>
      </c>
      <c r="K54" s="11" t="s">
        <v>27</v>
      </c>
      <c r="L54" s="11" t="s">
        <v>26</v>
      </c>
      <c r="M54" s="11" t="s">
        <v>57</v>
      </c>
      <c r="N54" s="11" t="s">
        <v>12</v>
      </c>
      <c r="O54" s="11" t="s">
        <v>27</v>
      </c>
      <c r="P54" s="11" t="s">
        <v>12</v>
      </c>
      <c r="Q54" s="11" t="s">
        <v>12</v>
      </c>
      <c r="R54" s="11" t="s">
        <v>12</v>
      </c>
      <c r="S54" s="11" t="s">
        <v>26</v>
      </c>
      <c r="T54" s="11" t="s">
        <v>27</v>
      </c>
      <c r="U54" s="11" t="s">
        <v>57</v>
      </c>
      <c r="V54" s="11" t="s">
        <v>26</v>
      </c>
      <c r="W54" s="11" t="s">
        <v>12</v>
      </c>
      <c r="X54" s="11" t="s">
        <v>26</v>
      </c>
      <c r="Y54" s="11" t="s">
        <v>12</v>
      </c>
      <c r="Z54" s="11" t="s">
        <v>26</v>
      </c>
      <c r="AA54" s="11" t="s">
        <v>57</v>
      </c>
      <c r="AB54" s="11" t="s">
        <v>12</v>
      </c>
      <c r="AC54" s="11" t="s">
        <v>57</v>
      </c>
      <c r="AD54" s="11" t="s">
        <v>27</v>
      </c>
      <c r="AE54" s="11" t="s">
        <v>12</v>
      </c>
      <c r="AF54" s="11" t="s">
        <v>12</v>
      </c>
      <c r="AG54" s="11" t="s">
        <v>12</v>
      </c>
      <c r="AH54" s="11" t="s">
        <v>57</v>
      </c>
      <c r="AI54" s="11" t="s">
        <v>27</v>
      </c>
      <c r="AJ54" s="11" t="s">
        <v>12</v>
      </c>
      <c r="AK54" s="11" t="s">
        <v>57</v>
      </c>
      <c r="AL54" s="11" t="s">
        <v>27</v>
      </c>
      <c r="AM54" s="11" t="s">
        <v>27</v>
      </c>
      <c r="AN54" s="11" t="s">
        <v>12</v>
      </c>
      <c r="AO54" s="11" t="s">
        <v>12</v>
      </c>
      <c r="AP54" s="11" t="s">
        <v>27</v>
      </c>
      <c r="AQ54" s="11" t="s">
        <v>27</v>
      </c>
      <c r="AR54" s="11" t="s">
        <v>12</v>
      </c>
      <c r="AS54" s="11" t="s">
        <v>26</v>
      </c>
      <c r="AT54" s="11" t="s">
        <v>12</v>
      </c>
      <c r="AU54" s="11" t="s">
        <v>26</v>
      </c>
      <c r="AV54" s="11" t="s">
        <v>26</v>
      </c>
      <c r="AW54" s="11" t="s">
        <v>57</v>
      </c>
      <c r="AX54" s="11" t="s">
        <v>12</v>
      </c>
      <c r="AY54" s="11" t="s">
        <v>26</v>
      </c>
      <c r="AZ54" s="11">
        <v>2700</v>
      </c>
    </row>
    <row r="55" spans="1:52" x14ac:dyDescent="0.3">
      <c r="A55" s="11">
        <v>2701</v>
      </c>
      <c r="B55" s="11" t="s">
        <v>12</v>
      </c>
      <c r="C55" s="11" t="s">
        <v>26</v>
      </c>
      <c r="D55" s="11" t="s">
        <v>26</v>
      </c>
      <c r="E55" s="11" t="s">
        <v>27</v>
      </c>
      <c r="F55" s="11" t="s">
        <v>12</v>
      </c>
      <c r="G55" s="11" t="s">
        <v>27</v>
      </c>
      <c r="H55" s="11" t="s">
        <v>27</v>
      </c>
      <c r="I55" s="11" t="s">
        <v>12</v>
      </c>
      <c r="J55" s="11" t="s">
        <v>57</v>
      </c>
      <c r="K55" s="11" t="s">
        <v>27</v>
      </c>
      <c r="L55" s="11" t="s">
        <v>27</v>
      </c>
      <c r="M55" s="11" t="s">
        <v>26</v>
      </c>
      <c r="N55" s="11" t="s">
        <v>12</v>
      </c>
      <c r="O55" s="11" t="s">
        <v>26</v>
      </c>
      <c r="P55" s="11" t="s">
        <v>57</v>
      </c>
      <c r="Q55" s="11" t="s">
        <v>57</v>
      </c>
      <c r="R55" s="11" t="s">
        <v>57</v>
      </c>
      <c r="S55" s="11" t="s">
        <v>27</v>
      </c>
      <c r="T55" s="11" t="s">
        <v>27</v>
      </c>
      <c r="U55" s="11" t="s">
        <v>26</v>
      </c>
      <c r="V55" s="11" t="s">
        <v>27</v>
      </c>
      <c r="W55" s="11" t="s">
        <v>12</v>
      </c>
      <c r="X55" s="11" t="s">
        <v>26</v>
      </c>
      <c r="Y55" s="11" t="s">
        <v>27</v>
      </c>
      <c r="Z55" s="11" t="s">
        <v>27</v>
      </c>
      <c r="AA55" s="11" t="s">
        <v>12</v>
      </c>
      <c r="AB55" s="11" t="s">
        <v>27</v>
      </c>
      <c r="AC55" s="11" t="s">
        <v>12</v>
      </c>
      <c r="AD55" s="11" t="s">
        <v>12</v>
      </c>
      <c r="AE55" s="11" t="s">
        <v>27</v>
      </c>
      <c r="AF55" s="11" t="s">
        <v>12</v>
      </c>
      <c r="AG55" s="11" t="s">
        <v>57</v>
      </c>
      <c r="AH55" s="11" t="s">
        <v>12</v>
      </c>
      <c r="AI55" s="11" t="s">
        <v>57</v>
      </c>
      <c r="AJ55" s="11" t="s">
        <v>27</v>
      </c>
      <c r="AK55" s="11" t="s">
        <v>12</v>
      </c>
      <c r="AL55" s="11" t="s">
        <v>26</v>
      </c>
      <c r="AM55" s="11" t="s">
        <v>27</v>
      </c>
      <c r="AN55" s="11" t="s">
        <v>26</v>
      </c>
      <c r="AO55" s="11" t="s">
        <v>57</v>
      </c>
      <c r="AP55" s="11" t="s">
        <v>12</v>
      </c>
      <c r="AQ55" s="11" t="s">
        <v>12</v>
      </c>
      <c r="AR55" s="11" t="s">
        <v>12</v>
      </c>
      <c r="AS55" s="11" t="s">
        <v>12</v>
      </c>
      <c r="AT55" s="11" t="s">
        <v>57</v>
      </c>
      <c r="AU55" s="11" t="s">
        <v>57</v>
      </c>
      <c r="AV55" s="11" t="s">
        <v>57</v>
      </c>
      <c r="AW55" s="11" t="s">
        <v>27</v>
      </c>
      <c r="AX55" s="11" t="s">
        <v>12</v>
      </c>
      <c r="AY55" s="11" t="s">
        <v>57</v>
      </c>
      <c r="AZ55" s="11">
        <v>2750</v>
      </c>
    </row>
    <row r="56" spans="1:52" x14ac:dyDescent="0.3">
      <c r="A56" s="11">
        <v>2751</v>
      </c>
      <c r="B56" s="11" t="s">
        <v>26</v>
      </c>
      <c r="C56" s="11" t="s">
        <v>57</v>
      </c>
      <c r="D56" s="11" t="s">
        <v>27</v>
      </c>
      <c r="E56" s="11" t="s">
        <v>12</v>
      </c>
      <c r="F56" s="11" t="s">
        <v>26</v>
      </c>
      <c r="G56" s="11" t="s">
        <v>27</v>
      </c>
      <c r="H56" s="11" t="s">
        <v>26</v>
      </c>
      <c r="I56" s="11" t="s">
        <v>57</v>
      </c>
      <c r="J56" s="11" t="s">
        <v>27</v>
      </c>
      <c r="K56" s="11" t="s">
        <v>27</v>
      </c>
      <c r="L56" s="11" t="s">
        <v>12</v>
      </c>
      <c r="M56" s="11" t="s">
        <v>12</v>
      </c>
      <c r="N56" s="11" t="s">
        <v>57</v>
      </c>
      <c r="O56" s="11" t="s">
        <v>26</v>
      </c>
      <c r="P56" s="11" t="s">
        <v>12</v>
      </c>
      <c r="Q56" s="11" t="s">
        <v>12</v>
      </c>
      <c r="R56" s="11" t="s">
        <v>27</v>
      </c>
      <c r="S56" s="11" t="s">
        <v>27</v>
      </c>
      <c r="T56" s="11" t="s">
        <v>57</v>
      </c>
      <c r="U56" s="11" t="s">
        <v>57</v>
      </c>
      <c r="V56" s="11" t="s">
        <v>12</v>
      </c>
      <c r="W56" s="11" t="s">
        <v>26</v>
      </c>
      <c r="X56" s="11" t="s">
        <v>26</v>
      </c>
      <c r="Y56" s="11" t="s">
        <v>12</v>
      </c>
      <c r="Z56" s="11" t="s">
        <v>27</v>
      </c>
      <c r="AA56" s="11" t="s">
        <v>27</v>
      </c>
      <c r="AB56" s="11" t="s">
        <v>12</v>
      </c>
      <c r="AC56" s="11" t="s">
        <v>26</v>
      </c>
      <c r="AD56" s="11" t="s">
        <v>57</v>
      </c>
      <c r="AE56" s="11" t="s">
        <v>12</v>
      </c>
      <c r="AF56" s="11" t="s">
        <v>27</v>
      </c>
      <c r="AG56" s="11" t="s">
        <v>27</v>
      </c>
      <c r="AH56" s="11" t="s">
        <v>26</v>
      </c>
      <c r="AI56" s="11" t="s">
        <v>27</v>
      </c>
      <c r="AJ56" s="11" t="s">
        <v>57</v>
      </c>
      <c r="AK56" s="11" t="s">
        <v>27</v>
      </c>
      <c r="AL56" s="11" t="s">
        <v>26</v>
      </c>
      <c r="AM56" s="11" t="s">
        <v>12</v>
      </c>
      <c r="AN56" s="11" t="s">
        <v>12</v>
      </c>
      <c r="AO56" s="11" t="s">
        <v>12</v>
      </c>
      <c r="AP56" s="11" t="s">
        <v>26</v>
      </c>
      <c r="AQ56" s="11" t="s">
        <v>27</v>
      </c>
      <c r="AR56" s="11" t="s">
        <v>26</v>
      </c>
      <c r="AS56" s="11" t="s">
        <v>26</v>
      </c>
      <c r="AT56" s="11" t="s">
        <v>57</v>
      </c>
      <c r="AU56" s="11" t="s">
        <v>27</v>
      </c>
      <c r="AV56" s="11" t="s">
        <v>57</v>
      </c>
      <c r="AW56" s="11" t="s">
        <v>27</v>
      </c>
      <c r="AX56" s="11" t="s">
        <v>12</v>
      </c>
      <c r="AY56" s="11" t="s">
        <v>57</v>
      </c>
      <c r="AZ56" s="11">
        <v>2800</v>
      </c>
    </row>
    <row r="57" spans="1:52" x14ac:dyDescent="0.3">
      <c r="A57" s="11">
        <v>2801</v>
      </c>
      <c r="B57" s="11" t="s">
        <v>27</v>
      </c>
      <c r="C57" s="11" t="s">
        <v>57</v>
      </c>
      <c r="D57" s="11" t="s">
        <v>26</v>
      </c>
      <c r="E57" s="11" t="s">
        <v>12</v>
      </c>
      <c r="F57" s="11" t="s">
        <v>27</v>
      </c>
      <c r="G57" s="11" t="s">
        <v>26</v>
      </c>
      <c r="H57" s="11" t="s">
        <v>27</v>
      </c>
      <c r="I57" s="11" t="s">
        <v>26</v>
      </c>
      <c r="J57" s="11" t="s">
        <v>26</v>
      </c>
      <c r="K57" s="11" t="s">
        <v>12</v>
      </c>
      <c r="L57" s="11" t="s">
        <v>12</v>
      </c>
      <c r="M57" s="11" t="s">
        <v>26</v>
      </c>
      <c r="N57" s="11" t="s">
        <v>27</v>
      </c>
      <c r="O57" s="11" t="s">
        <v>26</v>
      </c>
      <c r="P57" s="11" t="s">
        <v>26</v>
      </c>
      <c r="Q57" s="11" t="s">
        <v>27</v>
      </c>
      <c r="R57" s="11" t="s">
        <v>12</v>
      </c>
      <c r="S57" s="11" t="s">
        <v>57</v>
      </c>
      <c r="T57" s="11" t="s">
        <v>27</v>
      </c>
      <c r="U57" s="11" t="s">
        <v>26</v>
      </c>
      <c r="V57" s="11" t="s">
        <v>57</v>
      </c>
      <c r="W57" s="11" t="s">
        <v>12</v>
      </c>
      <c r="X57" s="11" t="s">
        <v>27</v>
      </c>
      <c r="Y57" s="11" t="s">
        <v>12</v>
      </c>
      <c r="Z57" s="11" t="s">
        <v>12</v>
      </c>
      <c r="AA57" s="11" t="s">
        <v>26</v>
      </c>
      <c r="AB57" s="11" t="s">
        <v>26</v>
      </c>
      <c r="AC57" s="11" t="s">
        <v>12</v>
      </c>
      <c r="AD57" s="11" t="s">
        <v>12</v>
      </c>
      <c r="AE57" s="11" t="s">
        <v>26</v>
      </c>
      <c r="AF57" s="11" t="s">
        <v>27</v>
      </c>
      <c r="AG57" s="11" t="s">
        <v>57</v>
      </c>
      <c r="AH57" s="11" t="s">
        <v>57</v>
      </c>
      <c r="AI57" s="11" t="s">
        <v>12</v>
      </c>
      <c r="AJ57" s="11" t="s">
        <v>26</v>
      </c>
      <c r="AK57" s="11" t="s">
        <v>26</v>
      </c>
      <c r="AL57" s="11" t="s">
        <v>12</v>
      </c>
      <c r="AM57" s="11" t="s">
        <v>26</v>
      </c>
      <c r="AN57" s="11" t="s">
        <v>27</v>
      </c>
      <c r="AO57" s="11" t="s">
        <v>12</v>
      </c>
      <c r="AP57" s="11" t="s">
        <v>27</v>
      </c>
      <c r="AQ57" s="11" t="s">
        <v>12</v>
      </c>
      <c r="AR57" s="11" t="s">
        <v>12</v>
      </c>
      <c r="AS57" s="11" t="s">
        <v>26</v>
      </c>
      <c r="AT57" s="11" t="s">
        <v>57</v>
      </c>
      <c r="AU57" s="11" t="s">
        <v>12</v>
      </c>
      <c r="AV57" s="11" t="s">
        <v>27</v>
      </c>
      <c r="AW57" s="11" t="s">
        <v>27</v>
      </c>
      <c r="AX57" s="11" t="s">
        <v>12</v>
      </c>
      <c r="AY57" s="11" t="s">
        <v>26</v>
      </c>
      <c r="AZ57" s="11">
        <v>2850</v>
      </c>
    </row>
    <row r="58" spans="1:52" x14ac:dyDescent="0.3">
      <c r="A58" s="11">
        <v>2851</v>
      </c>
      <c r="B58" s="11" t="s">
        <v>26</v>
      </c>
      <c r="C58" s="11" t="s">
        <v>27</v>
      </c>
      <c r="D58" s="11" t="s">
        <v>26</v>
      </c>
      <c r="E58" s="11" t="s">
        <v>57</v>
      </c>
      <c r="F58" s="11" t="s">
        <v>12</v>
      </c>
      <c r="G58" s="11" t="s">
        <v>12</v>
      </c>
      <c r="H58" s="11" t="s">
        <v>26</v>
      </c>
      <c r="I58" s="11" t="s">
        <v>27</v>
      </c>
      <c r="J58" s="11" t="s">
        <v>27</v>
      </c>
      <c r="K58" s="11" t="s">
        <v>26</v>
      </c>
      <c r="L58" s="11" t="s">
        <v>12</v>
      </c>
      <c r="M58" s="11" t="s">
        <v>26</v>
      </c>
      <c r="N58" s="11" t="s">
        <v>27</v>
      </c>
      <c r="O58" s="11" t="s">
        <v>12</v>
      </c>
      <c r="P58" s="11" t="s">
        <v>12</v>
      </c>
      <c r="Q58" s="11" t="s">
        <v>57</v>
      </c>
      <c r="R58" s="11" t="s">
        <v>27</v>
      </c>
      <c r="S58" s="11" t="s">
        <v>26</v>
      </c>
      <c r="T58" s="11" t="s">
        <v>27</v>
      </c>
      <c r="U58" s="11" t="s">
        <v>12</v>
      </c>
      <c r="V58" s="11" t="s">
        <v>26</v>
      </c>
      <c r="W58" s="11" t="s">
        <v>27</v>
      </c>
      <c r="X58" s="11" t="s">
        <v>12</v>
      </c>
      <c r="Y58" s="11" t="s">
        <v>26</v>
      </c>
      <c r="Z58" s="11" t="s">
        <v>12</v>
      </c>
      <c r="AA58" s="11" t="s">
        <v>26</v>
      </c>
      <c r="AB58" s="11" t="s">
        <v>27</v>
      </c>
      <c r="AC58" s="11" t="s">
        <v>12</v>
      </c>
      <c r="AD58" s="11" t="s">
        <v>26</v>
      </c>
      <c r="AE58" s="11" t="s">
        <v>26</v>
      </c>
      <c r="AF58" s="11" t="s">
        <v>27</v>
      </c>
      <c r="AG58" s="11" t="s">
        <v>12</v>
      </c>
      <c r="AH58" s="11" t="s">
        <v>27</v>
      </c>
      <c r="AI58" s="11" t="s">
        <v>12</v>
      </c>
      <c r="AJ58" s="11" t="s">
        <v>12</v>
      </c>
      <c r="AK58" s="11" t="s">
        <v>12</v>
      </c>
      <c r="AL58" s="11" t="s">
        <v>57</v>
      </c>
      <c r="AM58" s="11" t="s">
        <v>27</v>
      </c>
      <c r="AN58" s="11" t="s">
        <v>27</v>
      </c>
      <c r="AO58" s="11" t="s">
        <v>27</v>
      </c>
      <c r="AP58" s="11" t="s">
        <v>26</v>
      </c>
      <c r="AQ58" s="11" t="s">
        <v>26</v>
      </c>
      <c r="AR58" s="11" t="s">
        <v>26</v>
      </c>
      <c r="AS58" s="11" t="s">
        <v>27</v>
      </c>
      <c r="AT58" s="11" t="s">
        <v>12</v>
      </c>
      <c r="AU58" s="11" t="s">
        <v>57</v>
      </c>
      <c r="AV58" s="11" t="s">
        <v>27</v>
      </c>
      <c r="AW58" s="11" t="s">
        <v>12</v>
      </c>
      <c r="AX58" s="11" t="s">
        <v>26</v>
      </c>
      <c r="AY58" s="11" t="s">
        <v>27</v>
      </c>
      <c r="AZ58" s="11">
        <v>2900</v>
      </c>
    </row>
    <row r="59" spans="1:52" x14ac:dyDescent="0.3">
      <c r="A59" s="11">
        <v>2901</v>
      </c>
      <c r="B59" s="11" t="s">
        <v>27</v>
      </c>
      <c r="C59" s="11" t="s">
        <v>26</v>
      </c>
      <c r="D59" s="11" t="s">
        <v>12</v>
      </c>
      <c r="E59" s="11" t="s">
        <v>27</v>
      </c>
      <c r="F59" s="11" t="s">
        <v>57</v>
      </c>
      <c r="G59" s="11" t="s">
        <v>27</v>
      </c>
      <c r="H59" s="11" t="s">
        <v>27</v>
      </c>
      <c r="I59" s="11" t="s">
        <v>57</v>
      </c>
      <c r="J59" s="11" t="s">
        <v>12</v>
      </c>
      <c r="K59" s="11" t="s">
        <v>26</v>
      </c>
      <c r="L59" s="11" t="s">
        <v>26</v>
      </c>
      <c r="M59" s="11" t="s">
        <v>12</v>
      </c>
      <c r="N59" s="11" t="s">
        <v>12</v>
      </c>
      <c r="O59" s="11" t="s">
        <v>26</v>
      </c>
      <c r="P59" s="11" t="s">
        <v>27</v>
      </c>
      <c r="Q59" s="11" t="s">
        <v>26</v>
      </c>
      <c r="R59" s="11" t="s">
        <v>26</v>
      </c>
      <c r="S59" s="11" t="s">
        <v>57</v>
      </c>
      <c r="T59" s="11" t="s">
        <v>27</v>
      </c>
      <c r="U59" s="11" t="s">
        <v>12</v>
      </c>
      <c r="V59" s="11" t="s">
        <v>12</v>
      </c>
      <c r="W59" s="11" t="s">
        <v>12</v>
      </c>
      <c r="X59" s="11" t="s">
        <v>26</v>
      </c>
      <c r="Y59" s="11" t="s">
        <v>27</v>
      </c>
      <c r="Z59" s="11" t="s">
        <v>27</v>
      </c>
      <c r="AA59" s="11" t="s">
        <v>12</v>
      </c>
      <c r="AB59" s="11" t="s">
        <v>26</v>
      </c>
      <c r="AC59" s="11" t="s">
        <v>12</v>
      </c>
      <c r="AD59" s="11" t="s">
        <v>57</v>
      </c>
      <c r="AE59" s="11" t="s">
        <v>27</v>
      </c>
      <c r="AF59" s="11" t="s">
        <v>26</v>
      </c>
      <c r="AG59" s="11" t="s">
        <v>26</v>
      </c>
      <c r="AH59" s="11" t="s">
        <v>12</v>
      </c>
      <c r="AI59" s="11" t="s">
        <v>26</v>
      </c>
      <c r="AJ59" s="11" t="s">
        <v>12</v>
      </c>
      <c r="AK59" s="11" t="s">
        <v>12</v>
      </c>
      <c r="AL59" s="11" t="s">
        <v>12</v>
      </c>
      <c r="AM59" s="11" t="s">
        <v>57</v>
      </c>
      <c r="AN59" s="11" t="s">
        <v>27</v>
      </c>
      <c r="AO59" s="11" t="s">
        <v>27</v>
      </c>
      <c r="AP59" s="11" t="s">
        <v>57</v>
      </c>
      <c r="AQ59" s="11" t="s">
        <v>12</v>
      </c>
      <c r="AR59" s="11" t="s">
        <v>26</v>
      </c>
      <c r="AS59" s="11" t="s">
        <v>26</v>
      </c>
      <c r="AT59" s="11" t="s">
        <v>27</v>
      </c>
      <c r="AU59" s="11" t="s">
        <v>12</v>
      </c>
      <c r="AV59" s="11" t="s">
        <v>26</v>
      </c>
      <c r="AW59" s="11" t="s">
        <v>27</v>
      </c>
      <c r="AX59" s="11" t="s">
        <v>12</v>
      </c>
      <c r="AY59" s="11" t="s">
        <v>57</v>
      </c>
      <c r="AZ59" s="11">
        <v>2950</v>
      </c>
    </row>
    <row r="60" spans="1:52" x14ac:dyDescent="0.3">
      <c r="A60" s="11">
        <v>2951</v>
      </c>
      <c r="B60" s="11" t="s">
        <v>27</v>
      </c>
      <c r="C60" s="11" t="s">
        <v>57</v>
      </c>
      <c r="D60" s="11" t="s">
        <v>12</v>
      </c>
      <c r="E60" s="11" t="s">
        <v>12</v>
      </c>
      <c r="F60" s="11" t="s">
        <v>57</v>
      </c>
      <c r="G60" s="11" t="s">
        <v>12</v>
      </c>
      <c r="H60" s="11" t="s">
        <v>12</v>
      </c>
      <c r="I60" s="11" t="s">
        <v>26</v>
      </c>
      <c r="J60" s="11" t="s">
        <v>26</v>
      </c>
      <c r="K60" s="11" t="s">
        <v>12</v>
      </c>
      <c r="L60" s="11" t="s">
        <v>57</v>
      </c>
      <c r="M60" s="11" t="s">
        <v>57</v>
      </c>
      <c r="N60" s="11" t="s">
        <v>12</v>
      </c>
      <c r="O60" s="11" t="s">
        <v>27</v>
      </c>
      <c r="P60" s="11" t="s">
        <v>27</v>
      </c>
      <c r="Q60" s="11" t="s">
        <v>12</v>
      </c>
      <c r="R60" s="11" t="s">
        <v>27</v>
      </c>
      <c r="S60" s="11" t="s">
        <v>12</v>
      </c>
      <c r="T60" s="11" t="s">
        <v>12</v>
      </c>
      <c r="U60" s="11" t="s">
        <v>26</v>
      </c>
      <c r="V60" s="11" t="s">
        <v>57</v>
      </c>
      <c r="W60" s="11" t="s">
        <v>12</v>
      </c>
      <c r="X60" s="11" t="s">
        <v>26</v>
      </c>
      <c r="Y60" s="11" t="s">
        <v>27</v>
      </c>
      <c r="Z60" s="11" t="s">
        <v>12</v>
      </c>
      <c r="AA60" s="11" t="s">
        <v>57</v>
      </c>
      <c r="AB60" s="11" t="s">
        <v>12</v>
      </c>
      <c r="AC60" s="11" t="s">
        <v>57</v>
      </c>
      <c r="AD60" s="11" t="s">
        <v>27</v>
      </c>
      <c r="AE60" s="11" t="s">
        <v>57</v>
      </c>
      <c r="AF60" s="11" t="s">
        <v>27</v>
      </c>
      <c r="AG60" s="11" t="s">
        <v>12</v>
      </c>
      <c r="AH60" s="11" t="s">
        <v>57</v>
      </c>
      <c r="AI60" s="11" t="s">
        <v>27</v>
      </c>
      <c r="AJ60" s="11" t="s">
        <v>26</v>
      </c>
      <c r="AK60" s="11" t="s">
        <v>26</v>
      </c>
      <c r="AL60" s="11" t="s">
        <v>12</v>
      </c>
      <c r="AM60" s="11" t="s">
        <v>27</v>
      </c>
      <c r="AN60" s="11" t="s">
        <v>26</v>
      </c>
      <c r="AO60" s="11" t="s">
        <v>57</v>
      </c>
      <c r="AP60" s="11" t="s">
        <v>26</v>
      </c>
      <c r="AQ60" s="11" t="s">
        <v>57</v>
      </c>
      <c r="AR60" s="11" t="s">
        <v>12</v>
      </c>
      <c r="AS60" s="11" t="s">
        <v>12</v>
      </c>
      <c r="AT60" s="11" t="s">
        <v>57</v>
      </c>
      <c r="AU60" s="11" t="s">
        <v>27</v>
      </c>
      <c r="AV60" s="11" t="s">
        <v>26</v>
      </c>
      <c r="AW60" s="11" t="s">
        <v>27</v>
      </c>
      <c r="AX60" s="11" t="s">
        <v>12</v>
      </c>
      <c r="AY60" s="11" t="s">
        <v>26</v>
      </c>
      <c r="AZ60" s="11">
        <v>3000</v>
      </c>
    </row>
    <row r="61" spans="1:52" x14ac:dyDescent="0.3">
      <c r="A61" s="11">
        <v>3001</v>
      </c>
      <c r="B61" s="11" t="s">
        <v>27</v>
      </c>
      <c r="C61" s="11" t="s">
        <v>26</v>
      </c>
      <c r="D61" s="11" t="s">
        <v>12</v>
      </c>
      <c r="E61" s="11" t="s">
        <v>57</v>
      </c>
      <c r="F61" s="11" t="s">
        <v>27</v>
      </c>
      <c r="G61" s="11" t="s">
        <v>27</v>
      </c>
      <c r="H61" s="11" t="s">
        <v>26</v>
      </c>
      <c r="I61" s="11" t="s">
        <v>12</v>
      </c>
      <c r="J61" s="11" t="s">
        <v>12</v>
      </c>
      <c r="K61" s="11" t="s">
        <v>12</v>
      </c>
      <c r="L61" s="11" t="s">
        <v>57</v>
      </c>
      <c r="M61" s="11" t="s">
        <v>12</v>
      </c>
      <c r="N61" s="11" t="s">
        <v>12</v>
      </c>
      <c r="O61" s="11" t="s">
        <v>57</v>
      </c>
      <c r="P61" s="11" t="s">
        <v>27</v>
      </c>
      <c r="Q61" s="11" t="s">
        <v>26</v>
      </c>
      <c r="R61" s="11" t="s">
        <v>27</v>
      </c>
      <c r="S61" s="11" t="s">
        <v>27</v>
      </c>
      <c r="T61" s="11" t="s">
        <v>12</v>
      </c>
      <c r="U61" s="11" t="s">
        <v>12</v>
      </c>
      <c r="V61" s="11" t="s">
        <v>27</v>
      </c>
      <c r="W61" s="11" t="s">
        <v>26</v>
      </c>
      <c r="X61" s="11" t="s">
        <v>27</v>
      </c>
      <c r="Y61" s="11" t="s">
        <v>27</v>
      </c>
      <c r="Z61" s="11" t="s">
        <v>57</v>
      </c>
      <c r="AA61" s="11" t="s">
        <v>27</v>
      </c>
      <c r="AB61" s="11" t="s">
        <v>12</v>
      </c>
      <c r="AC61" s="11" t="s">
        <v>26</v>
      </c>
      <c r="AD61" s="11" t="s">
        <v>27</v>
      </c>
      <c r="AE61" s="11" t="s">
        <v>26</v>
      </c>
      <c r="AF61" s="11" t="s">
        <v>57</v>
      </c>
      <c r="AG61" s="11" t="s">
        <v>12</v>
      </c>
      <c r="AH61" s="11" t="s">
        <v>27</v>
      </c>
      <c r="AI61" s="11" t="s">
        <v>26</v>
      </c>
      <c r="AJ61" s="11" t="s">
        <v>12</v>
      </c>
      <c r="AK61" s="11" t="s">
        <v>26</v>
      </c>
      <c r="AL61" s="11" t="s">
        <v>27</v>
      </c>
      <c r="AM61" s="11" t="s">
        <v>26</v>
      </c>
      <c r="AN61" s="11" t="s">
        <v>12</v>
      </c>
      <c r="AO61" s="11" t="s">
        <v>57</v>
      </c>
      <c r="AP61" s="11" t="s">
        <v>27</v>
      </c>
      <c r="AQ61" s="11" t="s">
        <v>26</v>
      </c>
      <c r="AR61" s="11" t="s">
        <v>57</v>
      </c>
      <c r="AS61" s="11" t="s">
        <v>12</v>
      </c>
      <c r="AT61" s="11" t="s">
        <v>26</v>
      </c>
      <c r="AU61" s="11" t="s">
        <v>12</v>
      </c>
      <c r="AV61" s="11" t="s">
        <v>26</v>
      </c>
      <c r="AW61" s="11" t="s">
        <v>27</v>
      </c>
      <c r="AX61" s="11" t="s">
        <v>27</v>
      </c>
      <c r="AY61" s="11" t="s">
        <v>12</v>
      </c>
      <c r="AZ61" s="11">
        <v>3050</v>
      </c>
    </row>
    <row r="62" spans="1:52" x14ac:dyDescent="0.3">
      <c r="A62" s="11">
        <v>3051</v>
      </c>
      <c r="B62" s="11" t="s">
        <v>26</v>
      </c>
      <c r="C62" s="11" t="s">
        <v>27</v>
      </c>
      <c r="D62" s="11" t="s">
        <v>26</v>
      </c>
      <c r="E62" s="11" t="s">
        <v>12</v>
      </c>
      <c r="F62" s="11" t="s">
        <v>57</v>
      </c>
      <c r="G62" s="11" t="s">
        <v>27</v>
      </c>
      <c r="H62" s="11" t="s">
        <v>12</v>
      </c>
      <c r="I62" s="11" t="s">
        <v>26</v>
      </c>
      <c r="J62" s="11" t="s">
        <v>27</v>
      </c>
      <c r="K62" s="11" t="s">
        <v>26</v>
      </c>
      <c r="L62" s="11" t="s">
        <v>27</v>
      </c>
      <c r="M62" s="11" t="s">
        <v>12</v>
      </c>
      <c r="N62" s="11" t="s">
        <v>12</v>
      </c>
      <c r="O62" s="11" t="s">
        <v>57</v>
      </c>
      <c r="P62" s="11" t="s">
        <v>12</v>
      </c>
      <c r="Q62" s="11" t="s">
        <v>12</v>
      </c>
      <c r="R62" s="11" t="s">
        <v>26</v>
      </c>
      <c r="S62" s="11" t="s">
        <v>27</v>
      </c>
      <c r="T62" s="11" t="s">
        <v>26</v>
      </c>
      <c r="U62" s="11" t="s">
        <v>12</v>
      </c>
      <c r="V62" s="11" t="s">
        <v>26</v>
      </c>
      <c r="W62" s="11" t="s">
        <v>57</v>
      </c>
      <c r="X62" s="11" t="s">
        <v>26</v>
      </c>
      <c r="Y62" s="11" t="s">
        <v>12</v>
      </c>
      <c r="Z62" s="11" t="s">
        <v>27</v>
      </c>
      <c r="AA62" s="11" t="s">
        <v>57</v>
      </c>
      <c r="AB62" s="11" t="s">
        <v>27</v>
      </c>
      <c r="AC62" s="11" t="s">
        <v>26</v>
      </c>
      <c r="AD62" s="11" t="s">
        <v>12</v>
      </c>
      <c r="AE62" s="11" t="s">
        <v>12</v>
      </c>
      <c r="AF62" s="11" t="s">
        <v>12</v>
      </c>
      <c r="AG62" s="11" t="s">
        <v>26</v>
      </c>
      <c r="AH62" s="11" t="s">
        <v>27</v>
      </c>
      <c r="AI62" s="11" t="s">
        <v>12</v>
      </c>
      <c r="AJ62" s="11" t="s">
        <v>26</v>
      </c>
      <c r="AK62" s="11" t="s">
        <v>27</v>
      </c>
      <c r="AL62" s="11" t="s">
        <v>12</v>
      </c>
      <c r="AM62" s="11" t="s">
        <v>57</v>
      </c>
      <c r="AN62" s="11" t="s">
        <v>27</v>
      </c>
      <c r="AO62" s="11" t="s">
        <v>26</v>
      </c>
      <c r="AP62" s="11" t="s">
        <v>57</v>
      </c>
      <c r="AQ62" s="11" t="s">
        <v>12</v>
      </c>
      <c r="AR62" s="11" t="s">
        <v>26</v>
      </c>
      <c r="AS62" s="11" t="s">
        <v>27</v>
      </c>
      <c r="AT62" s="11" t="s">
        <v>26</v>
      </c>
      <c r="AU62" s="11" t="s">
        <v>27</v>
      </c>
      <c r="AV62" s="11" t="s">
        <v>12</v>
      </c>
      <c r="AW62" s="11" t="s">
        <v>12</v>
      </c>
      <c r="AX62" s="11" t="s">
        <v>27</v>
      </c>
      <c r="AY62" s="11" t="s">
        <v>12</v>
      </c>
      <c r="AZ62" s="11">
        <v>3100</v>
      </c>
    </row>
    <row r="63" spans="1:52" x14ac:dyDescent="0.3">
      <c r="A63" s="11">
        <v>3101</v>
      </c>
      <c r="B63" s="11" t="s">
        <v>12</v>
      </c>
      <c r="C63" s="11" t="s">
        <v>27</v>
      </c>
      <c r="D63" s="11" t="s">
        <v>26</v>
      </c>
      <c r="E63" s="11" t="s">
        <v>27</v>
      </c>
      <c r="F63" s="11" t="s">
        <v>26</v>
      </c>
      <c r="G63" s="11" t="s">
        <v>57</v>
      </c>
      <c r="H63" s="11" t="s">
        <v>57</v>
      </c>
      <c r="I63" s="11" t="s">
        <v>26</v>
      </c>
      <c r="J63" s="11" t="s">
        <v>27</v>
      </c>
      <c r="K63" s="11" t="s">
        <v>26</v>
      </c>
      <c r="L63" s="11" t="s">
        <v>27</v>
      </c>
      <c r="M63" s="11" t="s">
        <v>12</v>
      </c>
      <c r="N63" s="11" t="s">
        <v>12</v>
      </c>
      <c r="O63" s="11" t="s">
        <v>57</v>
      </c>
      <c r="P63" s="11" t="s">
        <v>12</v>
      </c>
      <c r="Q63" s="11" t="s">
        <v>57</v>
      </c>
      <c r="R63" s="11" t="s">
        <v>27</v>
      </c>
      <c r="S63" s="11" t="s">
        <v>12</v>
      </c>
      <c r="T63" s="11" t="s">
        <v>12</v>
      </c>
      <c r="U63" s="11" t="s">
        <v>26</v>
      </c>
      <c r="V63" s="11" t="s">
        <v>26</v>
      </c>
      <c r="W63" s="11" t="s">
        <v>57</v>
      </c>
      <c r="X63" s="11" t="s">
        <v>12</v>
      </c>
      <c r="Y63" s="11" t="s">
        <v>57</v>
      </c>
      <c r="Z63" s="11" t="s">
        <v>27</v>
      </c>
      <c r="AA63" s="11" t="s">
        <v>27</v>
      </c>
      <c r="AB63" s="11" t="s">
        <v>12</v>
      </c>
      <c r="AC63" s="11" t="s">
        <v>12</v>
      </c>
      <c r="AD63" s="11" t="s">
        <v>27</v>
      </c>
      <c r="AE63" s="11" t="s">
        <v>12</v>
      </c>
      <c r="AF63" s="11" t="s">
        <v>12</v>
      </c>
      <c r="AG63" s="11" t="s">
        <v>26</v>
      </c>
      <c r="AH63" s="11" t="s">
        <v>12</v>
      </c>
      <c r="AI63" s="11" t="s">
        <v>12</v>
      </c>
      <c r="AJ63" s="11" t="s">
        <v>26</v>
      </c>
      <c r="AK63" s="11" t="s">
        <v>26</v>
      </c>
      <c r="AL63" s="11" t="s">
        <v>27</v>
      </c>
      <c r="AM63" s="11" t="s">
        <v>26</v>
      </c>
      <c r="AN63" s="11" t="s">
        <v>57</v>
      </c>
      <c r="AO63" s="11" t="s">
        <v>27</v>
      </c>
      <c r="AP63" s="11" t="s">
        <v>57</v>
      </c>
      <c r="AQ63" s="11" t="s">
        <v>12</v>
      </c>
      <c r="AR63" s="11" t="s">
        <v>57</v>
      </c>
      <c r="AS63" s="11" t="s">
        <v>27</v>
      </c>
      <c r="AT63" s="11" t="s">
        <v>26</v>
      </c>
      <c r="AU63" s="11" t="s">
        <v>27</v>
      </c>
      <c r="AV63" s="11" t="s">
        <v>57</v>
      </c>
      <c r="AW63" s="11" t="s">
        <v>27</v>
      </c>
      <c r="AX63" s="11" t="s">
        <v>57</v>
      </c>
      <c r="AY63" s="11" t="s">
        <v>27</v>
      </c>
      <c r="AZ63" s="11">
        <v>3150</v>
      </c>
    </row>
    <row r="64" spans="1:52" x14ac:dyDescent="0.3">
      <c r="A64" s="11">
        <v>3151</v>
      </c>
      <c r="B64" s="11" t="s">
        <v>57</v>
      </c>
      <c r="C64" s="11" t="s">
        <v>27</v>
      </c>
      <c r="D64" s="11" t="s">
        <v>12</v>
      </c>
      <c r="E64" s="11" t="s">
        <v>57</v>
      </c>
      <c r="F64" s="11" t="s">
        <v>27</v>
      </c>
      <c r="G64" s="11" t="s">
        <v>27</v>
      </c>
      <c r="H64" s="11" t="s">
        <v>27</v>
      </c>
      <c r="I64" s="11" t="s">
        <v>12</v>
      </c>
      <c r="J64" s="11" t="s">
        <v>12</v>
      </c>
      <c r="K64" s="11" t="s">
        <v>26</v>
      </c>
      <c r="L64" s="11" t="s">
        <v>27</v>
      </c>
      <c r="M64" s="11" t="s">
        <v>26</v>
      </c>
      <c r="N64" s="11" t="s">
        <v>27</v>
      </c>
      <c r="O64" s="11" t="s">
        <v>12</v>
      </c>
      <c r="P64" s="11" t="s">
        <v>26</v>
      </c>
      <c r="Q64" s="11" t="s">
        <v>26</v>
      </c>
      <c r="R64" s="11" t="s">
        <v>27</v>
      </c>
      <c r="S64" s="11" t="s">
        <v>26</v>
      </c>
      <c r="T64" s="11" t="s">
        <v>27</v>
      </c>
      <c r="U64" s="11" t="s">
        <v>26</v>
      </c>
      <c r="V64" s="11" t="s">
        <v>27</v>
      </c>
      <c r="W64" s="11" t="s">
        <v>57</v>
      </c>
      <c r="X64" s="11" t="s">
        <v>27</v>
      </c>
      <c r="Y64" s="11" t="s">
        <v>27</v>
      </c>
      <c r="Z64" s="11" t="s">
        <v>26</v>
      </c>
      <c r="AA64" s="11" t="s">
        <v>12</v>
      </c>
      <c r="AB64" s="11" t="s">
        <v>57</v>
      </c>
      <c r="AC64" s="11" t="s">
        <v>57</v>
      </c>
      <c r="AD64" s="11" t="s">
        <v>57</v>
      </c>
      <c r="AE64" s="11" t="s">
        <v>57</v>
      </c>
      <c r="AF64" s="11" t="s">
        <v>27</v>
      </c>
      <c r="AG64" s="11" t="s">
        <v>12</v>
      </c>
      <c r="AH64" s="11" t="s">
        <v>27</v>
      </c>
      <c r="AI64" s="11" t="s">
        <v>27</v>
      </c>
      <c r="AJ64" s="11" t="s">
        <v>12</v>
      </c>
      <c r="AK64" s="11" t="s">
        <v>26</v>
      </c>
      <c r="AL64" s="11" t="s">
        <v>26</v>
      </c>
      <c r="AM64" s="11" t="s">
        <v>27</v>
      </c>
      <c r="AN64" s="11" t="s">
        <v>27</v>
      </c>
      <c r="AO64" s="11" t="s">
        <v>27</v>
      </c>
      <c r="AP64" s="11" t="s">
        <v>12</v>
      </c>
      <c r="AQ64" s="11" t="s">
        <v>57</v>
      </c>
      <c r="AR64" s="11" t="s">
        <v>26</v>
      </c>
      <c r="AS64" s="11" t="s">
        <v>12</v>
      </c>
      <c r="AT64" s="11" t="s">
        <v>12</v>
      </c>
      <c r="AU64" s="11" t="s">
        <v>26</v>
      </c>
      <c r="AV64" s="11" t="s">
        <v>12</v>
      </c>
      <c r="AW64" s="11" t="s">
        <v>12</v>
      </c>
      <c r="AX64" s="11" t="s">
        <v>57</v>
      </c>
      <c r="AY64" s="11" t="s">
        <v>27</v>
      </c>
      <c r="AZ64" s="11">
        <v>3200</v>
      </c>
    </row>
    <row r="65" spans="1:52" x14ac:dyDescent="0.3">
      <c r="A65" s="11">
        <v>3201</v>
      </c>
      <c r="B65" s="11" t="s">
        <v>26</v>
      </c>
      <c r="C65" s="11" t="s">
        <v>57</v>
      </c>
      <c r="D65" s="11" t="s">
        <v>27</v>
      </c>
      <c r="E65" s="11" t="s">
        <v>26</v>
      </c>
      <c r="F65" s="11" t="s">
        <v>27</v>
      </c>
      <c r="G65" s="11" t="s">
        <v>12</v>
      </c>
      <c r="H65" s="11" t="s">
        <v>57</v>
      </c>
      <c r="I65" s="11" t="s">
        <v>57</v>
      </c>
      <c r="J65" s="11" t="s">
        <v>12</v>
      </c>
      <c r="K65" s="11" t="s">
        <v>12</v>
      </c>
      <c r="L65" s="11" t="s">
        <v>12</v>
      </c>
      <c r="M65" s="11" t="s">
        <v>57</v>
      </c>
      <c r="N65" s="11" t="s">
        <v>12</v>
      </c>
      <c r="O65" s="11" t="s">
        <v>26</v>
      </c>
      <c r="P65" s="11" t="s">
        <v>27</v>
      </c>
      <c r="Q65" s="11" t="s">
        <v>57</v>
      </c>
      <c r="R65" s="11" t="s">
        <v>12</v>
      </c>
      <c r="S65" s="11" t="s">
        <v>57</v>
      </c>
      <c r="T65" s="11" t="s">
        <v>27</v>
      </c>
      <c r="U65" s="11" t="s">
        <v>12</v>
      </c>
      <c r="V65" s="11" t="s">
        <v>12</v>
      </c>
      <c r="W65" s="11" t="s">
        <v>12</v>
      </c>
      <c r="X65" s="11" t="s">
        <v>12</v>
      </c>
      <c r="Y65" s="11" t="s">
        <v>57</v>
      </c>
      <c r="Z65" s="11" t="s">
        <v>12</v>
      </c>
      <c r="AA65" s="11" t="s">
        <v>26</v>
      </c>
      <c r="AB65" s="11" t="s">
        <v>12</v>
      </c>
      <c r="AC65" s="11" t="s">
        <v>27</v>
      </c>
      <c r="AD65" s="11" t="s">
        <v>27</v>
      </c>
      <c r="AE65" s="11" t="s">
        <v>12</v>
      </c>
      <c r="AF65" s="11" t="s">
        <v>27</v>
      </c>
      <c r="AG65" s="11" t="s">
        <v>57</v>
      </c>
      <c r="AH65" s="11" t="s">
        <v>27</v>
      </c>
      <c r="AI65" s="11" t="s">
        <v>27</v>
      </c>
      <c r="AJ65" s="11" t="s">
        <v>57</v>
      </c>
      <c r="AK65" s="11" t="s">
        <v>27</v>
      </c>
      <c r="AL65" s="11" t="s">
        <v>57</v>
      </c>
      <c r="AM65" s="11" t="s">
        <v>57</v>
      </c>
      <c r="AN65" s="11" t="s">
        <v>57</v>
      </c>
      <c r="AO65" s="11" t="s">
        <v>12</v>
      </c>
      <c r="AP65" s="11" t="s">
        <v>57</v>
      </c>
      <c r="AQ65" s="11" t="s">
        <v>27</v>
      </c>
      <c r="AR65" s="11" t="s">
        <v>12</v>
      </c>
      <c r="AS65" s="11" t="s">
        <v>26</v>
      </c>
      <c r="AT65" s="11" t="s">
        <v>12</v>
      </c>
      <c r="AU65" s="11" t="s">
        <v>27</v>
      </c>
      <c r="AV65" s="11" t="s">
        <v>57</v>
      </c>
      <c r="AW65" s="11" t="s">
        <v>27</v>
      </c>
      <c r="AX65" s="11" t="s">
        <v>26</v>
      </c>
      <c r="AY65" s="11" t="s">
        <v>12</v>
      </c>
      <c r="AZ65" s="11">
        <v>3250</v>
      </c>
    </row>
    <row r="66" spans="1:52" x14ac:dyDescent="0.3">
      <c r="A66" s="11">
        <v>3251</v>
      </c>
      <c r="B66" s="11" t="s">
        <v>26</v>
      </c>
      <c r="C66" s="11" t="s">
        <v>57</v>
      </c>
      <c r="D66" s="11" t="s">
        <v>26</v>
      </c>
      <c r="E66" s="11" t="s">
        <v>57</v>
      </c>
      <c r="F66" s="11" t="s">
        <v>27</v>
      </c>
      <c r="G66" s="11" t="s">
        <v>57</v>
      </c>
      <c r="H66" s="11" t="s">
        <v>27</v>
      </c>
      <c r="I66" s="11" t="s">
        <v>12</v>
      </c>
      <c r="J66" s="11" t="s">
        <v>12</v>
      </c>
      <c r="K66" s="11" t="s">
        <v>12</v>
      </c>
      <c r="L66" s="11" t="s">
        <v>27</v>
      </c>
      <c r="M66" s="11" t="s">
        <v>12</v>
      </c>
      <c r="N66" s="11" t="s">
        <v>57</v>
      </c>
      <c r="O66" s="11" t="s">
        <v>12</v>
      </c>
      <c r="P66" s="11" t="s">
        <v>26</v>
      </c>
      <c r="Q66" s="11" t="s">
        <v>26</v>
      </c>
      <c r="R66" s="11" t="s">
        <v>27</v>
      </c>
      <c r="S66" s="11" t="s">
        <v>26</v>
      </c>
      <c r="T66" s="11" t="s">
        <v>27</v>
      </c>
      <c r="U66" s="11" t="s">
        <v>26</v>
      </c>
      <c r="V66" s="11" t="s">
        <v>26</v>
      </c>
      <c r="W66" s="11" t="s">
        <v>27</v>
      </c>
      <c r="X66" s="11" t="s">
        <v>26</v>
      </c>
      <c r="Y66" s="11" t="s">
        <v>26</v>
      </c>
      <c r="Z66" s="11" t="s">
        <v>57</v>
      </c>
      <c r="AA66" s="11" t="s">
        <v>57</v>
      </c>
      <c r="AB66" s="11" t="s">
        <v>57</v>
      </c>
      <c r="AC66" s="11" t="s">
        <v>12</v>
      </c>
      <c r="AD66" s="11" t="s">
        <v>26</v>
      </c>
      <c r="AE66" s="11" t="s">
        <v>12</v>
      </c>
      <c r="AF66" s="11" t="s">
        <v>12</v>
      </c>
      <c r="AG66" s="11" t="s">
        <v>26</v>
      </c>
      <c r="AH66" s="11" t="s">
        <v>12</v>
      </c>
      <c r="AI66" s="11" t="s">
        <v>12</v>
      </c>
      <c r="AJ66" s="11" t="s">
        <v>27</v>
      </c>
      <c r="AK66" s="11" t="s">
        <v>12</v>
      </c>
      <c r="AL66" s="11" t="s">
        <v>57</v>
      </c>
      <c r="AM66" s="11" t="s">
        <v>12</v>
      </c>
      <c r="AN66" s="11" t="s">
        <v>12</v>
      </c>
      <c r="AO66" s="11" t="s">
        <v>26</v>
      </c>
      <c r="AP66" s="11" t="s">
        <v>27</v>
      </c>
      <c r="AQ66" s="15" t="s">
        <v>12</v>
      </c>
      <c r="AR66" s="15" t="s">
        <v>12</v>
      </c>
      <c r="AS66" s="15" t="s">
        <v>26</v>
      </c>
      <c r="AT66" s="15" t="s">
        <v>57</v>
      </c>
      <c r="AU66" s="15" t="s">
        <v>12</v>
      </c>
      <c r="AV66" s="15" t="s">
        <v>57</v>
      </c>
      <c r="AW66" s="15" t="s">
        <v>27</v>
      </c>
      <c r="AX66" s="11" t="s">
        <v>12</v>
      </c>
      <c r="AY66" s="11" t="s">
        <v>12</v>
      </c>
      <c r="AZ66" s="11">
        <v>3300</v>
      </c>
    </row>
    <row r="67" spans="1:52" x14ac:dyDescent="0.3">
      <c r="A67" s="11">
        <v>3301</v>
      </c>
      <c r="B67" s="11" t="s">
        <v>26</v>
      </c>
      <c r="C67" s="11" t="s">
        <v>12</v>
      </c>
      <c r="D67" s="11" t="s">
        <v>27</v>
      </c>
      <c r="E67" s="11" t="s">
        <v>26</v>
      </c>
      <c r="F67" s="11" t="s">
        <v>12</v>
      </c>
      <c r="G67" s="11" t="s">
        <v>27</v>
      </c>
      <c r="H67" s="11" t="s">
        <v>27</v>
      </c>
      <c r="I67" s="11" t="s">
        <v>12</v>
      </c>
      <c r="J67" s="11" t="s">
        <v>26</v>
      </c>
      <c r="K67" s="11" t="s">
        <v>26</v>
      </c>
      <c r="L67" s="11" t="s">
        <v>26</v>
      </c>
      <c r="M67" s="11" t="s">
        <v>27</v>
      </c>
      <c r="N67" s="11" t="s">
        <v>12</v>
      </c>
      <c r="O67" s="11" t="s">
        <v>12</v>
      </c>
      <c r="P67" s="11" t="s">
        <v>12</v>
      </c>
      <c r="Q67" s="11" t="s">
        <v>26</v>
      </c>
      <c r="R67" s="11" t="s">
        <v>12</v>
      </c>
      <c r="S67" s="11" t="s">
        <v>57</v>
      </c>
      <c r="T67" s="11" t="s">
        <v>57</v>
      </c>
      <c r="U67" s="11" t="s">
        <v>57</v>
      </c>
      <c r="V67" s="11" t="s">
        <v>12</v>
      </c>
      <c r="W67" s="11" t="s">
        <v>12</v>
      </c>
      <c r="X67" s="11" t="s">
        <v>57</v>
      </c>
      <c r="Y67" s="11" t="s">
        <v>26</v>
      </c>
      <c r="Z67" s="11" t="s">
        <v>27</v>
      </c>
      <c r="AA67" s="11" t="s">
        <v>26</v>
      </c>
      <c r="AB67" s="11" t="s">
        <v>27</v>
      </c>
      <c r="AC67" s="11" t="s">
        <v>26</v>
      </c>
      <c r="AD67" s="11" t="s">
        <v>26</v>
      </c>
      <c r="AE67" s="11" t="s">
        <v>27</v>
      </c>
      <c r="AF67" s="11" t="s">
        <v>27</v>
      </c>
      <c r="AG67" s="11" t="s">
        <v>12</v>
      </c>
      <c r="AH67" s="11" t="s">
        <v>27</v>
      </c>
      <c r="AI67" s="11" t="s">
        <v>57</v>
      </c>
      <c r="AJ67" s="11" t="s">
        <v>27</v>
      </c>
      <c r="AK67" s="11" t="s">
        <v>57</v>
      </c>
      <c r="AL67" s="11" t="s">
        <v>57</v>
      </c>
      <c r="AM67" s="11" t="s">
        <v>12</v>
      </c>
      <c r="AN67" s="11" t="s">
        <v>27</v>
      </c>
      <c r="AO67" s="11" t="s">
        <v>57</v>
      </c>
      <c r="AP67" s="11" t="s">
        <v>27</v>
      </c>
      <c r="AQ67" s="11" t="s">
        <v>57</v>
      </c>
      <c r="AR67" s="11" t="s">
        <v>12</v>
      </c>
      <c r="AS67" s="11" t="s">
        <v>12</v>
      </c>
      <c r="AT67" s="11" t="s">
        <v>26</v>
      </c>
      <c r="AU67" s="11" t="s">
        <v>26</v>
      </c>
      <c r="AV67" s="11" t="s">
        <v>12</v>
      </c>
      <c r="AW67" s="11" t="s">
        <v>27</v>
      </c>
      <c r="AX67" s="11" t="s">
        <v>27</v>
      </c>
      <c r="AY67" s="11" t="s">
        <v>12</v>
      </c>
      <c r="AZ67" s="11">
        <v>3350</v>
      </c>
    </row>
    <row r="68" spans="1:52" x14ac:dyDescent="0.3">
      <c r="A68" s="11">
        <v>3351</v>
      </c>
      <c r="B68" s="11" t="s">
        <v>26</v>
      </c>
      <c r="C68" s="11" t="s">
        <v>12</v>
      </c>
      <c r="D68" s="11" t="s">
        <v>12</v>
      </c>
      <c r="E68" s="11" t="s">
        <v>12</v>
      </c>
      <c r="F68" s="11" t="s">
        <v>26</v>
      </c>
      <c r="G68" s="11" t="s">
        <v>57</v>
      </c>
      <c r="H68" s="11" t="s">
        <v>57</v>
      </c>
      <c r="I68" s="11" t="s">
        <v>27</v>
      </c>
      <c r="J68" s="11" t="s">
        <v>27</v>
      </c>
      <c r="K68" s="11" t="s">
        <v>57</v>
      </c>
      <c r="L68" s="11" t="s">
        <v>57</v>
      </c>
      <c r="M68" s="11" t="s">
        <v>12</v>
      </c>
      <c r="N68" s="11" t="s">
        <v>27</v>
      </c>
      <c r="O68" s="11" t="s">
        <v>57</v>
      </c>
      <c r="P68" s="11" t="s">
        <v>27</v>
      </c>
      <c r="Q68" s="11" t="s">
        <v>26</v>
      </c>
      <c r="R68" s="11" t="s">
        <v>12</v>
      </c>
      <c r="S68" s="11" t="s">
        <v>26</v>
      </c>
      <c r="T68" s="11" t="s">
        <v>12</v>
      </c>
      <c r="U68" s="11" t="s">
        <v>26</v>
      </c>
      <c r="V68" s="11" t="s">
        <v>27</v>
      </c>
      <c r="W68" s="11" t="s">
        <v>12</v>
      </c>
      <c r="X68" s="11" t="s">
        <v>27</v>
      </c>
      <c r="Y68" s="11" t="s">
        <v>27</v>
      </c>
      <c r="Z68" s="11" t="s">
        <v>26</v>
      </c>
      <c r="AA68" s="11" t="s">
        <v>26</v>
      </c>
      <c r="AB68" s="11" t="s">
        <v>12</v>
      </c>
      <c r="AC68" s="11" t="s">
        <v>57</v>
      </c>
      <c r="AD68" s="11" t="s">
        <v>57</v>
      </c>
      <c r="AE68" s="11" t="s">
        <v>12</v>
      </c>
      <c r="AF68" s="11" t="s">
        <v>57</v>
      </c>
      <c r="AG68" s="11" t="s">
        <v>26</v>
      </c>
      <c r="AH68" s="11" t="s">
        <v>12</v>
      </c>
      <c r="AI68" s="11" t="s">
        <v>27</v>
      </c>
      <c r="AJ68" s="11" t="s">
        <v>26</v>
      </c>
      <c r="AK68" s="11" t="s">
        <v>27</v>
      </c>
      <c r="AL68" s="11" t="s">
        <v>12</v>
      </c>
      <c r="AM68" s="11" t="s">
        <v>12</v>
      </c>
      <c r="AN68" s="11" t="s">
        <v>12</v>
      </c>
      <c r="AO68" s="11" t="s">
        <v>12</v>
      </c>
      <c r="AP68" s="11" t="s">
        <v>26</v>
      </c>
      <c r="AQ68" s="11" t="s">
        <v>27</v>
      </c>
      <c r="AR68" s="11" t="s">
        <v>26</v>
      </c>
      <c r="AS68" s="11" t="s">
        <v>57</v>
      </c>
      <c r="AT68" s="11" t="s">
        <v>12</v>
      </c>
      <c r="AU68" s="11" t="s">
        <v>26</v>
      </c>
      <c r="AV68" s="11" t="s">
        <v>57</v>
      </c>
      <c r="AW68" s="11" t="s">
        <v>12</v>
      </c>
      <c r="AX68" s="11" t="s">
        <v>26</v>
      </c>
      <c r="AY68" s="11" t="s">
        <v>12</v>
      </c>
      <c r="AZ68" s="11">
        <v>3400</v>
      </c>
    </row>
    <row r="69" spans="1:52" x14ac:dyDescent="0.3">
      <c r="A69" s="11">
        <v>3401</v>
      </c>
      <c r="B69" s="11" t="s">
        <v>12</v>
      </c>
      <c r="C69" s="11" t="s">
        <v>26</v>
      </c>
      <c r="D69" s="11" t="s">
        <v>12</v>
      </c>
      <c r="E69" s="11" t="s">
        <v>12</v>
      </c>
      <c r="F69" s="11" t="s">
        <v>27</v>
      </c>
      <c r="G69" s="11" t="s">
        <v>26</v>
      </c>
      <c r="H69" s="11" t="s">
        <v>12</v>
      </c>
      <c r="I69" s="11" t="s">
        <v>26</v>
      </c>
      <c r="J69" s="11" t="s">
        <v>26</v>
      </c>
      <c r="K69" s="11" t="s">
        <v>12</v>
      </c>
      <c r="L69" s="11" t="s">
        <v>26</v>
      </c>
      <c r="M69" s="11" t="s">
        <v>12</v>
      </c>
      <c r="N69" s="11" t="s">
        <v>12</v>
      </c>
      <c r="O69" s="11" t="s">
        <v>57</v>
      </c>
      <c r="P69" s="11" t="s">
        <v>57</v>
      </c>
      <c r="Q69" s="11" t="s">
        <v>12</v>
      </c>
      <c r="R69" s="11" t="s">
        <v>27</v>
      </c>
      <c r="S69" s="11" t="s">
        <v>57</v>
      </c>
      <c r="T69" s="11" t="s">
        <v>27</v>
      </c>
      <c r="U69" s="11" t="s">
        <v>57</v>
      </c>
      <c r="V69" s="11" t="s">
        <v>12</v>
      </c>
      <c r="W69" s="11" t="s">
        <v>57</v>
      </c>
      <c r="X69" s="11" t="s">
        <v>27</v>
      </c>
      <c r="Y69" s="11" t="s">
        <v>27</v>
      </c>
      <c r="Z69" s="11" t="s">
        <v>12</v>
      </c>
      <c r="AA69" s="11" t="s">
        <v>26</v>
      </c>
      <c r="AB69" s="11" t="s">
        <v>26</v>
      </c>
      <c r="AC69" s="11" t="s">
        <v>12</v>
      </c>
      <c r="AD69" s="11" t="s">
        <v>57</v>
      </c>
      <c r="AE69" s="11" t="s">
        <v>27</v>
      </c>
      <c r="AF69" s="11" t="s">
        <v>12</v>
      </c>
      <c r="AG69" s="11" t="s">
        <v>27</v>
      </c>
      <c r="AH69" s="11" t="s">
        <v>26</v>
      </c>
      <c r="AI69" s="11" t="s">
        <v>12</v>
      </c>
      <c r="AJ69" s="11" t="s">
        <v>27</v>
      </c>
      <c r="AK69" s="11" t="s">
        <v>57</v>
      </c>
      <c r="AL69" s="11" t="s">
        <v>12</v>
      </c>
      <c r="AM69" s="11" t="s">
        <v>27</v>
      </c>
      <c r="AN69" s="11" t="s">
        <v>57</v>
      </c>
      <c r="AO69" s="11" t="s">
        <v>27</v>
      </c>
      <c r="AP69" s="11" t="s">
        <v>26</v>
      </c>
      <c r="AQ69" s="11" t="s">
        <v>57</v>
      </c>
      <c r="AR69" s="11" t="s">
        <v>12</v>
      </c>
      <c r="AS69" s="11" t="s">
        <v>27</v>
      </c>
      <c r="AT69" s="11" t="s">
        <v>27</v>
      </c>
      <c r="AU69" s="11" t="s">
        <v>12</v>
      </c>
      <c r="AV69" s="11" t="s">
        <v>26</v>
      </c>
      <c r="AW69" s="11" t="s">
        <v>57</v>
      </c>
      <c r="AX69" s="11" t="s">
        <v>57</v>
      </c>
      <c r="AY69" s="11" t="s">
        <v>27</v>
      </c>
      <c r="AZ69" s="11">
        <v>3450</v>
      </c>
    </row>
    <row r="70" spans="1:52" x14ac:dyDescent="0.3">
      <c r="A70" s="11">
        <v>3451</v>
      </c>
      <c r="B70" s="11" t="s">
        <v>57</v>
      </c>
      <c r="C70" s="11" t="s">
        <v>27</v>
      </c>
      <c r="D70" s="11" t="s">
        <v>26</v>
      </c>
      <c r="E70" s="11" t="s">
        <v>26</v>
      </c>
      <c r="F70" s="11" t="s">
        <v>12</v>
      </c>
      <c r="G70" s="11" t="s">
        <v>26</v>
      </c>
      <c r="H70" s="11" t="s">
        <v>26</v>
      </c>
      <c r="I70" s="11" t="s">
        <v>57</v>
      </c>
      <c r="J70" s="11" t="s">
        <v>26</v>
      </c>
      <c r="K70" s="11" t="s">
        <v>12</v>
      </c>
      <c r="L70" s="11" t="s">
        <v>12</v>
      </c>
      <c r="M70" s="11" t="s">
        <v>27</v>
      </c>
      <c r="N70" s="11" t="s">
        <v>57</v>
      </c>
      <c r="O70" s="11" t="s">
        <v>27</v>
      </c>
      <c r="P70" s="11" t="s">
        <v>57</v>
      </c>
      <c r="Q70" s="11" t="s">
        <v>26</v>
      </c>
      <c r="R70" s="11" t="s">
        <v>12</v>
      </c>
      <c r="S70" s="11" t="s">
        <v>27</v>
      </c>
      <c r="T70" s="11" t="s">
        <v>26</v>
      </c>
      <c r="U70" s="11" t="s">
        <v>12</v>
      </c>
      <c r="V70" s="11" t="s">
        <v>12</v>
      </c>
      <c r="W70" s="11" t="s">
        <v>12</v>
      </c>
      <c r="X70" s="11" t="s">
        <v>57</v>
      </c>
      <c r="Y70" s="11" t="s">
        <v>12</v>
      </c>
      <c r="Z70" s="11" t="s">
        <v>57</v>
      </c>
      <c r="AA70" s="11" t="s">
        <v>27</v>
      </c>
      <c r="AB70" s="11" t="s">
        <v>12</v>
      </c>
      <c r="AC70" s="11" t="s">
        <v>26</v>
      </c>
      <c r="AD70" s="11" t="s">
        <v>27</v>
      </c>
      <c r="AE70" s="11" t="s">
        <v>12</v>
      </c>
      <c r="AF70" s="11" t="s">
        <v>12</v>
      </c>
      <c r="AG70" s="11" t="s">
        <v>12</v>
      </c>
      <c r="AH70" s="11" t="s">
        <v>27</v>
      </c>
      <c r="AI70" s="11" t="s">
        <v>26</v>
      </c>
      <c r="AJ70" s="11" t="s">
        <v>27</v>
      </c>
      <c r="AK70" s="11" t="s">
        <v>12</v>
      </c>
      <c r="AL70" s="11" t="s">
        <v>57</v>
      </c>
      <c r="AM70" s="11" t="s">
        <v>27</v>
      </c>
      <c r="AN70" s="11" t="s">
        <v>27</v>
      </c>
      <c r="AO70" s="11" t="s">
        <v>26</v>
      </c>
      <c r="AP70" s="11" t="s">
        <v>12</v>
      </c>
      <c r="AQ70" s="11" t="s">
        <v>26</v>
      </c>
      <c r="AR70" s="11" t="s">
        <v>27</v>
      </c>
      <c r="AS70" s="11" t="s">
        <v>12</v>
      </c>
      <c r="AT70" s="11" t="s">
        <v>57</v>
      </c>
      <c r="AU70" s="11" t="s">
        <v>57</v>
      </c>
      <c r="AV70" s="11" t="s">
        <v>12</v>
      </c>
      <c r="AW70" s="11" t="s">
        <v>26</v>
      </c>
      <c r="AX70" s="11" t="s">
        <v>26</v>
      </c>
      <c r="AY70" s="11" t="s">
        <v>26</v>
      </c>
      <c r="AZ70" s="11">
        <v>3500</v>
      </c>
    </row>
    <row r="71" spans="1:52" x14ac:dyDescent="0.3">
      <c r="A71" s="11">
        <v>3501</v>
      </c>
      <c r="B71" s="11" t="s">
        <v>27</v>
      </c>
      <c r="C71" s="11" t="s">
        <v>26</v>
      </c>
      <c r="D71" s="11" t="s">
        <v>27</v>
      </c>
      <c r="E71" s="11" t="s">
        <v>27</v>
      </c>
      <c r="F71" s="11" t="s">
        <v>26</v>
      </c>
      <c r="G71" s="11" t="s">
        <v>26</v>
      </c>
      <c r="H71" s="11" t="s">
        <v>12</v>
      </c>
      <c r="I71" s="11" t="s">
        <v>57</v>
      </c>
      <c r="J71" s="11" t="s">
        <v>27</v>
      </c>
      <c r="K71" s="11" t="s">
        <v>27</v>
      </c>
      <c r="L71" s="11" t="s">
        <v>26</v>
      </c>
      <c r="M71" s="11" t="s">
        <v>12</v>
      </c>
      <c r="N71" s="11" t="s">
        <v>26</v>
      </c>
      <c r="O71" s="11" t="s">
        <v>26</v>
      </c>
      <c r="P71" s="11" t="s">
        <v>27</v>
      </c>
      <c r="Q71" s="11" t="s">
        <v>57</v>
      </c>
      <c r="R71" s="11" t="s">
        <v>26</v>
      </c>
      <c r="S71" s="11" t="s">
        <v>12</v>
      </c>
      <c r="T71" s="11" t="s">
        <v>57</v>
      </c>
      <c r="U71" s="11" t="s">
        <v>57</v>
      </c>
      <c r="V71" s="11" t="s">
        <v>57</v>
      </c>
      <c r="W71" s="11" t="s">
        <v>26</v>
      </c>
      <c r="X71" s="11" t="s">
        <v>26</v>
      </c>
      <c r="Y71" s="11" t="s">
        <v>27</v>
      </c>
      <c r="Z71" s="11" t="s">
        <v>26</v>
      </c>
      <c r="AA71" s="11" t="s">
        <v>26</v>
      </c>
      <c r="AB71" s="11" t="s">
        <v>12</v>
      </c>
      <c r="AC71" s="11" t="s">
        <v>12</v>
      </c>
      <c r="AD71" s="11" t="s">
        <v>26</v>
      </c>
      <c r="AE71" s="11" t="s">
        <v>12</v>
      </c>
      <c r="AF71" s="11" t="s">
        <v>26</v>
      </c>
      <c r="AG71" s="11" t="s">
        <v>12</v>
      </c>
      <c r="AH71" s="11" t="s">
        <v>26</v>
      </c>
      <c r="AI71" s="11" t="s">
        <v>26</v>
      </c>
      <c r="AJ71" s="11" t="s">
        <v>27</v>
      </c>
      <c r="AK71" s="11" t="s">
        <v>12</v>
      </c>
      <c r="AL71" s="11" t="s">
        <v>12</v>
      </c>
      <c r="AM71" s="11" t="s">
        <v>12</v>
      </c>
      <c r="AN71" s="11" t="s">
        <v>12</v>
      </c>
      <c r="AO71" s="11" t="s">
        <v>27</v>
      </c>
      <c r="AP71" s="11" t="s">
        <v>26</v>
      </c>
      <c r="AQ71" s="11" t="s">
        <v>12</v>
      </c>
      <c r="AR71" s="11" t="s">
        <v>27</v>
      </c>
      <c r="AS71" s="11" t="s">
        <v>57</v>
      </c>
      <c r="AT71" s="11" t="s">
        <v>27</v>
      </c>
      <c r="AU71" s="11" t="s">
        <v>27</v>
      </c>
      <c r="AV71" s="11" t="s">
        <v>26</v>
      </c>
      <c r="AW71" s="11" t="s">
        <v>12</v>
      </c>
      <c r="AX71" s="11" t="s">
        <v>12</v>
      </c>
      <c r="AY71" s="11" t="s">
        <v>57</v>
      </c>
      <c r="AZ71" s="11">
        <v>3550</v>
      </c>
    </row>
    <row r="72" spans="1:52" x14ac:dyDescent="0.3">
      <c r="A72" s="11">
        <v>3551</v>
      </c>
      <c r="B72" s="11" t="s">
        <v>27</v>
      </c>
      <c r="C72" s="11" t="s">
        <v>27</v>
      </c>
      <c r="D72" s="11" t="s">
        <v>27</v>
      </c>
      <c r="E72" s="11" t="s">
        <v>12</v>
      </c>
      <c r="F72" s="11" t="s">
        <v>27</v>
      </c>
      <c r="G72" s="11" t="s">
        <v>26</v>
      </c>
      <c r="H72" s="11" t="s">
        <v>57</v>
      </c>
      <c r="I72" s="11" t="s">
        <v>26</v>
      </c>
      <c r="J72" s="11" t="s">
        <v>57</v>
      </c>
      <c r="K72" s="11" t="s">
        <v>12</v>
      </c>
      <c r="L72" s="11" t="s">
        <v>26</v>
      </c>
      <c r="M72" s="11" t="s">
        <v>27</v>
      </c>
      <c r="N72" s="11" t="s">
        <v>12</v>
      </c>
      <c r="O72" s="11" t="s">
        <v>27</v>
      </c>
      <c r="P72" s="11" t="s">
        <v>27</v>
      </c>
      <c r="Q72" s="11" t="s">
        <v>26</v>
      </c>
      <c r="R72" s="11" t="s">
        <v>26</v>
      </c>
      <c r="S72" s="11" t="s">
        <v>57</v>
      </c>
      <c r="T72" s="11" t="s">
        <v>12</v>
      </c>
      <c r="U72" s="11" t="s">
        <v>26</v>
      </c>
      <c r="V72" s="11" t="s">
        <v>26</v>
      </c>
      <c r="W72" s="11" t="s">
        <v>57</v>
      </c>
      <c r="X72" s="11" t="s">
        <v>27</v>
      </c>
      <c r="Y72" s="11" t="s">
        <v>12</v>
      </c>
      <c r="Z72" s="11" t="s">
        <v>12</v>
      </c>
      <c r="AA72" s="11" t="s">
        <v>26</v>
      </c>
      <c r="AB72" s="11" t="s">
        <v>27</v>
      </c>
      <c r="AC72" s="11" t="s">
        <v>12</v>
      </c>
      <c r="AD72" s="11" t="s">
        <v>27</v>
      </c>
      <c r="AE72" s="11" t="s">
        <v>57</v>
      </c>
      <c r="AF72" s="11" t="s">
        <v>12</v>
      </c>
      <c r="AG72" s="11" t="s">
        <v>27</v>
      </c>
      <c r="AH72" s="11" t="s">
        <v>57</v>
      </c>
      <c r="AI72" s="11" t="s">
        <v>27</v>
      </c>
      <c r="AJ72" s="11" t="s">
        <v>26</v>
      </c>
      <c r="AK72" s="11" t="s">
        <v>26</v>
      </c>
      <c r="AL72" s="11" t="s">
        <v>12</v>
      </c>
      <c r="AM72" s="11" t="s">
        <v>26</v>
      </c>
      <c r="AN72" s="11" t="s">
        <v>57</v>
      </c>
      <c r="AO72" s="11" t="s">
        <v>12</v>
      </c>
      <c r="AP72" s="11" t="s">
        <v>12</v>
      </c>
      <c r="AQ72" s="11" t="s">
        <v>26</v>
      </c>
      <c r="AR72" s="11" t="s">
        <v>27</v>
      </c>
      <c r="AS72" s="11" t="s">
        <v>26</v>
      </c>
      <c r="AT72" s="11" t="s">
        <v>26</v>
      </c>
      <c r="AU72" s="11" t="s">
        <v>26</v>
      </c>
      <c r="AV72" s="11" t="s">
        <v>27</v>
      </c>
      <c r="AW72" s="11" t="s">
        <v>26</v>
      </c>
      <c r="AX72" s="11" t="s">
        <v>27</v>
      </c>
      <c r="AY72" s="11" t="s">
        <v>26</v>
      </c>
      <c r="AZ72" s="11">
        <v>3600</v>
      </c>
    </row>
    <row r="73" spans="1:52" x14ac:dyDescent="0.3">
      <c r="A73" s="11">
        <v>3601</v>
      </c>
      <c r="B73" s="11" t="s">
        <v>57</v>
      </c>
      <c r="C73" s="11" t="s">
        <v>12</v>
      </c>
      <c r="D73" s="11" t="s">
        <v>27</v>
      </c>
      <c r="E73" s="11" t="s">
        <v>26</v>
      </c>
      <c r="F73" s="11" t="s">
        <v>12</v>
      </c>
      <c r="G73" s="11" t="s">
        <v>12</v>
      </c>
      <c r="H73" s="11" t="s">
        <v>27</v>
      </c>
      <c r="I73" s="11" t="s">
        <v>27</v>
      </c>
      <c r="J73" s="11" t="s">
        <v>12</v>
      </c>
      <c r="K73" s="11" t="s">
        <v>57</v>
      </c>
      <c r="L73" s="11" t="s">
        <v>27</v>
      </c>
      <c r="M73" s="11" t="s">
        <v>26</v>
      </c>
      <c r="N73" s="11" t="s">
        <v>26</v>
      </c>
      <c r="O73" s="11" t="s">
        <v>12</v>
      </c>
      <c r="P73" s="11" t="s">
        <v>27</v>
      </c>
      <c r="Q73" s="11" t="s">
        <v>26</v>
      </c>
      <c r="R73" s="11" t="s">
        <v>27</v>
      </c>
      <c r="S73" s="11" t="s">
        <v>27</v>
      </c>
      <c r="T73" s="11" t="s">
        <v>57</v>
      </c>
      <c r="U73" s="11" t="s">
        <v>27</v>
      </c>
      <c r="V73" s="11" t="s">
        <v>27</v>
      </c>
      <c r="W73" s="11" t="s">
        <v>12</v>
      </c>
      <c r="X73" s="11" t="s">
        <v>12</v>
      </c>
      <c r="Y73" s="11" t="s">
        <v>26</v>
      </c>
      <c r="Z73" s="11" t="s">
        <v>26</v>
      </c>
      <c r="AA73" s="11" t="s">
        <v>27</v>
      </c>
      <c r="AB73" s="11" t="s">
        <v>26</v>
      </c>
      <c r="AC73" s="11" t="s">
        <v>26</v>
      </c>
      <c r="AD73" s="11" t="s">
        <v>57</v>
      </c>
      <c r="AE73" s="11" t="s">
        <v>12</v>
      </c>
      <c r="AF73" s="11" t="s">
        <v>57</v>
      </c>
      <c r="AG73" s="11" t="s">
        <v>27</v>
      </c>
      <c r="AH73" s="11" t="s">
        <v>26</v>
      </c>
      <c r="AI73" s="11" t="s">
        <v>26</v>
      </c>
      <c r="AJ73" s="11" t="s">
        <v>12</v>
      </c>
      <c r="AK73" s="11" t="s">
        <v>27</v>
      </c>
      <c r="AL73" s="11" t="s">
        <v>26</v>
      </c>
      <c r="AM73" s="11" t="s">
        <v>27</v>
      </c>
      <c r="AN73" s="11" t="s">
        <v>26</v>
      </c>
      <c r="AO73" s="11" t="s">
        <v>27</v>
      </c>
      <c r="AP73" s="11" t="s">
        <v>12</v>
      </c>
      <c r="AQ73" s="11" t="s">
        <v>12</v>
      </c>
      <c r="AR73" s="11" t="s">
        <v>57</v>
      </c>
      <c r="AS73" s="11" t="s">
        <v>27</v>
      </c>
      <c r="AT73" s="11" t="s">
        <v>26</v>
      </c>
      <c r="AU73" s="11" t="s">
        <v>57</v>
      </c>
      <c r="AV73" s="11" t="s">
        <v>12</v>
      </c>
      <c r="AW73" s="11" t="s">
        <v>27</v>
      </c>
      <c r="AX73" s="11" t="s">
        <v>26</v>
      </c>
      <c r="AY73" s="11" t="s">
        <v>12</v>
      </c>
      <c r="AZ73" s="11">
        <v>3650</v>
      </c>
    </row>
    <row r="74" spans="1:52" x14ac:dyDescent="0.3">
      <c r="A74" s="11">
        <v>3651</v>
      </c>
      <c r="B74" s="11" t="s">
        <v>12</v>
      </c>
      <c r="C74" s="11" t="s">
        <v>57</v>
      </c>
      <c r="D74" s="11" t="s">
        <v>27</v>
      </c>
      <c r="E74" s="11" t="s">
        <v>12</v>
      </c>
      <c r="F74" s="11" t="s">
        <v>26</v>
      </c>
      <c r="G74" s="11" t="s">
        <v>26</v>
      </c>
      <c r="H74" s="11" t="s">
        <v>27</v>
      </c>
      <c r="I74" s="11" t="s">
        <v>26</v>
      </c>
      <c r="J74" s="11" t="s">
        <v>26</v>
      </c>
      <c r="K74" s="11" t="s">
        <v>12</v>
      </c>
      <c r="L74" s="11" t="s">
        <v>57</v>
      </c>
      <c r="M74" s="11" t="s">
        <v>27</v>
      </c>
      <c r="N74" s="11" t="s">
        <v>27</v>
      </c>
      <c r="O74" s="11" t="s">
        <v>27</v>
      </c>
      <c r="P74" s="11" t="s">
        <v>27</v>
      </c>
      <c r="Q74" s="11" t="s">
        <v>26</v>
      </c>
      <c r="R74" s="11" t="s">
        <v>26</v>
      </c>
      <c r="S74" s="11" t="s">
        <v>27</v>
      </c>
      <c r="T74" s="11" t="s">
        <v>57</v>
      </c>
      <c r="U74" s="11" t="s">
        <v>26</v>
      </c>
      <c r="V74" s="11" t="s">
        <v>12</v>
      </c>
      <c r="W74" s="11" t="s">
        <v>27</v>
      </c>
      <c r="X74" s="11" t="s">
        <v>26</v>
      </c>
      <c r="Y74" s="11" t="s">
        <v>27</v>
      </c>
      <c r="Z74" s="11" t="s">
        <v>12</v>
      </c>
      <c r="AA74" s="11" t="s">
        <v>26</v>
      </c>
      <c r="AB74" s="11" t="s">
        <v>27</v>
      </c>
      <c r="AC74" s="11" t="s">
        <v>57</v>
      </c>
      <c r="AD74" s="11" t="s">
        <v>26</v>
      </c>
      <c r="AE74" s="11" t="s">
        <v>12</v>
      </c>
      <c r="AF74" s="11" t="s">
        <v>26</v>
      </c>
      <c r="AG74" s="11" t="s">
        <v>57</v>
      </c>
      <c r="AH74" s="11" t="s">
        <v>12</v>
      </c>
      <c r="AI74" s="11" t="s">
        <v>26</v>
      </c>
      <c r="AJ74" s="11" t="s">
        <v>26</v>
      </c>
      <c r="AK74" s="11" t="s">
        <v>27</v>
      </c>
      <c r="AL74" s="11" t="s">
        <v>57</v>
      </c>
      <c r="AM74" s="11" t="s">
        <v>27</v>
      </c>
      <c r="AN74" s="11" t="s">
        <v>27</v>
      </c>
      <c r="AO74" s="11" t="s">
        <v>12</v>
      </c>
      <c r="AP74" s="11" t="s">
        <v>12</v>
      </c>
      <c r="AQ74" s="11" t="s">
        <v>12</v>
      </c>
      <c r="AR74" s="11" t="s">
        <v>57</v>
      </c>
      <c r="AS74" s="11" t="s">
        <v>27</v>
      </c>
      <c r="AT74" s="11" t="s">
        <v>27</v>
      </c>
      <c r="AU74" s="11" t="s">
        <v>57</v>
      </c>
      <c r="AV74" s="11" t="s">
        <v>26</v>
      </c>
      <c r="AW74" s="11" t="s">
        <v>12</v>
      </c>
      <c r="AX74" s="11" t="s">
        <v>26</v>
      </c>
      <c r="AY74" s="11" t="s">
        <v>57</v>
      </c>
      <c r="AZ74" s="11">
        <v>3700</v>
      </c>
    </row>
    <row r="75" spans="1:52" x14ac:dyDescent="0.3">
      <c r="A75" s="11">
        <v>3701</v>
      </c>
      <c r="B75" s="11" t="s">
        <v>12</v>
      </c>
      <c r="C75" s="11" t="s">
        <v>57</v>
      </c>
      <c r="D75" s="11" t="s">
        <v>27</v>
      </c>
      <c r="E75" s="11" t="s">
        <v>27</v>
      </c>
      <c r="F75" s="11" t="s">
        <v>12</v>
      </c>
      <c r="G75" s="11" t="s">
        <v>57</v>
      </c>
      <c r="H75" s="11" t="s">
        <v>27</v>
      </c>
      <c r="I75" s="11" t="s">
        <v>27</v>
      </c>
      <c r="J75" s="11" t="s">
        <v>27</v>
      </c>
      <c r="K75" s="11" t="s">
        <v>12</v>
      </c>
      <c r="L75" s="11" t="s">
        <v>57</v>
      </c>
      <c r="M75" s="11" t="s">
        <v>57</v>
      </c>
      <c r="N75" s="11" t="s">
        <v>57</v>
      </c>
      <c r="O75" s="11" t="s">
        <v>26</v>
      </c>
      <c r="P75" s="11" t="s">
        <v>57</v>
      </c>
      <c r="Q75" s="11" t="s">
        <v>12</v>
      </c>
      <c r="R75" s="11" t="s">
        <v>27</v>
      </c>
      <c r="S75" s="11" t="s">
        <v>12</v>
      </c>
      <c r="T75" s="11" t="s">
        <v>12</v>
      </c>
      <c r="U75" s="11" t="s">
        <v>27</v>
      </c>
      <c r="V75" s="11" t="s">
        <v>27</v>
      </c>
      <c r="W75" s="11" t="s">
        <v>26</v>
      </c>
      <c r="X75" s="11" t="s">
        <v>12</v>
      </c>
      <c r="Y75" s="11" t="s">
        <v>57</v>
      </c>
      <c r="Z75" s="11" t="s">
        <v>27</v>
      </c>
      <c r="AA75" s="11" t="s">
        <v>26</v>
      </c>
      <c r="AB75" s="11" t="s">
        <v>57</v>
      </c>
      <c r="AC75" s="11" t="s">
        <v>57</v>
      </c>
      <c r="AD75" s="11" t="s">
        <v>27</v>
      </c>
      <c r="AE75" s="11" t="s">
        <v>12</v>
      </c>
      <c r="AF75" s="11" t="s">
        <v>12</v>
      </c>
      <c r="AG75" s="11" t="s">
        <v>26</v>
      </c>
      <c r="AH75" s="11" t="s">
        <v>57</v>
      </c>
      <c r="AI75" s="11" t="s">
        <v>12</v>
      </c>
      <c r="AJ75" s="11" t="s">
        <v>27</v>
      </c>
      <c r="AK75" s="11" t="s">
        <v>57</v>
      </c>
      <c r="AL75" s="11" t="s">
        <v>27</v>
      </c>
      <c r="AM75" s="11" t="s">
        <v>26</v>
      </c>
      <c r="AN75" s="11" t="s">
        <v>57</v>
      </c>
      <c r="AO75" s="11" t="s">
        <v>27</v>
      </c>
      <c r="AP75" s="11" t="s">
        <v>27</v>
      </c>
      <c r="AQ75" s="11" t="s">
        <v>57</v>
      </c>
      <c r="AR75" s="11" t="s">
        <v>12</v>
      </c>
      <c r="AS75" s="11" t="s">
        <v>26</v>
      </c>
      <c r="AT75" s="11" t="s">
        <v>12</v>
      </c>
      <c r="AU75" s="11" t="s">
        <v>26</v>
      </c>
      <c r="AV75" s="11" t="s">
        <v>26</v>
      </c>
      <c r="AW75" s="11" t="s">
        <v>57</v>
      </c>
      <c r="AX75" s="11" t="s">
        <v>12</v>
      </c>
      <c r="AY75" s="11" t="s">
        <v>26</v>
      </c>
      <c r="AZ75" s="11">
        <v>3750</v>
      </c>
    </row>
    <row r="76" spans="1:52" x14ac:dyDescent="0.3">
      <c r="A76" s="11">
        <v>3751</v>
      </c>
      <c r="B76" s="11" t="s">
        <v>57</v>
      </c>
      <c r="C76" s="11" t="s">
        <v>27</v>
      </c>
      <c r="D76" s="11" t="s">
        <v>12</v>
      </c>
      <c r="E76" s="11" t="s">
        <v>57</v>
      </c>
      <c r="F76" s="11" t="s">
        <v>27</v>
      </c>
      <c r="G76" s="11" t="s">
        <v>57</v>
      </c>
      <c r="H76" s="11" t="s">
        <v>27</v>
      </c>
      <c r="I76" s="11" t="s">
        <v>57</v>
      </c>
      <c r="J76" s="11" t="s">
        <v>57</v>
      </c>
      <c r="K76" s="11" t="s">
        <v>27</v>
      </c>
      <c r="L76" s="11" t="s">
        <v>12</v>
      </c>
      <c r="M76" s="11" t="s">
        <v>26</v>
      </c>
      <c r="N76" s="11" t="s">
        <v>57</v>
      </c>
      <c r="O76" s="11" t="s">
        <v>27</v>
      </c>
      <c r="P76" s="11" t="s">
        <v>26</v>
      </c>
      <c r="Q76" s="11" t="s">
        <v>12</v>
      </c>
      <c r="R76" s="11" t="s">
        <v>12</v>
      </c>
      <c r="S76" s="11" t="s">
        <v>26</v>
      </c>
      <c r="T76" s="11" t="s">
        <v>27</v>
      </c>
      <c r="U76" s="11" t="s">
        <v>12</v>
      </c>
      <c r="V76" s="11" t="s">
        <v>57</v>
      </c>
      <c r="W76" s="11" t="s">
        <v>27</v>
      </c>
      <c r="X76" s="11" t="s">
        <v>12</v>
      </c>
      <c r="Y76" s="11" t="s">
        <v>57</v>
      </c>
      <c r="Z76" s="11" t="s">
        <v>27</v>
      </c>
      <c r="AA76" s="11" t="s">
        <v>57</v>
      </c>
      <c r="AB76" s="11" t="s">
        <v>26</v>
      </c>
      <c r="AC76" s="11" t="s">
        <v>27</v>
      </c>
      <c r="AD76" s="11" t="s">
        <v>12</v>
      </c>
      <c r="AE76" s="11" t="s">
        <v>57</v>
      </c>
      <c r="AF76" s="11" t="s">
        <v>27</v>
      </c>
      <c r="AG76" s="11" t="s">
        <v>12</v>
      </c>
      <c r="AH76" s="11" t="s">
        <v>12</v>
      </c>
      <c r="AI76" s="11" t="s">
        <v>57</v>
      </c>
      <c r="AJ76" s="11" t="s">
        <v>27</v>
      </c>
      <c r="AK76" s="11" t="s">
        <v>26</v>
      </c>
      <c r="AL76" s="11" t="s">
        <v>26</v>
      </c>
      <c r="AM76" s="11" t="s">
        <v>27</v>
      </c>
      <c r="AN76" s="11" t="s">
        <v>27</v>
      </c>
      <c r="AO76" s="11" t="s">
        <v>27</v>
      </c>
      <c r="AP76" s="11" t="s">
        <v>12</v>
      </c>
      <c r="AQ76" s="11" t="s">
        <v>57</v>
      </c>
      <c r="AR76" s="11" t="s">
        <v>27</v>
      </c>
      <c r="AS76" s="11" t="s">
        <v>57</v>
      </c>
      <c r="AT76" s="11" t="s">
        <v>57</v>
      </c>
      <c r="AU76" s="11" t="s">
        <v>27</v>
      </c>
      <c r="AV76" s="11" t="s">
        <v>57</v>
      </c>
      <c r="AW76" s="11" t="s">
        <v>26</v>
      </c>
      <c r="AX76" s="11" t="s">
        <v>27</v>
      </c>
      <c r="AY76" s="11" t="s">
        <v>12</v>
      </c>
      <c r="AZ76" s="11">
        <v>3800</v>
      </c>
    </row>
    <row r="77" spans="1:52" x14ac:dyDescent="0.3">
      <c r="A77" s="11">
        <v>3801</v>
      </c>
      <c r="B77" s="11" t="s">
        <v>57</v>
      </c>
      <c r="C77" s="11" t="s">
        <v>27</v>
      </c>
      <c r="D77" s="11" t="s">
        <v>57</v>
      </c>
      <c r="E77" s="11" t="s">
        <v>27</v>
      </c>
      <c r="F77" s="11" t="s">
        <v>27</v>
      </c>
      <c r="G77" s="11" t="s">
        <v>12</v>
      </c>
      <c r="H77" s="11" t="s">
        <v>26</v>
      </c>
      <c r="I77" s="11" t="s">
        <v>27</v>
      </c>
      <c r="J77" s="11" t="s">
        <v>12</v>
      </c>
      <c r="K77" s="11" t="s">
        <v>57</v>
      </c>
      <c r="L77" s="11" t="s">
        <v>27</v>
      </c>
      <c r="M77" s="11" t="s">
        <v>12</v>
      </c>
      <c r="N77" s="11" t="s">
        <v>57</v>
      </c>
      <c r="O77" s="11" t="s">
        <v>27</v>
      </c>
      <c r="P77" s="11" t="s">
        <v>12</v>
      </c>
      <c r="Q77" s="11" t="s">
        <v>26</v>
      </c>
      <c r="R77" s="11" t="s">
        <v>26</v>
      </c>
      <c r="S77" s="11" t="s">
        <v>27</v>
      </c>
      <c r="T77" s="11" t="s">
        <v>57</v>
      </c>
      <c r="U77" s="11" t="s">
        <v>57</v>
      </c>
      <c r="V77" s="11" t="s">
        <v>12</v>
      </c>
      <c r="W77" s="11" t="s">
        <v>27</v>
      </c>
      <c r="X77" s="11" t="s">
        <v>26</v>
      </c>
      <c r="Y77" s="11" t="s">
        <v>12</v>
      </c>
      <c r="Z77" s="11" t="s">
        <v>27</v>
      </c>
      <c r="AA77" s="11" t="s">
        <v>26</v>
      </c>
      <c r="AB77" s="11" t="s">
        <v>27</v>
      </c>
      <c r="AC77" s="11" t="s">
        <v>27</v>
      </c>
      <c r="AD77" s="11" t="s">
        <v>26</v>
      </c>
      <c r="AE77" s="11" t="s">
        <v>12</v>
      </c>
      <c r="AF77" s="11" t="s">
        <v>27</v>
      </c>
      <c r="AG77" s="11" t="s">
        <v>26</v>
      </c>
      <c r="AH77" s="11" t="s">
        <v>57</v>
      </c>
      <c r="AI77" s="11" t="s">
        <v>57</v>
      </c>
      <c r="AJ77" s="11" t="s">
        <v>12</v>
      </c>
      <c r="AK77" s="11" t="s">
        <v>57</v>
      </c>
      <c r="AL77" s="11" t="s">
        <v>27</v>
      </c>
      <c r="AM77" s="11" t="s">
        <v>26</v>
      </c>
      <c r="AN77" s="11" t="s">
        <v>27</v>
      </c>
      <c r="AO77" s="11" t="s">
        <v>12</v>
      </c>
      <c r="AP77" s="11" t="s">
        <v>12</v>
      </c>
      <c r="AQ77" s="11" t="s">
        <v>12</v>
      </c>
      <c r="AR77" s="11" t="s">
        <v>27</v>
      </c>
      <c r="AS77" s="11" t="s">
        <v>57</v>
      </c>
      <c r="AT77" s="11" t="s">
        <v>27</v>
      </c>
      <c r="AU77" s="11" t="s">
        <v>12</v>
      </c>
      <c r="AV77" s="11" t="s">
        <v>57</v>
      </c>
      <c r="AW77" s="11" t="s">
        <v>27</v>
      </c>
      <c r="AX77" s="11" t="s">
        <v>26</v>
      </c>
      <c r="AY77" s="11" t="s">
        <v>26</v>
      </c>
      <c r="AZ77" s="11">
        <v>3850</v>
      </c>
    </row>
    <row r="78" spans="1:52" x14ac:dyDescent="0.3">
      <c r="A78" s="11">
        <v>3851</v>
      </c>
      <c r="B78" s="11" t="s">
        <v>27</v>
      </c>
      <c r="C78" s="11" t="s">
        <v>27</v>
      </c>
      <c r="D78" s="11" t="s">
        <v>27</v>
      </c>
      <c r="E78" s="11" t="s">
        <v>12</v>
      </c>
      <c r="F78" s="11" t="s">
        <v>27</v>
      </c>
      <c r="G78" s="11" t="s">
        <v>57</v>
      </c>
      <c r="H78" s="11" t="s">
        <v>27</v>
      </c>
      <c r="I78" s="11" t="s">
        <v>26</v>
      </c>
      <c r="J78" s="11" t="s">
        <v>26</v>
      </c>
      <c r="K78" s="11" t="s">
        <v>26</v>
      </c>
      <c r="L78" s="11" t="s">
        <v>12</v>
      </c>
      <c r="M78" s="11" t="s">
        <v>57</v>
      </c>
      <c r="N78" s="11" t="s">
        <v>27</v>
      </c>
      <c r="O78" s="11" t="s">
        <v>12</v>
      </c>
      <c r="P78" s="11" t="s">
        <v>26</v>
      </c>
      <c r="Q78" s="11" t="s">
        <v>12</v>
      </c>
      <c r="R78" s="11" t="s">
        <v>57</v>
      </c>
      <c r="S78" s="11" t="s">
        <v>26</v>
      </c>
      <c r="T78" s="11" t="s">
        <v>12</v>
      </c>
      <c r="U78" s="11" t="s">
        <v>26</v>
      </c>
      <c r="V78" s="11" t="s">
        <v>12</v>
      </c>
      <c r="W78" s="11" t="s">
        <v>26</v>
      </c>
      <c r="X78" s="11" t="s">
        <v>57</v>
      </c>
      <c r="Y78" s="11" t="s">
        <v>27</v>
      </c>
      <c r="Z78" s="11" t="s">
        <v>26</v>
      </c>
      <c r="AA78" s="11" t="s">
        <v>57</v>
      </c>
      <c r="AB78" s="11" t="s">
        <v>27</v>
      </c>
      <c r="AC78" s="11" t="s">
        <v>26</v>
      </c>
      <c r="AD78" s="11" t="s">
        <v>12</v>
      </c>
      <c r="AE78" s="11" t="s">
        <v>57</v>
      </c>
      <c r="AF78" s="11" t="s">
        <v>12</v>
      </c>
      <c r="AG78" s="11" t="s">
        <v>27</v>
      </c>
      <c r="AH78" s="11" t="s">
        <v>26</v>
      </c>
      <c r="AI78" s="11" t="s">
        <v>27</v>
      </c>
      <c r="AJ78" s="11" t="s">
        <v>12</v>
      </c>
      <c r="AK78" s="11" t="s">
        <v>57</v>
      </c>
      <c r="AL78" s="11" t="s">
        <v>27</v>
      </c>
      <c r="AM78" s="11" t="s">
        <v>27</v>
      </c>
      <c r="AN78" s="11" t="s">
        <v>57</v>
      </c>
      <c r="AO78" s="11" t="s">
        <v>26</v>
      </c>
      <c r="AP78" s="11" t="s">
        <v>12</v>
      </c>
      <c r="AQ78" s="11" t="s">
        <v>57</v>
      </c>
      <c r="AR78" s="11" t="s">
        <v>27</v>
      </c>
      <c r="AS78" s="11" t="s">
        <v>12</v>
      </c>
      <c r="AT78" s="11" t="s">
        <v>26</v>
      </c>
      <c r="AU78" s="11" t="s">
        <v>57</v>
      </c>
      <c r="AV78" s="11" t="s">
        <v>27</v>
      </c>
      <c r="AW78" s="11" t="s">
        <v>12</v>
      </c>
      <c r="AX78" s="11" t="s">
        <v>26</v>
      </c>
      <c r="AY78" s="11" t="s">
        <v>12</v>
      </c>
      <c r="AZ78" s="11">
        <v>3900</v>
      </c>
    </row>
    <row r="79" spans="1:52" x14ac:dyDescent="0.3">
      <c r="A79" s="11">
        <v>3901</v>
      </c>
      <c r="B79" s="11" t="s">
        <v>27</v>
      </c>
      <c r="C79" s="11" t="s">
        <v>12</v>
      </c>
      <c r="D79" s="11" t="s">
        <v>26</v>
      </c>
      <c r="E79" s="11" t="s">
        <v>26</v>
      </c>
      <c r="F79" s="11" t="s">
        <v>57</v>
      </c>
      <c r="G79" s="11" t="s">
        <v>27</v>
      </c>
      <c r="H79" s="11" t="s">
        <v>12</v>
      </c>
      <c r="I79" s="11" t="s">
        <v>57</v>
      </c>
      <c r="J79" s="11" t="s">
        <v>26</v>
      </c>
      <c r="K79" s="11" t="s">
        <v>27</v>
      </c>
      <c r="L79" s="11" t="s">
        <v>12</v>
      </c>
      <c r="M79" s="11" t="s">
        <v>57</v>
      </c>
      <c r="N79" s="11" t="s">
        <v>27</v>
      </c>
      <c r="O79" s="11" t="s">
        <v>12</v>
      </c>
      <c r="P79" s="11" t="s">
        <v>12</v>
      </c>
      <c r="Q79" s="11" t="s">
        <v>12</v>
      </c>
      <c r="R79" s="11" t="s">
        <v>12</v>
      </c>
      <c r="S79" s="11" t="s">
        <v>57</v>
      </c>
      <c r="T79" s="11" t="s">
        <v>57</v>
      </c>
      <c r="U79" s="11" t="s">
        <v>57</v>
      </c>
      <c r="V79" s="11" t="s">
        <v>12</v>
      </c>
      <c r="W79" s="11" t="s">
        <v>12</v>
      </c>
      <c r="X79" s="11" t="s">
        <v>12</v>
      </c>
      <c r="Y79" s="11" t="s">
        <v>27</v>
      </c>
      <c r="Z79" s="11" t="s">
        <v>57</v>
      </c>
      <c r="AA79" s="11" t="s">
        <v>12</v>
      </c>
      <c r="AB79" s="11" t="s">
        <v>12</v>
      </c>
      <c r="AC79" s="11" t="s">
        <v>57</v>
      </c>
      <c r="AD79" s="11" t="s">
        <v>27</v>
      </c>
      <c r="AE79" s="11" t="s">
        <v>27</v>
      </c>
      <c r="AF79" s="11" t="s">
        <v>27</v>
      </c>
      <c r="AG79" s="11" t="s">
        <v>57</v>
      </c>
      <c r="AH79" s="11" t="s">
        <v>26</v>
      </c>
      <c r="AI79" s="11" t="s">
        <v>12</v>
      </c>
      <c r="AJ79" s="11" t="s">
        <v>12</v>
      </c>
      <c r="AK79" s="11" t="s">
        <v>12</v>
      </c>
      <c r="AL79" s="11" t="s">
        <v>12</v>
      </c>
      <c r="AM79" s="11" t="s">
        <v>27</v>
      </c>
      <c r="AN79" s="11" t="s">
        <v>26</v>
      </c>
      <c r="AO79" s="11" t="s">
        <v>27</v>
      </c>
      <c r="AP79" s="11" t="s">
        <v>57</v>
      </c>
      <c r="AQ79" s="11" t="s">
        <v>12</v>
      </c>
      <c r="AR79" s="11" t="s">
        <v>57</v>
      </c>
      <c r="AS79" s="11" t="s">
        <v>12</v>
      </c>
      <c r="AT79" s="11" t="s">
        <v>12</v>
      </c>
      <c r="AU79" s="11" t="s">
        <v>12</v>
      </c>
      <c r="AV79" s="11" t="s">
        <v>12</v>
      </c>
      <c r="AW79" s="11" t="s">
        <v>12</v>
      </c>
      <c r="AX79" s="11" t="s">
        <v>27</v>
      </c>
      <c r="AY79" s="11" t="s">
        <v>26</v>
      </c>
      <c r="AZ79" s="11">
        <v>3950</v>
      </c>
    </row>
    <row r="80" spans="1:52" x14ac:dyDescent="0.3">
      <c r="A80" s="11">
        <v>3951</v>
      </c>
      <c r="B80" s="11" t="s">
        <v>12</v>
      </c>
      <c r="C80" s="11" t="s">
        <v>12</v>
      </c>
      <c r="D80" s="11" t="s">
        <v>57</v>
      </c>
      <c r="E80" s="11" t="s">
        <v>12</v>
      </c>
      <c r="F80" s="11" t="s">
        <v>27</v>
      </c>
      <c r="G80" s="11" t="s">
        <v>27</v>
      </c>
      <c r="H80" s="11" t="s">
        <v>27</v>
      </c>
      <c r="I80" s="11" t="s">
        <v>57</v>
      </c>
      <c r="J80" s="11" t="s">
        <v>12</v>
      </c>
      <c r="K80" s="11" t="s">
        <v>12</v>
      </c>
      <c r="L80" s="11" t="s">
        <v>12</v>
      </c>
      <c r="M80" s="11" t="s">
        <v>26</v>
      </c>
      <c r="N80" s="11" t="s">
        <v>27</v>
      </c>
      <c r="O80" s="11" t="s">
        <v>27</v>
      </c>
      <c r="P80" s="11" t="s">
        <v>57</v>
      </c>
      <c r="Q80" s="11" t="s">
        <v>26</v>
      </c>
      <c r="R80" s="11" t="s">
        <v>57</v>
      </c>
      <c r="S80" s="11" t="s">
        <v>27</v>
      </c>
      <c r="T80" s="11" t="s">
        <v>12</v>
      </c>
      <c r="U80" s="11" t="s">
        <v>57</v>
      </c>
      <c r="V80" s="11" t="s">
        <v>12</v>
      </c>
      <c r="W80" s="11" t="s">
        <v>12</v>
      </c>
      <c r="X80" s="11" t="s">
        <v>12</v>
      </c>
      <c r="Y80" s="11" t="s">
        <v>26</v>
      </c>
      <c r="Z80" s="11" t="s">
        <v>12</v>
      </c>
      <c r="AA80" s="11" t="s">
        <v>12</v>
      </c>
      <c r="AB80" s="11" t="s">
        <v>57</v>
      </c>
      <c r="AC80" s="11" t="s">
        <v>12</v>
      </c>
      <c r="AD80" s="11" t="s">
        <v>12</v>
      </c>
      <c r="AE80" s="11" t="s">
        <v>26</v>
      </c>
      <c r="AF80" s="11" t="s">
        <v>12</v>
      </c>
      <c r="AG80" s="11" t="s">
        <v>12</v>
      </c>
      <c r="AH80" s="11" t="s">
        <v>57</v>
      </c>
      <c r="AI80" s="11" t="s">
        <v>27</v>
      </c>
      <c r="AJ80" s="11" t="s">
        <v>12</v>
      </c>
      <c r="AK80" s="11" t="s">
        <v>12</v>
      </c>
      <c r="AL80" s="11" t="s">
        <v>12</v>
      </c>
      <c r="AM80" s="11" t="s">
        <v>12</v>
      </c>
      <c r="AN80" s="11" t="s">
        <v>26</v>
      </c>
      <c r="AO80" s="11" t="s">
        <v>12</v>
      </c>
      <c r="AP80" s="11" t="s">
        <v>57</v>
      </c>
      <c r="AQ80" s="11" t="s">
        <v>12</v>
      </c>
      <c r="AR80" s="11" t="s">
        <v>26</v>
      </c>
      <c r="AS80" s="11" t="s">
        <v>12</v>
      </c>
      <c r="AT80" s="11" t="s">
        <v>12</v>
      </c>
      <c r="AU80" s="11" t="s">
        <v>26</v>
      </c>
      <c r="AV80" s="11" t="s">
        <v>12</v>
      </c>
      <c r="AW80" s="11" t="s">
        <v>12</v>
      </c>
      <c r="AX80" s="11" t="s">
        <v>57</v>
      </c>
      <c r="AY80" s="11" t="s">
        <v>12</v>
      </c>
      <c r="AZ80" s="11">
        <v>4000</v>
      </c>
    </row>
    <row r="81" spans="1:52" x14ac:dyDescent="0.3">
      <c r="A81" s="11">
        <v>4001</v>
      </c>
      <c r="B81" s="11" t="s">
        <v>57</v>
      </c>
      <c r="C81" s="11" t="s">
        <v>27</v>
      </c>
      <c r="D81" s="11" t="s">
        <v>12</v>
      </c>
      <c r="E81" s="11" t="s">
        <v>57</v>
      </c>
      <c r="F81" s="11" t="s">
        <v>26</v>
      </c>
      <c r="G81" s="11" t="s">
        <v>27</v>
      </c>
      <c r="H81" s="11" t="s">
        <v>57</v>
      </c>
      <c r="I81" s="11" t="s">
        <v>57</v>
      </c>
      <c r="J81" s="11" t="s">
        <v>12</v>
      </c>
      <c r="K81" s="11" t="s">
        <v>12</v>
      </c>
      <c r="L81" s="11" t="s">
        <v>26</v>
      </c>
      <c r="M81" s="11" t="s">
        <v>27</v>
      </c>
      <c r="N81" s="11" t="s">
        <v>26</v>
      </c>
      <c r="O81" s="11" t="s">
        <v>12</v>
      </c>
      <c r="P81" s="11" t="s">
        <v>26</v>
      </c>
      <c r="Q81" s="11" t="s">
        <v>12</v>
      </c>
      <c r="R81" s="11" t="s">
        <v>12</v>
      </c>
      <c r="S81" s="11" t="s">
        <v>57</v>
      </c>
      <c r="T81" s="11" t="s">
        <v>12</v>
      </c>
      <c r="U81" s="11" t="s">
        <v>12</v>
      </c>
      <c r="V81" s="11" t="s">
        <v>12</v>
      </c>
      <c r="W81" s="11" t="s">
        <v>26</v>
      </c>
      <c r="X81" s="11" t="s">
        <v>26</v>
      </c>
      <c r="Y81" s="11" t="s">
        <v>27</v>
      </c>
      <c r="Z81" s="11" t="s">
        <v>12</v>
      </c>
      <c r="AA81" s="11" t="s">
        <v>26</v>
      </c>
      <c r="AB81" s="11" t="s">
        <v>12</v>
      </c>
      <c r="AC81" s="11" t="s">
        <v>27</v>
      </c>
      <c r="AD81" s="11" t="s">
        <v>12</v>
      </c>
      <c r="AE81" s="11" t="s">
        <v>26</v>
      </c>
      <c r="AF81" s="11" t="s">
        <v>27</v>
      </c>
      <c r="AG81" s="11" t="s">
        <v>12</v>
      </c>
      <c r="AH81" s="11" t="s">
        <v>26</v>
      </c>
      <c r="AI81" s="11" t="s">
        <v>26</v>
      </c>
      <c r="AJ81" s="11" t="s">
        <v>57</v>
      </c>
      <c r="AK81" s="11" t="s">
        <v>27</v>
      </c>
      <c r="AL81" s="11" t="s">
        <v>12</v>
      </c>
      <c r="AM81" s="11" t="s">
        <v>26</v>
      </c>
      <c r="AN81" s="11" t="s">
        <v>27</v>
      </c>
      <c r="AO81" s="11" t="s">
        <v>12</v>
      </c>
      <c r="AP81" s="11" t="s">
        <v>57</v>
      </c>
      <c r="AQ81" s="11" t="s">
        <v>12</v>
      </c>
      <c r="AR81" s="11" t="s">
        <v>26</v>
      </c>
      <c r="AS81" s="11" t="s">
        <v>26</v>
      </c>
      <c r="AT81" s="11" t="s">
        <v>26</v>
      </c>
      <c r="AU81" s="11" t="s">
        <v>26</v>
      </c>
      <c r="AV81" s="11" t="s">
        <v>12</v>
      </c>
      <c r="AW81" s="11" t="s">
        <v>27</v>
      </c>
      <c r="AX81" s="11" t="s">
        <v>12</v>
      </c>
      <c r="AY81" s="11" t="s">
        <v>57</v>
      </c>
      <c r="AZ81" s="11">
        <v>4050</v>
      </c>
    </row>
    <row r="82" spans="1:52" x14ac:dyDescent="0.3">
      <c r="A82" s="11">
        <v>4051</v>
      </c>
      <c r="B82" s="11" t="s">
        <v>57</v>
      </c>
      <c r="C82" s="11" t="s">
        <v>26</v>
      </c>
      <c r="D82" s="11" t="s">
        <v>27</v>
      </c>
      <c r="E82" s="11" t="s">
        <v>12</v>
      </c>
      <c r="F82" s="11" t="s">
        <v>12</v>
      </c>
      <c r="G82" s="11" t="s">
        <v>57</v>
      </c>
      <c r="H82" s="11" t="s">
        <v>26</v>
      </c>
      <c r="I82" s="11" t="s">
        <v>27</v>
      </c>
      <c r="J82" s="11" t="s">
        <v>12</v>
      </c>
      <c r="K82" s="11" t="s">
        <v>12</v>
      </c>
      <c r="L82" s="11" t="s">
        <v>26</v>
      </c>
      <c r="M82" s="11" t="s">
        <v>12</v>
      </c>
      <c r="N82" s="11" t="s">
        <v>26</v>
      </c>
      <c r="O82" s="11" t="s">
        <v>12</v>
      </c>
      <c r="P82" s="11" t="s">
        <v>12</v>
      </c>
      <c r="Q82" s="11" t="s">
        <v>12</v>
      </c>
      <c r="R82" s="11" t="s">
        <v>12</v>
      </c>
      <c r="S82" s="11" t="s">
        <v>12</v>
      </c>
      <c r="T82" s="11" t="s">
        <v>26</v>
      </c>
      <c r="U82" s="11" t="s">
        <v>12</v>
      </c>
      <c r="V82" s="11" t="s">
        <v>27</v>
      </c>
      <c r="W82" s="11" t="s">
        <v>27</v>
      </c>
      <c r="X82" s="11" t="s">
        <v>27</v>
      </c>
      <c r="Y82" s="11" t="s">
        <v>26</v>
      </c>
      <c r="Z82" s="11" t="s">
        <v>26</v>
      </c>
      <c r="AA82" s="11" t="s">
        <v>26</v>
      </c>
      <c r="AB82" s="11" t="s">
        <v>12</v>
      </c>
      <c r="AC82" s="11" t="s">
        <v>26</v>
      </c>
      <c r="AD82" s="11" t="s">
        <v>27</v>
      </c>
      <c r="AE82" s="11" t="s">
        <v>12</v>
      </c>
      <c r="AF82" s="11" t="s">
        <v>26</v>
      </c>
      <c r="AG82" s="11" t="s">
        <v>27</v>
      </c>
      <c r="AH82" s="11" t="s">
        <v>57</v>
      </c>
      <c r="AI82" s="11" t="s">
        <v>27</v>
      </c>
      <c r="AJ82" s="11" t="s">
        <v>26</v>
      </c>
      <c r="AK82" s="11" t="s">
        <v>57</v>
      </c>
      <c r="AL82" s="11" t="s">
        <v>57</v>
      </c>
      <c r="AM82" s="11" t="s">
        <v>26</v>
      </c>
      <c r="AN82" s="11" t="s">
        <v>26</v>
      </c>
      <c r="AO82" s="11" t="s">
        <v>12</v>
      </c>
      <c r="AP82" s="11" t="s">
        <v>12</v>
      </c>
      <c r="AQ82" s="11" t="s">
        <v>57</v>
      </c>
      <c r="AR82" s="11" t="s">
        <v>57</v>
      </c>
      <c r="AS82" s="11" t="s">
        <v>57</v>
      </c>
      <c r="AT82" s="11" t="s">
        <v>26</v>
      </c>
      <c r="AU82" s="11" t="s">
        <v>27</v>
      </c>
      <c r="AV82" s="11" t="s">
        <v>12</v>
      </c>
      <c r="AW82" s="11" t="s">
        <v>26</v>
      </c>
      <c r="AX82" s="11" t="s">
        <v>26</v>
      </c>
      <c r="AY82" s="11" t="s">
        <v>57</v>
      </c>
      <c r="AZ82" s="11">
        <v>4100</v>
      </c>
    </row>
    <row r="83" spans="1:52" x14ac:dyDescent="0.3">
      <c r="A83" s="11">
        <v>4101</v>
      </c>
      <c r="B83" s="11" t="s">
        <v>26</v>
      </c>
      <c r="C83" s="11" t="s">
        <v>26</v>
      </c>
      <c r="D83" s="11" t="s">
        <v>26</v>
      </c>
      <c r="E83" s="11" t="s">
        <v>12</v>
      </c>
      <c r="F83" s="11" t="s">
        <v>27</v>
      </c>
      <c r="G83" s="11" t="s">
        <v>26</v>
      </c>
      <c r="H83" s="11" t="s">
        <v>26</v>
      </c>
      <c r="I83" s="11" t="s">
        <v>26</v>
      </c>
      <c r="J83" s="11" t="s">
        <v>27</v>
      </c>
      <c r="K83" s="11" t="s">
        <v>57</v>
      </c>
      <c r="L83" s="11" t="s">
        <v>57</v>
      </c>
      <c r="M83" s="11" t="s">
        <v>57</v>
      </c>
      <c r="N83" s="11" t="s">
        <v>26</v>
      </c>
      <c r="O83" s="11" t="s">
        <v>26</v>
      </c>
      <c r="P83" s="11" t="s">
        <v>12</v>
      </c>
      <c r="Q83" s="11" t="s">
        <v>57</v>
      </c>
      <c r="R83" s="11" t="s">
        <v>26</v>
      </c>
      <c r="S83" s="11" t="s">
        <v>26</v>
      </c>
      <c r="T83" s="11" t="s">
        <v>27</v>
      </c>
      <c r="U83" s="11" t="s">
        <v>12</v>
      </c>
      <c r="V83" s="11" t="s">
        <v>57</v>
      </c>
      <c r="W83" s="11" t="s">
        <v>26</v>
      </c>
      <c r="X83" s="11" t="s">
        <v>57</v>
      </c>
      <c r="Y83" s="11" t="s">
        <v>26</v>
      </c>
      <c r="Z83" s="11" t="s">
        <v>12</v>
      </c>
      <c r="AA83" s="11" t="s">
        <v>57</v>
      </c>
      <c r="AB83" s="11" t="s">
        <v>26</v>
      </c>
      <c r="AC83" s="11" t="s">
        <v>26</v>
      </c>
      <c r="AD83" s="11" t="s">
        <v>12</v>
      </c>
      <c r="AE83" s="11" t="s">
        <v>12</v>
      </c>
      <c r="AF83" s="11" t="s">
        <v>12</v>
      </c>
      <c r="AG83" s="11" t="s">
        <v>12</v>
      </c>
      <c r="AH83" s="11" t="s">
        <v>26</v>
      </c>
      <c r="AI83" s="11" t="s">
        <v>27</v>
      </c>
      <c r="AJ83" s="11" t="s">
        <v>27</v>
      </c>
      <c r="AK83" s="11" t="s">
        <v>27</v>
      </c>
      <c r="AL83" s="11" t="s">
        <v>57</v>
      </c>
      <c r="AM83" s="11" t="s">
        <v>57</v>
      </c>
      <c r="AN83" s="11" t="s">
        <v>27</v>
      </c>
      <c r="AO83" s="11" t="s">
        <v>27</v>
      </c>
      <c r="AP83" s="11" t="s">
        <v>57</v>
      </c>
      <c r="AQ83" s="11" t="s">
        <v>12</v>
      </c>
      <c r="AR83" s="11" t="s">
        <v>26</v>
      </c>
      <c r="AS83" s="11" t="s">
        <v>26</v>
      </c>
      <c r="AT83" s="11" t="s">
        <v>57</v>
      </c>
      <c r="AU83" s="11" t="s">
        <v>57</v>
      </c>
      <c r="AV83" s="11" t="s">
        <v>57</v>
      </c>
      <c r="AW83" s="11" t="s">
        <v>12</v>
      </c>
      <c r="AX83" s="11" t="s">
        <v>27</v>
      </c>
      <c r="AY83" s="11" t="s">
        <v>57</v>
      </c>
      <c r="AZ83" s="11">
        <v>4150</v>
      </c>
    </row>
    <row r="84" spans="1:52" x14ac:dyDescent="0.3">
      <c r="A84" s="11">
        <v>4151</v>
      </c>
      <c r="B84" s="11" t="s">
        <v>27</v>
      </c>
      <c r="C84" s="11" t="s">
        <v>12</v>
      </c>
      <c r="D84" s="11" t="s">
        <v>12</v>
      </c>
      <c r="E84" s="11" t="s">
        <v>26</v>
      </c>
      <c r="F84" s="11" t="s">
        <v>27</v>
      </c>
      <c r="G84" s="11" t="s">
        <v>12</v>
      </c>
      <c r="H84" s="11" t="s">
        <v>12</v>
      </c>
      <c r="I84" s="11" t="s">
        <v>26</v>
      </c>
      <c r="J84" s="11" t="s">
        <v>12</v>
      </c>
      <c r="K84" s="11" t="s">
        <v>26</v>
      </c>
      <c r="L84" s="11" t="s">
        <v>12</v>
      </c>
      <c r="M84" s="11" t="s">
        <v>12</v>
      </c>
      <c r="N84" s="11" t="s">
        <v>12</v>
      </c>
      <c r="O84" s="11" t="s">
        <v>57</v>
      </c>
      <c r="P84" s="11" t="s">
        <v>27</v>
      </c>
      <c r="Q84" s="11" t="s">
        <v>27</v>
      </c>
      <c r="R84" s="11" t="s">
        <v>26</v>
      </c>
      <c r="S84" s="11" t="s">
        <v>27</v>
      </c>
      <c r="T84" s="11" t="s">
        <v>12</v>
      </c>
      <c r="U84" s="11" t="s">
        <v>57</v>
      </c>
      <c r="V84" s="11" t="s">
        <v>26</v>
      </c>
      <c r="W84" s="11" t="s">
        <v>27</v>
      </c>
      <c r="X84" s="11" t="s">
        <v>12</v>
      </c>
      <c r="Y84" s="11" t="s">
        <v>26</v>
      </c>
      <c r="Z84" s="11" t="s">
        <v>26</v>
      </c>
      <c r="AA84" s="11" t="s">
        <v>26</v>
      </c>
      <c r="AB84" s="11" t="s">
        <v>26</v>
      </c>
      <c r="AC84" s="11" t="s">
        <v>26</v>
      </c>
      <c r="AD84" s="11" t="s">
        <v>26</v>
      </c>
      <c r="AE84" s="11" t="s">
        <v>26</v>
      </c>
      <c r="AF84" s="11" t="s">
        <v>26</v>
      </c>
      <c r="AG84" s="11" t="s">
        <v>26</v>
      </c>
      <c r="AH84" s="11" t="s">
        <v>26</v>
      </c>
      <c r="AI84" s="11" t="s">
        <v>26</v>
      </c>
      <c r="AJ84" s="11" t="s">
        <v>26</v>
      </c>
      <c r="AK84" s="11" t="s">
        <v>26</v>
      </c>
      <c r="AL84" s="11" t="s">
        <v>26</v>
      </c>
      <c r="AM84" s="11" t="s">
        <v>26</v>
      </c>
      <c r="AN84" s="11" t="s">
        <v>26</v>
      </c>
      <c r="AO84" s="11" t="s">
        <v>26</v>
      </c>
      <c r="AP84" s="11" t="s">
        <v>26</v>
      </c>
      <c r="AQ84" s="11" t="s">
        <v>26</v>
      </c>
      <c r="AR84" s="11" t="s">
        <v>26</v>
      </c>
      <c r="AS84" s="11" t="s">
        <v>26</v>
      </c>
      <c r="AT84" s="11" t="s">
        <v>26</v>
      </c>
      <c r="AU84" s="11" t="s">
        <v>26</v>
      </c>
      <c r="AV84" s="11" t="s">
        <v>26</v>
      </c>
      <c r="AW84" s="11" t="s">
        <v>26</v>
      </c>
      <c r="AX84" s="11" t="s">
        <v>26</v>
      </c>
      <c r="AY84" s="11" t="s">
        <v>26</v>
      </c>
      <c r="AZ84" s="11">
        <v>4200</v>
      </c>
    </row>
    <row r="85" spans="1:52" x14ac:dyDescent="0.3">
      <c r="A85" s="11">
        <v>4201</v>
      </c>
      <c r="B85" s="11" t="s">
        <v>26</v>
      </c>
      <c r="C85" s="11" t="s">
        <v>26</v>
      </c>
      <c r="D85" s="11" t="s">
        <v>26</v>
      </c>
      <c r="E85" s="11" t="s">
        <v>27</v>
      </c>
      <c r="F85" s="11" t="s">
        <v>12</v>
      </c>
      <c r="G85" s="11" t="s">
        <v>26</v>
      </c>
      <c r="H85" s="11" t="s">
        <v>57</v>
      </c>
      <c r="I85" s="11" t="s">
        <v>26</v>
      </c>
      <c r="J85" s="11" t="s">
        <v>57</v>
      </c>
      <c r="K85" s="11" t="s">
        <v>27</v>
      </c>
      <c r="L85" s="11" t="s">
        <v>26</v>
      </c>
      <c r="M85" s="11" t="s">
        <v>12</v>
      </c>
      <c r="N85" s="11" t="s">
        <v>57</v>
      </c>
      <c r="O85" s="11" t="s">
        <v>26</v>
      </c>
      <c r="P85" s="11" t="s">
        <v>26</v>
      </c>
      <c r="Q85" s="11" t="s">
        <v>26</v>
      </c>
      <c r="R85" s="11" t="s">
        <v>26</v>
      </c>
      <c r="S85" s="11" t="s">
        <v>26</v>
      </c>
      <c r="T85" s="11" t="s">
        <v>26</v>
      </c>
      <c r="U85" s="11" t="s">
        <v>26</v>
      </c>
      <c r="V85" s="11" t="s">
        <v>26</v>
      </c>
      <c r="W85" s="11" t="s">
        <v>26</v>
      </c>
      <c r="X85" s="11" t="s">
        <v>26</v>
      </c>
      <c r="Y85" s="11" t="s">
        <v>26</v>
      </c>
      <c r="Z85" s="11" t="s">
        <v>26</v>
      </c>
      <c r="AA85" s="11" t="s">
        <v>26</v>
      </c>
      <c r="AB85" s="11" t="s">
        <v>26</v>
      </c>
      <c r="AC85" s="11" t="s">
        <v>26</v>
      </c>
      <c r="AD85" s="11" t="s">
        <v>26</v>
      </c>
      <c r="AE85" s="11" t="s">
        <v>26</v>
      </c>
      <c r="AF85" s="11" t="s">
        <v>26</v>
      </c>
      <c r="AG85" s="11" t="s">
        <v>26</v>
      </c>
      <c r="AH85" s="11" t="s">
        <v>26</v>
      </c>
      <c r="AI85" s="11" t="s">
        <v>26</v>
      </c>
      <c r="AJ85" s="11" t="s">
        <v>26</v>
      </c>
      <c r="AK85" s="11" t="s">
        <v>26</v>
      </c>
      <c r="AL85" s="11" t="s">
        <v>26</v>
      </c>
      <c r="AM85" s="11" t="s">
        <v>26</v>
      </c>
      <c r="AN85" s="11" t="s">
        <v>26</v>
      </c>
      <c r="AO85" s="11" t="s">
        <v>26</v>
      </c>
      <c r="AP85" s="11" t="s">
        <v>26</v>
      </c>
      <c r="AQ85" s="11" t="s">
        <v>26</v>
      </c>
      <c r="AR85" s="11" t="s">
        <v>26</v>
      </c>
      <c r="AS85" s="11" t="s">
        <v>26</v>
      </c>
      <c r="AT85" s="11" t="s">
        <v>26</v>
      </c>
      <c r="AU85" s="11" t="s">
        <v>26</v>
      </c>
      <c r="AV85" s="11" t="s">
        <v>26</v>
      </c>
      <c r="AW85" s="11" t="s">
        <v>26</v>
      </c>
      <c r="AX85" s="11" t="s">
        <v>26</v>
      </c>
      <c r="AY85" s="11" t="s">
        <v>26</v>
      </c>
      <c r="AZ85" s="11">
        <v>4250</v>
      </c>
    </row>
    <row r="86" spans="1:52" x14ac:dyDescent="0.3">
      <c r="A86" s="11">
        <v>4251</v>
      </c>
      <c r="B86" s="11" t="s">
        <v>26</v>
      </c>
      <c r="C86" s="11" t="s">
        <v>26</v>
      </c>
      <c r="D86" s="11" t="s">
        <v>26</v>
      </c>
      <c r="E86" s="11" t="s">
        <v>26</v>
      </c>
      <c r="F86" s="11" t="s">
        <v>26</v>
      </c>
      <c r="G86" s="11" t="s">
        <v>26</v>
      </c>
      <c r="H86" s="11" t="s">
        <v>26</v>
      </c>
      <c r="I86" s="11" t="s">
        <v>26</v>
      </c>
      <c r="J86" s="11" t="s">
        <v>26</v>
      </c>
      <c r="K86" s="11" t="s">
        <v>26</v>
      </c>
      <c r="L86" s="11" t="s">
        <v>26</v>
      </c>
      <c r="M86" s="11" t="s">
        <v>26</v>
      </c>
      <c r="N86" s="11" t="s">
        <v>26</v>
      </c>
      <c r="O86" s="11" t="s">
        <v>26</v>
      </c>
      <c r="P86" s="11" t="s">
        <v>26</v>
      </c>
      <c r="Q86" s="11" t="s">
        <v>26</v>
      </c>
      <c r="R86" s="11" t="s">
        <v>26</v>
      </c>
      <c r="S86" s="11" t="s">
        <v>26</v>
      </c>
      <c r="T86" s="11" t="s">
        <v>26</v>
      </c>
      <c r="U86" s="11" t="s">
        <v>26</v>
      </c>
      <c r="V86" s="11" t="s">
        <v>26</v>
      </c>
      <c r="W86" s="11" t="s">
        <v>26</v>
      </c>
      <c r="X86" s="11" t="s">
        <v>26</v>
      </c>
      <c r="Y86" s="11" t="s">
        <v>26</v>
      </c>
      <c r="Z86" s="11" t="s">
        <v>26</v>
      </c>
      <c r="AA86" s="11" t="s">
        <v>26</v>
      </c>
      <c r="AB86" s="11" t="s">
        <v>26</v>
      </c>
      <c r="AC86" s="11" t="s">
        <v>26</v>
      </c>
      <c r="AD86" s="11" t="s">
        <v>26</v>
      </c>
      <c r="AE86" s="11" t="s">
        <v>26</v>
      </c>
      <c r="AF86" s="11" t="s">
        <v>26</v>
      </c>
      <c r="AG86" s="11" t="s">
        <v>26</v>
      </c>
      <c r="AH86" s="11" t="s">
        <v>26</v>
      </c>
      <c r="AZ86" s="11">
        <v>4283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E81DD9A37A074B8DEC9F00114B34F2" ma:contentTypeVersion="13" ma:contentTypeDescription="Create a new document." ma:contentTypeScope="" ma:versionID="9b35ef2e57b24364540f96b73dfb505e">
  <xsd:schema xmlns:xsd="http://www.w3.org/2001/XMLSchema" xmlns:xs="http://www.w3.org/2001/XMLSchema" xmlns:p="http://schemas.microsoft.com/office/2006/metadata/properties" xmlns:ns3="c6951ddd-356c-4231-b575-b92f23d7d7b2" xmlns:ns4="dd694f52-c9b5-477f-8df7-0a2727c57b09" targetNamespace="http://schemas.microsoft.com/office/2006/metadata/properties" ma:root="true" ma:fieldsID="cb33e0d5eff00edb1623cabc24ba8898" ns3:_="" ns4:_="">
    <xsd:import namespace="c6951ddd-356c-4231-b575-b92f23d7d7b2"/>
    <xsd:import namespace="dd694f52-c9b5-477f-8df7-0a2727c57b0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951ddd-356c-4231-b575-b92f23d7d7b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694f52-c9b5-477f-8df7-0a2727c57b0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35F172-B65B-4ACB-A53B-B813A8A4D6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7574AE-5DCA-47F1-BE6C-EA2F5278C0E2}">
  <ds:schemaRefs>
    <ds:schemaRef ds:uri="dd694f52-c9b5-477f-8df7-0a2727c57b09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c6951ddd-356c-4231-b575-b92f23d7d7b2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9DA398F-02AA-40D4-B3E8-4A43AD8CB5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951ddd-356c-4231-b575-b92f23d7d7b2"/>
    <ds:schemaRef ds:uri="dd694f52-c9b5-477f-8df7-0a2727c57b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Choose Sequence</vt:lpstr>
      <vt:lpstr>Theoretical Masses</vt:lpstr>
      <vt:lpstr>Matches</vt:lpstr>
      <vt:lpstr>Matched Input List</vt:lpstr>
      <vt:lpstr>Sequence Coverage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Gau, Brian</dc:creator>
  <cp:lastModifiedBy>Gau, Brian</cp:lastModifiedBy>
  <dcterms:created xsi:type="dcterms:W3CDTF">2020-07-24T22:28:28Z</dcterms:created>
  <dcterms:modified xsi:type="dcterms:W3CDTF">2022-12-09T17:11:10Z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0x010100CBE81DD9A37A074B8DEC9F00114B34F2</vt:lpwstr>
  </property>
  <property fmtid="{D5CDD505-2E9C-101B-9397-08002B2CF9AE}" pid="3" name="MSIP_Label_98da22f8-c169-4ff2-bd8c-c9797308d5a4_Enabled">
    <vt:lpwstr>true</vt:lpwstr>
  </property>
  <property fmtid="{D5CDD505-2E9C-101B-9397-08002B2CF9AE}" pid="4" name="MSIP_Label_98da22f8-c169-4ff2-bd8c-c9797308d5a4_SetDate">
    <vt:lpwstr>2022-11-21T15:59:32Z</vt:lpwstr>
  </property>
  <property fmtid="{D5CDD505-2E9C-101B-9397-08002B2CF9AE}" pid="5" name="MSIP_Label_98da22f8-c169-4ff2-bd8c-c9797308d5a4_Method">
    <vt:lpwstr>Privileged</vt:lpwstr>
  </property>
  <property fmtid="{D5CDD505-2E9C-101B-9397-08002B2CF9AE}" pid="6" name="MSIP_Label_98da22f8-c169-4ff2-bd8c-c9797308d5a4_Name">
    <vt:lpwstr>98da22f8-c169-4ff2-bd8c-c9797308d5a4</vt:lpwstr>
  </property>
  <property fmtid="{D5CDD505-2E9C-101B-9397-08002B2CF9AE}" pid="7" name="MSIP_Label_98da22f8-c169-4ff2-bd8c-c9797308d5a4_SiteId">
    <vt:lpwstr>7a916015-20ae-4ad1-9170-eefd915e9272</vt:lpwstr>
  </property>
  <property fmtid="{D5CDD505-2E9C-101B-9397-08002B2CF9AE}" pid="8" name="MSIP_Label_98da22f8-c169-4ff2-bd8c-c9797308d5a4_ActionId">
    <vt:lpwstr>e9f940b5-ee75-4344-b8f0-3fbdd5f9048a</vt:lpwstr>
  </property>
  <property fmtid="{D5CDD505-2E9C-101B-9397-08002B2CF9AE}" pid="9" name="MSIP_Label_98da22f8-c169-4ff2-bd8c-c9797308d5a4_ContentBits">
    <vt:lpwstr>0</vt:lpwstr>
  </property>
</Properties>
</file>