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gaub_pfizer_com/Documents/Documents/Experiments/2022/Covid/RNAmap/00711527-0170/Tools/Tools_for_External/"/>
    </mc:Choice>
  </mc:AlternateContent>
  <xr:revisionPtr revIDLastSave="63" documentId="8_{6FABCC48-AFFE-4F3F-98B4-3DDFC2BB3CF7}" xr6:coauthVersionLast="47" xr6:coauthVersionMax="47" xr10:uidLastSave="{3FCFD12C-66A4-4BB1-AD68-410CDFFB6B18}"/>
  <bookViews>
    <workbookView xWindow="25080" yWindow="-120" windowWidth="25440" windowHeight="15390" tabRatio="630" xr2:uid="{E8E1560F-66B3-440F-AAAE-6BA7C976B3BB}"/>
  </bookViews>
  <sheets>
    <sheet name="Input Oligonucleotide" sheetId="147" r:id="rId1"/>
    <sheet name="Spectrum Input" sheetId="4" r:id="rId2"/>
    <sheet name="Theoretical Masses" sheetId="3" r:id="rId3"/>
    <sheet name="Theoretical Masses 1 Column" sheetId="5" r:id="rId4"/>
    <sheet name="Observed Masses" sheetId="6" r:id="rId5"/>
    <sheet name="Spectrum Match Plot" sheetId="1805" r:id="rId6"/>
    <sheet name="Plot" sheetId="7" r:id="rId7"/>
    <sheet name="Matched Theory" sheetId="1632" r:id="rId8"/>
  </sheets>
  <definedNames>
    <definedName name="_xlnm._FilterDatabase" localSheetId="7" hidden="1">'Matched Theory'!$A$1:$N$31</definedName>
    <definedName name="_xlnm._FilterDatabase" localSheetId="4" hidden="1">'Observed Masses'!$A$1:$M$223</definedName>
    <definedName name="_xlnm._FilterDatabase" localSheetId="1" hidden="1">'Spectrum Input'!$A$1:$G$1179</definedName>
    <definedName name="_xlnm._FilterDatabase" localSheetId="2" hidden="1">'Theoretical Masses'!$A$1:$AF$188</definedName>
    <definedName name="_xlnm._FilterDatabase" localSheetId="3" hidden="1">'Theoretical Masses 1 Column'!$A$1:$F$161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0" i="147" l="1"/>
  <c r="AK6" i="147"/>
  <c r="AK7" i="147" s="1"/>
  <c r="AK8" i="147" s="1"/>
  <c r="AK9" i="147" s="1"/>
  <c r="AK10" i="147" s="1"/>
  <c r="AK11" i="147" s="1"/>
  <c r="AK12" i="147" s="1"/>
  <c r="AO1" i="147" l="1"/>
  <c r="AN1" i="147"/>
  <c r="A40" i="147" l="1"/>
  <c r="A85" i="147" l="1"/>
  <c r="A91" i="147"/>
  <c r="A86" i="147"/>
  <c r="A84" i="147"/>
  <c r="A83" i="147"/>
  <c r="A82" i="147"/>
  <c r="A81" i="147"/>
  <c r="A80" i="147"/>
  <c r="A90" i="147"/>
  <c r="A89" i="147"/>
  <c r="A88" i="147"/>
  <c r="A87" i="147"/>
  <c r="A79" i="147"/>
  <c r="A78" i="147"/>
  <c r="A77" i="147"/>
  <c r="A76" i="147"/>
  <c r="A75" i="147" s="1"/>
  <c r="A74" i="147" s="1"/>
  <c r="A73" i="147" s="1"/>
  <c r="A72" i="147" s="1"/>
  <c r="A71" i="147" s="1"/>
  <c r="A70" i="147" s="1"/>
  <c r="A69" i="147" s="1"/>
  <c r="A68" i="147" s="1"/>
  <c r="A67" i="147" s="1"/>
  <c r="A66" i="147" s="1"/>
  <c r="A65" i="147" s="1"/>
  <c r="A64" i="147" s="1"/>
  <c r="A63" i="147" s="1"/>
  <c r="A62" i="147" s="1"/>
  <c r="A61" i="147" s="1"/>
  <c r="A60" i="147" s="1"/>
  <c r="A59" i="147" s="1"/>
  <c r="A58" i="147" s="1"/>
  <c r="A57" i="147" s="1"/>
  <c r="A56" i="147" s="1"/>
  <c r="A55" i="147" s="1"/>
  <c r="A54" i="147" s="1"/>
  <c r="A53" i="147" s="1"/>
  <c r="A52" i="147" s="1"/>
  <c r="A51" i="147" s="1"/>
  <c r="A50" i="147" s="1"/>
  <c r="A49" i="147" s="1"/>
  <c r="A48" i="147" s="1"/>
  <c r="A47" i="147" s="1"/>
  <c r="A46" i="147" s="1"/>
  <c r="A45" i="147" s="1"/>
  <c r="A44" i="147" s="1"/>
  <c r="A43" i="147" s="1"/>
  <c r="A42" i="147" s="1"/>
  <c r="A41" i="147" s="1"/>
  <c r="A39" i="147" s="1"/>
  <c r="A7" i="147" l="1"/>
  <c r="AA45" i="147" l="1"/>
  <c r="AB45" i="147"/>
  <c r="AC45" i="147"/>
  <c r="AD45" i="147"/>
  <c r="AE45" i="147"/>
  <c r="AF45" i="147"/>
  <c r="AA46" i="147"/>
  <c r="AB46" i="147"/>
  <c r="AC46" i="147"/>
  <c r="AD46" i="147"/>
  <c r="AE46" i="147"/>
  <c r="AF46" i="147"/>
  <c r="AA47" i="147"/>
  <c r="AB47" i="147"/>
  <c r="AC47" i="147"/>
  <c r="AD47" i="147"/>
  <c r="AE47" i="147"/>
  <c r="AF47" i="147"/>
  <c r="AB44" i="147"/>
  <c r="AC44" i="147"/>
  <c r="AD44" i="147"/>
  <c r="AE44" i="147"/>
  <c r="AF44" i="147"/>
  <c r="AA44" i="147"/>
  <c r="AG31" i="147" l="1"/>
  <c r="AF31" i="147"/>
  <c r="AE31" i="147"/>
  <c r="AD31" i="147"/>
  <c r="AC31" i="147"/>
  <c r="AB31" i="147"/>
  <c r="AA31" i="147"/>
  <c r="Z31" i="147"/>
  <c r="Y31" i="147"/>
  <c r="K6" i="147"/>
  <c r="J6" i="147"/>
  <c r="I6" i="147"/>
  <c r="R1" i="147"/>
  <c r="Q1" i="147"/>
  <c r="P1" i="147"/>
  <c r="O1" i="147"/>
  <c r="N1" i="147"/>
  <c r="M1" i="147"/>
  <c r="R6" i="147" a="1"/>
  <c r="Q6" i="147" a="1"/>
  <c r="P6" i="147" a="1"/>
  <c r="N6" i="147" a="1"/>
  <c r="Q6" i="147" l="1"/>
  <c r="N6" i="147"/>
  <c r="R6" i="147"/>
  <c r="P6" i="147"/>
  <c r="M6" i="147" a="1"/>
  <c r="O6" i="147" a="1"/>
  <c r="M6" i="147" l="1"/>
  <c r="O6" i="147"/>
  <c r="AH7" i="147" l="1"/>
  <c r="AH6" i="147"/>
  <c r="AH4" i="147"/>
  <c r="AH5" i="147"/>
  <c r="AH3" i="147"/>
  <c r="B3" i="147"/>
  <c r="AG5" i="147" s="1"/>
  <c r="B4" i="147" l="1"/>
  <c r="G87" i="147" s="1"/>
  <c r="J87" i="147" s="1"/>
  <c r="AG4" i="147"/>
  <c r="AG7" i="147"/>
  <c r="AG3" i="147"/>
  <c r="AG6" i="147"/>
  <c r="C37" i="147" l="1"/>
  <c r="C42" i="147"/>
  <c r="H79" i="147"/>
  <c r="K79" i="147" s="1"/>
  <c r="G58" i="147"/>
  <c r="J58" i="147" s="1"/>
  <c r="F100" i="147"/>
  <c r="I100" i="147" s="1"/>
  <c r="C66" i="147"/>
  <c r="G91" i="147"/>
  <c r="J91" i="147" s="1"/>
  <c r="G61" i="147"/>
  <c r="J61" i="147" s="1"/>
  <c r="G46" i="147"/>
  <c r="J46" i="147" s="1"/>
  <c r="C10" i="147"/>
  <c r="F10" i="147" s="1"/>
  <c r="I10" i="147" s="1"/>
  <c r="G96" i="147"/>
  <c r="J96" i="147" s="1"/>
  <c r="F68" i="147"/>
  <c r="I68" i="147" s="1"/>
  <c r="C57" i="147"/>
  <c r="H57" i="147" s="1"/>
  <c r="K57" i="147" s="1"/>
  <c r="C95" i="147"/>
  <c r="F73" i="147"/>
  <c r="I73" i="147" s="1"/>
  <c r="C9" i="147"/>
  <c r="F9" i="147" s="1"/>
  <c r="I9" i="147" s="1"/>
  <c r="H83" i="147"/>
  <c r="K83" i="147" s="1"/>
  <c r="F86" i="147"/>
  <c r="I86" i="147" s="1"/>
  <c r="G66" i="147"/>
  <c r="J66" i="147" s="1"/>
  <c r="C35" i="147"/>
  <c r="G35" i="147" s="1"/>
  <c r="J35" i="147" s="1"/>
  <c r="H100" i="147"/>
  <c r="K100" i="147" s="1"/>
  <c r="F47" i="147"/>
  <c r="I47" i="147" s="1"/>
  <c r="G67" i="147"/>
  <c r="J67" i="147" s="1"/>
  <c r="H62" i="147"/>
  <c r="K62" i="147" s="1"/>
  <c r="F104" i="147"/>
  <c r="I104" i="147" s="1"/>
  <c r="H75" i="147"/>
  <c r="K75" i="147" s="1"/>
  <c r="C50" i="147"/>
  <c r="F77" i="147"/>
  <c r="I77" i="147" s="1"/>
  <c r="C63" i="147"/>
  <c r="F90" i="147"/>
  <c r="I90" i="147" s="1"/>
  <c r="C84" i="147"/>
  <c r="G52" i="147"/>
  <c r="J52" i="147" s="1"/>
  <c r="C40" i="147"/>
  <c r="F40" i="147" s="1"/>
  <c r="I40" i="147" s="1"/>
  <c r="F51" i="147"/>
  <c r="I51" i="147" s="1"/>
  <c r="C21" i="147"/>
  <c r="F21" i="147" s="1"/>
  <c r="I21" i="147" s="1"/>
  <c r="C36" i="147"/>
  <c r="F36" i="147" s="1"/>
  <c r="I36" i="147" s="1"/>
  <c r="G106" i="147"/>
  <c r="J106" i="147" s="1"/>
  <c r="C105" i="147"/>
  <c r="H105" i="147"/>
  <c r="K105" i="147" s="1"/>
  <c r="C87" i="147"/>
  <c r="G79" i="147"/>
  <c r="J79" i="147" s="1"/>
  <c r="G93" i="147"/>
  <c r="J93" i="147" s="1"/>
  <c r="F76" i="147"/>
  <c r="I76" i="147" s="1"/>
  <c r="H99" i="147"/>
  <c r="K99" i="147" s="1"/>
  <c r="C86" i="147"/>
  <c r="G74" i="147"/>
  <c r="J74" i="147" s="1"/>
  <c r="H90" i="147"/>
  <c r="K90" i="147" s="1"/>
  <c r="C71" i="147"/>
  <c r="C17" i="147"/>
  <c r="H17" i="147" s="1"/>
  <c r="K17" i="147" s="1"/>
  <c r="F81" i="147"/>
  <c r="I81" i="147" s="1"/>
  <c r="H86" i="147"/>
  <c r="K86" i="147" s="1"/>
  <c r="C25" i="147"/>
  <c r="H25" i="147" s="1"/>
  <c r="K25" i="147" s="1"/>
  <c r="G92" i="147"/>
  <c r="J92" i="147" s="1"/>
  <c r="H74" i="147"/>
  <c r="K74" i="147" s="1"/>
  <c r="F62" i="147"/>
  <c r="I62" i="147" s="1"/>
  <c r="F94" i="147"/>
  <c r="I94" i="147" s="1"/>
  <c r="H78" i="147"/>
  <c r="K78" i="147" s="1"/>
  <c r="F87" i="147"/>
  <c r="I87" i="147" s="1"/>
  <c r="C88" i="147"/>
  <c r="C19" i="147"/>
  <c r="G19" i="147" s="1"/>
  <c r="J19" i="147" s="1"/>
  <c r="F105" i="147"/>
  <c r="I105" i="147" s="1"/>
  <c r="G63" i="147"/>
  <c r="J63" i="147" s="1"/>
  <c r="G55" i="147"/>
  <c r="J55" i="147" s="1"/>
  <c r="H66" i="147"/>
  <c r="K66" i="147" s="1"/>
  <c r="C13" i="147"/>
  <c r="F13" i="147" s="1"/>
  <c r="I13" i="147" s="1"/>
  <c r="H97" i="147"/>
  <c r="K97" i="147" s="1"/>
  <c r="F106" i="147"/>
  <c r="S106" i="147" s="1"/>
  <c r="F79" i="147"/>
  <c r="I79" i="147" s="1"/>
  <c r="C101" i="147"/>
  <c r="C23" i="147"/>
  <c r="H23" i="147" s="1"/>
  <c r="K23" i="147" s="1"/>
  <c r="H95" i="147"/>
  <c r="K95" i="147" s="1"/>
  <c r="C65" i="147"/>
  <c r="F72" i="147"/>
  <c r="I72" i="147" s="1"/>
  <c r="C30" i="147"/>
  <c r="F30" i="147" s="1"/>
  <c r="I30" i="147" s="1"/>
  <c r="H64" i="147"/>
  <c r="K64" i="147" s="1"/>
  <c r="C38" i="147"/>
  <c r="G38" i="147" s="1"/>
  <c r="J38" i="147" s="1"/>
  <c r="F45" i="147"/>
  <c r="I45" i="147" s="1"/>
  <c r="G88" i="147"/>
  <c r="J88" i="147" s="1"/>
  <c r="H88" i="147"/>
  <c r="K88" i="147" s="1"/>
  <c r="C94" i="147"/>
  <c r="H60" i="147"/>
  <c r="K60" i="147" s="1"/>
  <c r="F58" i="147"/>
  <c r="I58" i="147" s="1"/>
  <c r="H67" i="147"/>
  <c r="K67" i="147" s="1"/>
  <c r="G98" i="147"/>
  <c r="J98" i="147" s="1"/>
  <c r="C72" i="147"/>
  <c r="F83" i="147"/>
  <c r="I83" i="147" s="1"/>
  <c r="H77" i="147"/>
  <c r="K77" i="147" s="1"/>
  <c r="C7" i="147"/>
  <c r="H7" i="147" s="1"/>
  <c r="K7" i="147" s="1"/>
  <c r="H72" i="147"/>
  <c r="K72" i="147" s="1"/>
  <c r="C78" i="147"/>
  <c r="H106" i="147"/>
  <c r="K106" i="147" s="1"/>
  <c r="C64" i="147"/>
  <c r="C20" i="147"/>
  <c r="F20" i="147" s="1"/>
  <c r="I20" i="147" s="1"/>
  <c r="C56" i="147"/>
  <c r="F56" i="147" s="1"/>
  <c r="I56" i="147" s="1"/>
  <c r="C43" i="147"/>
  <c r="H43" i="147" s="1"/>
  <c r="K43" i="147" s="1"/>
  <c r="C16" i="147"/>
  <c r="G16" i="147" s="1"/>
  <c r="J16" i="147" s="1"/>
  <c r="F80" i="147"/>
  <c r="I80" i="147" s="1"/>
  <c r="G69" i="147"/>
  <c r="J69" i="147" s="1"/>
  <c r="H81" i="147"/>
  <c r="K81" i="147" s="1"/>
  <c r="C12" i="147"/>
  <c r="F12" i="147" s="1"/>
  <c r="I12" i="147" s="1"/>
  <c r="C54" i="147"/>
  <c r="G54" i="147" s="1"/>
  <c r="J54" i="147" s="1"/>
  <c r="C29" i="147"/>
  <c r="H29" i="147" s="1"/>
  <c r="K29" i="147" s="1"/>
  <c r="F85" i="147"/>
  <c r="I85" i="147" s="1"/>
  <c r="C52" i="147"/>
  <c r="C32" i="147"/>
  <c r="H32" i="147" s="1"/>
  <c r="K32" i="147" s="1"/>
  <c r="H94" i="147"/>
  <c r="K94" i="147" s="1"/>
  <c r="G105" i="147"/>
  <c r="J105" i="147" s="1"/>
  <c r="G44" i="147"/>
  <c r="J44" i="147" s="1"/>
  <c r="H104" i="147"/>
  <c r="K104" i="147" s="1"/>
  <c r="F66" i="147"/>
  <c r="I66" i="147" s="1"/>
  <c r="F98" i="147"/>
  <c r="I98" i="147" s="1"/>
  <c r="C22" i="147"/>
  <c r="G22" i="147" s="1"/>
  <c r="J22" i="147" s="1"/>
  <c r="H71" i="147"/>
  <c r="K71" i="147" s="1"/>
  <c r="G57" i="147"/>
  <c r="J57" i="147" s="1"/>
  <c r="C34" i="147"/>
  <c r="H34" i="147" s="1"/>
  <c r="K34" i="147" s="1"/>
  <c r="F59" i="147"/>
  <c r="I59" i="147" s="1"/>
  <c r="F91" i="147"/>
  <c r="I91" i="147" s="1"/>
  <c r="H56" i="147"/>
  <c r="K56" i="147" s="1"/>
  <c r="C8" i="147"/>
  <c r="F8" i="147" s="1"/>
  <c r="I8" i="147" s="1"/>
  <c r="C14" i="147"/>
  <c r="F14" i="147" s="1"/>
  <c r="I14" i="147" s="1"/>
  <c r="G99" i="147"/>
  <c r="J99" i="147" s="1"/>
  <c r="C45" i="147"/>
  <c r="C18" i="147"/>
  <c r="F18" i="147" s="1"/>
  <c r="I18" i="147" s="1"/>
  <c r="H68" i="147"/>
  <c r="K68" i="147" s="1"/>
  <c r="G49" i="147"/>
  <c r="J49" i="147" s="1"/>
  <c r="F89" i="147"/>
  <c r="I89" i="147" s="1"/>
  <c r="F102" i="147"/>
  <c r="I102" i="147" s="1"/>
  <c r="F63" i="147"/>
  <c r="I63" i="147" s="1"/>
  <c r="C31" i="147"/>
  <c r="G31" i="147" s="1"/>
  <c r="J31" i="147" s="1"/>
  <c r="C58" i="147"/>
  <c r="G90" i="147"/>
  <c r="J90" i="147" s="1"/>
  <c r="C82" i="147"/>
  <c r="C55" i="147"/>
  <c r="F55" i="147" s="1"/>
  <c r="I55" i="147" s="1"/>
  <c r="G68" i="147"/>
  <c r="J68" i="147" s="1"/>
  <c r="C49" i="147"/>
  <c r="F49" i="147" s="1"/>
  <c r="I49" i="147" s="1"/>
  <c r="C28" i="147"/>
  <c r="G28" i="147" s="1"/>
  <c r="J28" i="147" s="1"/>
  <c r="C89" i="147"/>
  <c r="F88" i="147"/>
  <c r="I88" i="147" s="1"/>
  <c r="C100" i="147"/>
  <c r="G37" i="147"/>
  <c r="J37" i="147" s="1"/>
  <c r="C15" i="147"/>
  <c r="H15" i="147" s="1"/>
  <c r="K15" i="147" s="1"/>
  <c r="C74" i="147"/>
  <c r="G100" i="147"/>
  <c r="J100" i="147" s="1"/>
  <c r="H58" i="147"/>
  <c r="K58" i="147" s="1"/>
  <c r="F61" i="147"/>
  <c r="I61" i="147" s="1"/>
  <c r="F93" i="147"/>
  <c r="I93" i="147" s="1"/>
  <c r="C70" i="147"/>
  <c r="G97" i="147"/>
  <c r="J97" i="147" s="1"/>
  <c r="C27" i="147"/>
  <c r="F27" i="147" s="1"/>
  <c r="I27" i="147" s="1"/>
  <c r="G42" i="147"/>
  <c r="J42" i="147" s="1"/>
  <c r="H85" i="147"/>
  <c r="K85" i="147" s="1"/>
  <c r="G101" i="147"/>
  <c r="J101" i="147" s="1"/>
  <c r="F42" i="147"/>
  <c r="I42" i="147" s="1"/>
  <c r="F74" i="147"/>
  <c r="I74" i="147" s="1"/>
  <c r="C98" i="147"/>
  <c r="H98" i="147"/>
  <c r="K98" i="147" s="1"/>
  <c r="H46" i="147"/>
  <c r="K46" i="147" s="1"/>
  <c r="C73" i="147"/>
  <c r="C80" i="147"/>
  <c r="F67" i="147"/>
  <c r="I67" i="147" s="1"/>
  <c r="F99" i="147"/>
  <c r="I99" i="147" s="1"/>
  <c r="C92" i="147"/>
  <c r="H96" i="147"/>
  <c r="K96" i="147" s="1"/>
  <c r="C61" i="147"/>
  <c r="H54" i="147"/>
  <c r="K54" i="147" s="1"/>
  <c r="H91" i="147"/>
  <c r="K91" i="147" s="1"/>
  <c r="H92" i="147"/>
  <c r="K92" i="147" s="1"/>
  <c r="G85" i="147"/>
  <c r="J85" i="147" s="1"/>
  <c r="F54" i="147"/>
  <c r="I54" i="147" s="1"/>
  <c r="G80" i="147"/>
  <c r="J80" i="147" s="1"/>
  <c r="G83" i="147"/>
  <c r="J83" i="147" s="1"/>
  <c r="G82" i="147"/>
  <c r="J82" i="147" s="1"/>
  <c r="C76" i="147"/>
  <c r="F52" i="147"/>
  <c r="I52" i="147" s="1"/>
  <c r="H59" i="147"/>
  <c r="K59" i="147" s="1"/>
  <c r="C41" i="147"/>
  <c r="F41" i="147" s="1"/>
  <c r="I41" i="147" s="1"/>
  <c r="H101" i="147"/>
  <c r="K101" i="147" s="1"/>
  <c r="G73" i="147"/>
  <c r="J73" i="147" s="1"/>
  <c r="F70" i="147"/>
  <c r="I70" i="147" s="1"/>
  <c r="C96" i="147"/>
  <c r="C69" i="147"/>
  <c r="G60" i="147"/>
  <c r="J60" i="147" s="1"/>
  <c r="G71" i="147"/>
  <c r="J71" i="147" s="1"/>
  <c r="C46" i="147"/>
  <c r="C97" i="147"/>
  <c r="G81" i="147"/>
  <c r="J81" i="147" s="1"/>
  <c r="C11" i="147"/>
  <c r="F11" i="147" s="1"/>
  <c r="I11" i="147" s="1"/>
  <c r="H82" i="147"/>
  <c r="K82" i="147" s="1"/>
  <c r="C51" i="147"/>
  <c r="H51" i="147" s="1"/>
  <c r="K51" i="147" s="1"/>
  <c r="C103" i="147"/>
  <c r="F60" i="147"/>
  <c r="I60" i="147" s="1"/>
  <c r="F92" i="147"/>
  <c r="I92" i="147" s="1"/>
  <c r="C68" i="147"/>
  <c r="C53" i="147"/>
  <c r="G53" i="147" s="1"/>
  <c r="J53" i="147" s="1"/>
  <c r="H73" i="147"/>
  <c r="K73" i="147" s="1"/>
  <c r="G86" i="147"/>
  <c r="J86" i="147" s="1"/>
  <c r="C104" i="147"/>
  <c r="C62" i="147"/>
  <c r="H80" i="147"/>
  <c r="K80" i="147" s="1"/>
  <c r="C79" i="147"/>
  <c r="F65" i="147"/>
  <c r="I65" i="147" s="1"/>
  <c r="F97" i="147"/>
  <c r="I97" i="147" s="1"/>
  <c r="H65" i="147"/>
  <c r="K65" i="147" s="1"/>
  <c r="G64" i="147"/>
  <c r="J64" i="147" s="1"/>
  <c r="C81" i="147"/>
  <c r="H61" i="147"/>
  <c r="K61" i="147" s="1"/>
  <c r="C99" i="147"/>
  <c r="F46" i="147"/>
  <c r="I46" i="147" s="1"/>
  <c r="F78" i="147"/>
  <c r="I78" i="147" s="1"/>
  <c r="H52" i="147"/>
  <c r="K52" i="147" s="1"/>
  <c r="H55" i="147"/>
  <c r="K55" i="147" s="1"/>
  <c r="H70" i="147"/>
  <c r="K70" i="147" s="1"/>
  <c r="G78" i="147"/>
  <c r="J78" i="147" s="1"/>
  <c r="H76" i="147"/>
  <c r="K76" i="147" s="1"/>
  <c r="H84" i="147"/>
  <c r="K84" i="147" s="1"/>
  <c r="F71" i="147"/>
  <c r="I71" i="147" s="1"/>
  <c r="F103" i="147"/>
  <c r="I103" i="147" s="1"/>
  <c r="H93" i="147"/>
  <c r="K93" i="147" s="1"/>
  <c r="G95" i="147"/>
  <c r="J95" i="147" s="1"/>
  <c r="H37" i="147"/>
  <c r="K37" i="147" s="1"/>
  <c r="G75" i="147"/>
  <c r="J75" i="147" s="1"/>
  <c r="G65" i="147"/>
  <c r="J65" i="147" s="1"/>
  <c r="G45" i="147"/>
  <c r="J45" i="147" s="1"/>
  <c r="H89" i="147"/>
  <c r="K89" i="147" s="1"/>
  <c r="G77" i="147"/>
  <c r="J77" i="147" s="1"/>
  <c r="C67" i="147"/>
  <c r="G70" i="147"/>
  <c r="J70" i="147" s="1"/>
  <c r="F84" i="147"/>
  <c r="I84" i="147" s="1"/>
  <c r="C44" i="147"/>
  <c r="H44" i="147" s="1"/>
  <c r="K44" i="147" s="1"/>
  <c r="C24" i="147"/>
  <c r="F24" i="147" s="1"/>
  <c r="I24" i="147" s="1"/>
  <c r="F57" i="147"/>
  <c r="I57" i="147" s="1"/>
  <c r="G94" i="147"/>
  <c r="J94" i="147" s="1"/>
  <c r="G59" i="147"/>
  <c r="J59" i="147" s="1"/>
  <c r="G56" i="147"/>
  <c r="J56" i="147" s="1"/>
  <c r="C83" i="147"/>
  <c r="C106" i="147"/>
  <c r="F95" i="147"/>
  <c r="I95" i="147" s="1"/>
  <c r="C93" i="147"/>
  <c r="C26" i="147"/>
  <c r="G26" i="147" s="1"/>
  <c r="J26" i="147" s="1"/>
  <c r="C47" i="147"/>
  <c r="H47" i="147" s="1"/>
  <c r="K47" i="147" s="1"/>
  <c r="H69" i="147"/>
  <c r="K69" i="147" s="1"/>
  <c r="G104" i="147"/>
  <c r="J104" i="147" s="1"/>
  <c r="G62" i="147"/>
  <c r="J62" i="147" s="1"/>
  <c r="H63" i="147"/>
  <c r="K63" i="147" s="1"/>
  <c r="G76" i="147"/>
  <c r="J76" i="147" s="1"/>
  <c r="F64" i="147"/>
  <c r="I64" i="147" s="1"/>
  <c r="F96" i="147"/>
  <c r="I96" i="147" s="1"/>
  <c r="G72" i="147"/>
  <c r="J72" i="147" s="1"/>
  <c r="H87" i="147"/>
  <c r="K87" i="147" s="1"/>
  <c r="C91" i="147"/>
  <c r="G102" i="147"/>
  <c r="J102" i="147" s="1"/>
  <c r="G89" i="147"/>
  <c r="J89" i="147" s="1"/>
  <c r="C102" i="147"/>
  <c r="F37" i="147"/>
  <c r="I37" i="147" s="1"/>
  <c r="F69" i="147"/>
  <c r="I69" i="147" s="1"/>
  <c r="F101" i="147"/>
  <c r="I101" i="147" s="1"/>
  <c r="H45" i="147"/>
  <c r="K45" i="147" s="1"/>
  <c r="C39" i="147"/>
  <c r="H39" i="147" s="1"/>
  <c r="K39" i="147" s="1"/>
  <c r="G84" i="147"/>
  <c r="J84" i="147" s="1"/>
  <c r="H102" i="147"/>
  <c r="K102" i="147" s="1"/>
  <c r="G103" i="147"/>
  <c r="J103" i="147" s="1"/>
  <c r="C85" i="147"/>
  <c r="F50" i="147"/>
  <c r="I50" i="147" s="1"/>
  <c r="F82" i="147"/>
  <c r="I82" i="147" s="1"/>
  <c r="H42" i="147"/>
  <c r="K42" i="147" s="1"/>
  <c r="H50" i="147"/>
  <c r="K50" i="147" s="1"/>
  <c r="C77" i="147"/>
  <c r="C59" i="147"/>
  <c r="C33" i="147"/>
  <c r="H33" i="147" s="1"/>
  <c r="K33" i="147" s="1"/>
  <c r="C90" i="147"/>
  <c r="C48" i="147"/>
  <c r="H48" i="147" s="1"/>
  <c r="K48" i="147" s="1"/>
  <c r="F43" i="147"/>
  <c r="I43" i="147" s="1"/>
  <c r="F75" i="147"/>
  <c r="I75" i="147" s="1"/>
  <c r="H103" i="147"/>
  <c r="K103" i="147" s="1"/>
  <c r="H49" i="147"/>
  <c r="K49" i="147" s="1"/>
  <c r="C60" i="147"/>
  <c r="C75" i="147"/>
  <c r="G50" i="147"/>
  <c r="J50" i="147" s="1"/>
  <c r="G43" i="147" l="1"/>
  <c r="J43" i="147" s="1"/>
  <c r="P43" i="147" s="1" a="1"/>
  <c r="G51" i="147"/>
  <c r="J51" i="147" s="1"/>
  <c r="N51" i="147" s="1" a="1"/>
  <c r="F44" i="147"/>
  <c r="I44" i="147" s="1"/>
  <c r="M44" i="147" s="1" a="1"/>
  <c r="F48" i="147"/>
  <c r="I48" i="147" s="1"/>
  <c r="G48" i="147"/>
  <c r="J48" i="147" s="1"/>
  <c r="F53" i="147"/>
  <c r="I53" i="147" s="1"/>
  <c r="H53" i="147"/>
  <c r="K53" i="147" s="1"/>
  <c r="G47" i="147"/>
  <c r="J47" i="147" s="1"/>
  <c r="M47" i="147" s="1" a="1"/>
  <c r="G41" i="147"/>
  <c r="J41" i="147" s="1"/>
  <c r="H41" i="147"/>
  <c r="K41" i="147" s="1"/>
  <c r="G39" i="147"/>
  <c r="J39" i="147" s="1"/>
  <c r="H10" i="147"/>
  <c r="K10" i="147" s="1"/>
  <c r="F32" i="147"/>
  <c r="I32" i="147" s="1"/>
  <c r="H40" i="147"/>
  <c r="K40" i="147" s="1"/>
  <c r="G36" i="147"/>
  <c r="J36" i="147" s="1"/>
  <c r="F38" i="147"/>
  <c r="I38" i="147" s="1"/>
  <c r="H38" i="147"/>
  <c r="K38" i="147" s="1"/>
  <c r="G40" i="147"/>
  <c r="J40" i="147" s="1"/>
  <c r="F39" i="147"/>
  <c r="I39" i="147" s="1"/>
  <c r="G27" i="147"/>
  <c r="J27" i="147" s="1"/>
  <c r="G32" i="147"/>
  <c r="J32" i="147" s="1"/>
  <c r="H27" i="147"/>
  <c r="K27" i="147" s="1"/>
  <c r="F31" i="147"/>
  <c r="I31" i="147" s="1"/>
  <c r="H30" i="147"/>
  <c r="K30" i="147" s="1"/>
  <c r="G21" i="147"/>
  <c r="J21" i="147" s="1"/>
  <c r="H21" i="147"/>
  <c r="K21" i="147" s="1"/>
  <c r="G17" i="147"/>
  <c r="J17" i="147" s="1"/>
  <c r="H31" i="147"/>
  <c r="K31" i="147" s="1"/>
  <c r="F34" i="147"/>
  <c r="I34" i="147" s="1"/>
  <c r="G34" i="147"/>
  <c r="J34" i="147" s="1"/>
  <c r="H35" i="147"/>
  <c r="K35" i="147" s="1"/>
  <c r="F35" i="147"/>
  <c r="I35" i="147" s="1"/>
  <c r="G33" i="147"/>
  <c r="J33" i="147" s="1"/>
  <c r="H36" i="147"/>
  <c r="K36" i="147" s="1"/>
  <c r="F33" i="147"/>
  <c r="I33" i="147" s="1"/>
  <c r="F28" i="147"/>
  <c r="I28" i="147" s="1"/>
  <c r="G29" i="147"/>
  <c r="J29" i="147" s="1"/>
  <c r="H28" i="147"/>
  <c r="K28" i="147" s="1"/>
  <c r="F29" i="147"/>
  <c r="I29" i="147" s="1"/>
  <c r="G30" i="147"/>
  <c r="J30" i="147" s="1"/>
  <c r="G7" i="147"/>
  <c r="J7" i="147" s="1"/>
  <c r="H26" i="147"/>
  <c r="K26" i="147" s="1"/>
  <c r="F26" i="147"/>
  <c r="I26" i="147" s="1"/>
  <c r="F25" i="147"/>
  <c r="I25" i="147" s="1"/>
  <c r="F19" i="147"/>
  <c r="I19" i="147" s="1"/>
  <c r="G25" i="147"/>
  <c r="J25" i="147" s="1"/>
  <c r="H19" i="147"/>
  <c r="K19" i="147" s="1"/>
  <c r="G20" i="147"/>
  <c r="J20" i="147" s="1"/>
  <c r="H24" i="147"/>
  <c r="K24" i="147" s="1"/>
  <c r="G24" i="147"/>
  <c r="J24" i="147" s="1"/>
  <c r="G18" i="147"/>
  <c r="J18" i="147" s="1"/>
  <c r="H20" i="147"/>
  <c r="K20" i="147" s="1"/>
  <c r="F23" i="147"/>
  <c r="I23" i="147" s="1"/>
  <c r="G23" i="147"/>
  <c r="J23" i="147" s="1"/>
  <c r="H22" i="147"/>
  <c r="K22" i="147" s="1"/>
  <c r="F22" i="147"/>
  <c r="I22" i="147" s="1"/>
  <c r="I106" i="147"/>
  <c r="R106" i="147" s="1" a="1"/>
  <c r="R106" i="147" s="1"/>
  <c r="F17" i="147"/>
  <c r="I17" i="147" s="1"/>
  <c r="H18" i="147"/>
  <c r="K18" i="147" s="1"/>
  <c r="H14" i="147"/>
  <c r="K14" i="147" s="1"/>
  <c r="G14" i="147"/>
  <c r="J14" i="147" s="1"/>
  <c r="G8" i="147"/>
  <c r="J8" i="147" s="1"/>
  <c r="H8" i="147"/>
  <c r="K8" i="147" s="1"/>
  <c r="H13" i="147"/>
  <c r="K13" i="147" s="1"/>
  <c r="F16" i="147"/>
  <c r="I16" i="147" s="1"/>
  <c r="H16" i="147"/>
  <c r="K16" i="147" s="1"/>
  <c r="G10" i="147"/>
  <c r="J10" i="147" s="1"/>
  <c r="S105" i="147"/>
  <c r="S104" i="147" s="1"/>
  <c r="S103" i="147" s="1"/>
  <c r="S102" i="147" s="1"/>
  <c r="S101" i="147" s="1"/>
  <c r="S100" i="147" s="1"/>
  <c r="S99" i="147" s="1"/>
  <c r="S98" i="147" s="1"/>
  <c r="S97" i="147" s="1"/>
  <c r="S96" i="147" s="1"/>
  <c r="S95" i="147" s="1"/>
  <c r="S94" i="147" s="1"/>
  <c r="S93" i="147" s="1"/>
  <c r="S92" i="147" s="1"/>
  <c r="S91" i="147" s="1"/>
  <c r="S90" i="147" s="1"/>
  <c r="S89" i="147" s="1"/>
  <c r="S88" i="147" s="1"/>
  <c r="S87" i="147" s="1"/>
  <c r="S86" i="147" s="1"/>
  <c r="S85" i="147" s="1"/>
  <c r="S84" i="147" s="1"/>
  <c r="S83" i="147" s="1"/>
  <c r="S82" i="147" s="1"/>
  <c r="S81" i="147" s="1"/>
  <c r="S80" i="147" s="1"/>
  <c r="S79" i="147" s="1"/>
  <c r="S78" i="147" s="1"/>
  <c r="S77" i="147" s="1"/>
  <c r="S76" i="147" s="1"/>
  <c r="S75" i="147" s="1"/>
  <c r="S74" i="147" s="1"/>
  <c r="S73" i="147" s="1"/>
  <c r="S72" i="147" s="1"/>
  <c r="S71" i="147" s="1"/>
  <c r="S70" i="147" s="1"/>
  <c r="S69" i="147" s="1"/>
  <c r="S68" i="147" s="1"/>
  <c r="S67" i="147" s="1"/>
  <c r="S66" i="147" s="1"/>
  <c r="S65" i="147" s="1"/>
  <c r="S64" i="147" s="1"/>
  <c r="S63" i="147" s="1"/>
  <c r="S62" i="147" s="1"/>
  <c r="S61" i="147" s="1"/>
  <c r="S60" i="147" s="1"/>
  <c r="S59" i="147" s="1"/>
  <c r="S58" i="147" s="1"/>
  <c r="S57" i="147" s="1"/>
  <c r="S56" i="147" s="1"/>
  <c r="S55" i="147" s="1"/>
  <c r="S54" i="147" s="1"/>
  <c r="H11" i="147"/>
  <c r="K11" i="147" s="1"/>
  <c r="G13" i="147"/>
  <c r="J13" i="147" s="1"/>
  <c r="G9" i="147"/>
  <c r="J9" i="147" s="1"/>
  <c r="H9" i="147"/>
  <c r="K9" i="147" s="1"/>
  <c r="G12" i="147"/>
  <c r="J12" i="147" s="1"/>
  <c r="F7" i="147"/>
  <c r="I7" i="147" s="1"/>
  <c r="F15" i="147"/>
  <c r="I15" i="147" s="1"/>
  <c r="G11" i="147"/>
  <c r="J11" i="147" s="1"/>
  <c r="G15" i="147"/>
  <c r="J15" i="147" s="1"/>
  <c r="H12" i="147"/>
  <c r="K12" i="147" s="1"/>
  <c r="R59" i="147" a="1"/>
  <c r="R59" i="147" s="1"/>
  <c r="M59" i="147" a="1"/>
  <c r="M59" i="147" s="1"/>
  <c r="O59" i="147" a="1"/>
  <c r="O59" i="147" s="1"/>
  <c r="N59" i="147" a="1"/>
  <c r="N59" i="147" s="1"/>
  <c r="Q59" i="147" a="1"/>
  <c r="Q59" i="147" s="1"/>
  <c r="P59" i="147" a="1"/>
  <c r="P59" i="147" s="1"/>
  <c r="M70" i="147" a="1"/>
  <c r="M70" i="147" s="1"/>
  <c r="P70" i="147" a="1"/>
  <c r="P70" i="147" s="1"/>
  <c r="O70" i="147" a="1"/>
  <c r="O70" i="147" s="1"/>
  <c r="R70" i="147" a="1"/>
  <c r="R70" i="147" s="1"/>
  <c r="Q70" i="147" a="1"/>
  <c r="Q70" i="147" s="1"/>
  <c r="N70" i="147" a="1"/>
  <c r="N70" i="147" s="1"/>
  <c r="R85" i="147" a="1"/>
  <c r="R85" i="147" s="1"/>
  <c r="N85" i="147" a="1"/>
  <c r="N85" i="147" s="1"/>
  <c r="O85" i="147" a="1"/>
  <c r="O85" i="147" s="1"/>
  <c r="Q85" i="147" a="1"/>
  <c r="Q85" i="147" s="1"/>
  <c r="M85" i="147" a="1"/>
  <c r="M85" i="147" s="1"/>
  <c r="P85" i="147" a="1"/>
  <c r="P85" i="147" s="1"/>
  <c r="Q93" i="147" a="1"/>
  <c r="Q93" i="147" s="1"/>
  <c r="N93" i="147" a="1"/>
  <c r="N93" i="147" s="1"/>
  <c r="P93" i="147" a="1"/>
  <c r="P93" i="147" s="1"/>
  <c r="M93" i="147" a="1"/>
  <c r="M93" i="147" s="1"/>
  <c r="O93" i="147" a="1"/>
  <c r="O93" i="147" s="1"/>
  <c r="R93" i="147" a="1"/>
  <c r="R93" i="147" s="1"/>
  <c r="P81" i="147" a="1"/>
  <c r="P81" i="147" s="1"/>
  <c r="M81" i="147" a="1"/>
  <c r="M81" i="147" s="1"/>
  <c r="N81" i="147" a="1"/>
  <c r="N81" i="147" s="1"/>
  <c r="O81" i="147" a="1"/>
  <c r="O81" i="147" s="1"/>
  <c r="Q81" i="147" a="1"/>
  <c r="Q81" i="147" s="1"/>
  <c r="R81" i="147" a="1"/>
  <c r="R81" i="147" s="1"/>
  <c r="N67" i="147" a="1"/>
  <c r="N67" i="147" s="1"/>
  <c r="R67" i="147" a="1"/>
  <c r="R67" i="147" s="1"/>
  <c r="M67" i="147" a="1"/>
  <c r="M67" i="147" s="1"/>
  <c r="Q67" i="147" a="1"/>
  <c r="Q67" i="147" s="1"/>
  <c r="O67" i="147" a="1"/>
  <c r="O67" i="147" s="1"/>
  <c r="P67" i="147" a="1"/>
  <c r="P67" i="147" s="1"/>
  <c r="P77" i="147" a="1"/>
  <c r="P77" i="147" s="1"/>
  <c r="N77" i="147" a="1"/>
  <c r="N77" i="147" s="1"/>
  <c r="M77" i="147" a="1"/>
  <c r="M77" i="147" s="1"/>
  <c r="Q77" i="147" a="1"/>
  <c r="Q77" i="147" s="1"/>
  <c r="R77" i="147" a="1"/>
  <c r="R77" i="147" s="1"/>
  <c r="O77" i="147" a="1"/>
  <c r="O77" i="147" s="1"/>
  <c r="R87" i="147" a="1"/>
  <c r="R87" i="147" s="1"/>
  <c r="M87" i="147" a="1"/>
  <c r="M87" i="147" s="1"/>
  <c r="P87" i="147" a="1"/>
  <c r="P87" i="147" s="1"/>
  <c r="O87" i="147" a="1"/>
  <c r="O87" i="147" s="1"/>
  <c r="Q87" i="147" a="1"/>
  <c r="Q87" i="147" s="1"/>
  <c r="N87" i="147" a="1"/>
  <c r="N87" i="147" s="1"/>
  <c r="Q63" i="147" a="1"/>
  <c r="Q63" i="147" s="1"/>
  <c r="N63" i="147" a="1"/>
  <c r="N63" i="147" s="1"/>
  <c r="O63" i="147" a="1"/>
  <c r="O63" i="147" s="1"/>
  <c r="M63" i="147" a="1"/>
  <c r="M63" i="147" s="1"/>
  <c r="R63" i="147" a="1"/>
  <c r="R63" i="147" s="1"/>
  <c r="P63" i="147" a="1"/>
  <c r="P63" i="147" s="1"/>
  <c r="R100" i="147" a="1"/>
  <c r="R100" i="147" s="1"/>
  <c r="P100" i="147" a="1"/>
  <c r="P100" i="147" s="1"/>
  <c r="N100" i="147" a="1"/>
  <c r="N100" i="147" s="1"/>
  <c r="M100" i="147" a="1"/>
  <c r="M100" i="147" s="1"/>
  <c r="Q100" i="147" a="1"/>
  <c r="Q100" i="147" s="1"/>
  <c r="O100" i="147" a="1"/>
  <c r="O100" i="147" s="1"/>
  <c r="P101" i="147" a="1"/>
  <c r="P101" i="147" s="1"/>
  <c r="M101" i="147" a="1"/>
  <c r="M101" i="147" s="1"/>
  <c r="R101" i="147" a="1"/>
  <c r="R101" i="147" s="1"/>
  <c r="N101" i="147" a="1"/>
  <c r="N101" i="147" s="1"/>
  <c r="Q101" i="147" a="1"/>
  <c r="Q101" i="147" s="1"/>
  <c r="O101" i="147" a="1"/>
  <c r="O101" i="147" s="1"/>
  <c r="Q92" i="147" a="1"/>
  <c r="Q92" i="147" s="1"/>
  <c r="R92" i="147" a="1"/>
  <c r="R92" i="147" s="1"/>
  <c r="P92" i="147" a="1"/>
  <c r="P92" i="147" s="1"/>
  <c r="N92" i="147" a="1"/>
  <c r="N92" i="147" s="1"/>
  <c r="M92" i="147" a="1"/>
  <c r="M92" i="147" s="1"/>
  <c r="O92" i="147" a="1"/>
  <c r="O92" i="147" s="1"/>
  <c r="N98" i="147" a="1"/>
  <c r="N98" i="147" s="1"/>
  <c r="R98" i="147" a="1"/>
  <c r="R98" i="147" s="1"/>
  <c r="P98" i="147" a="1"/>
  <c r="P98" i="147" s="1"/>
  <c r="O98" i="147" a="1"/>
  <c r="O98" i="147" s="1"/>
  <c r="Q98" i="147" a="1"/>
  <c r="Q98" i="147" s="1"/>
  <c r="M98" i="147" a="1"/>
  <c r="M98" i="147" s="1"/>
  <c r="P61" i="147" a="1"/>
  <c r="P61" i="147" s="1"/>
  <c r="M61" i="147" a="1"/>
  <c r="M61" i="147" s="1"/>
  <c r="N61" i="147" a="1"/>
  <c r="N61" i="147" s="1"/>
  <c r="Q61" i="147" a="1"/>
  <c r="Q61" i="147" s="1"/>
  <c r="R61" i="147" a="1"/>
  <c r="R61" i="147" s="1"/>
  <c r="O61" i="147" a="1"/>
  <c r="O61" i="147" s="1"/>
  <c r="O90" i="147" a="1"/>
  <c r="O90" i="147" s="1"/>
  <c r="R90" i="147" a="1"/>
  <c r="R90" i="147" s="1"/>
  <c r="N90" i="147" a="1"/>
  <c r="N90" i="147" s="1"/>
  <c r="M90" i="147" a="1"/>
  <c r="M90" i="147" s="1"/>
  <c r="Q90" i="147" a="1"/>
  <c r="Q90" i="147" s="1"/>
  <c r="P90" i="147" a="1"/>
  <c r="P90" i="147" s="1"/>
  <c r="N86" i="147" a="1"/>
  <c r="N86" i="147" s="1"/>
  <c r="O86" i="147" a="1"/>
  <c r="O86" i="147" s="1"/>
  <c r="P86" i="147" a="1"/>
  <c r="P86" i="147" s="1"/>
  <c r="Q86" i="147" a="1"/>
  <c r="Q86" i="147" s="1"/>
  <c r="R86" i="147" a="1"/>
  <c r="R86" i="147" s="1"/>
  <c r="M86" i="147" a="1"/>
  <c r="M86" i="147" s="1"/>
  <c r="M64" i="147" a="1"/>
  <c r="M64" i="147" s="1"/>
  <c r="N64" i="147" a="1"/>
  <c r="N64" i="147" s="1"/>
  <c r="O64" i="147" a="1"/>
  <c r="O64" i="147" s="1"/>
  <c r="R64" i="147" a="1"/>
  <c r="R64" i="147" s="1"/>
  <c r="Q64" i="147" a="1"/>
  <c r="Q64" i="147" s="1"/>
  <c r="P64" i="147" a="1"/>
  <c r="P64" i="147" s="1"/>
  <c r="O69" i="147" a="1"/>
  <c r="O69" i="147" s="1"/>
  <c r="P69" i="147" a="1"/>
  <c r="P69" i="147" s="1"/>
  <c r="N69" i="147" a="1"/>
  <c r="N69" i="147" s="1"/>
  <c r="Q69" i="147" a="1"/>
  <c r="Q69" i="147" s="1"/>
  <c r="M69" i="147" a="1"/>
  <c r="M69" i="147" s="1"/>
  <c r="R69" i="147" a="1"/>
  <c r="R69" i="147" s="1"/>
  <c r="O105" i="147" a="1"/>
  <c r="O105" i="147" s="1"/>
  <c r="Q105" i="147" a="1"/>
  <c r="Q105" i="147" s="1"/>
  <c r="M105" i="147" a="1"/>
  <c r="M105" i="147" s="1"/>
  <c r="N105" i="147" a="1"/>
  <c r="N105" i="147" s="1"/>
  <c r="R105" i="147" a="1"/>
  <c r="R105" i="147" s="1"/>
  <c r="P105" i="147" a="1"/>
  <c r="P105" i="147" s="1"/>
  <c r="P68" i="147" a="1"/>
  <c r="P68" i="147" s="1"/>
  <c r="O68" i="147" a="1"/>
  <c r="O68" i="147" s="1"/>
  <c r="N68" i="147" a="1"/>
  <c r="N68" i="147" s="1"/>
  <c r="Q68" i="147" a="1"/>
  <c r="Q68" i="147" s="1"/>
  <c r="M68" i="147" a="1"/>
  <c r="M68" i="147" s="1"/>
  <c r="R68" i="147" a="1"/>
  <c r="R68" i="147" s="1"/>
  <c r="O95" i="147" a="1"/>
  <c r="O95" i="147" s="1"/>
  <c r="P95" i="147" a="1"/>
  <c r="P95" i="147" s="1"/>
  <c r="R95" i="147" a="1"/>
  <c r="R95" i="147" s="1"/>
  <c r="Q95" i="147" a="1"/>
  <c r="Q95" i="147" s="1"/>
  <c r="N95" i="147" a="1"/>
  <c r="N95" i="147" s="1"/>
  <c r="M95" i="147" a="1"/>
  <c r="M95" i="147" s="1"/>
  <c r="M74" i="147" a="1"/>
  <c r="M74" i="147" s="1"/>
  <c r="N74" i="147" a="1"/>
  <c r="N74" i="147" s="1"/>
  <c r="O74" i="147" a="1"/>
  <c r="O74" i="147" s="1"/>
  <c r="Q74" i="147" a="1"/>
  <c r="Q74" i="147" s="1"/>
  <c r="R74" i="147" a="1"/>
  <c r="R74" i="147" s="1"/>
  <c r="P74" i="147" a="1"/>
  <c r="P74" i="147" s="1"/>
  <c r="P97" i="147" a="1"/>
  <c r="P97" i="147" s="1"/>
  <c r="O97" i="147" a="1"/>
  <c r="O97" i="147" s="1"/>
  <c r="Q97" i="147" a="1"/>
  <c r="Q97" i="147" s="1"/>
  <c r="M97" i="147" a="1"/>
  <c r="M97" i="147" s="1"/>
  <c r="N97" i="147" a="1"/>
  <c r="N97" i="147" s="1"/>
  <c r="R97" i="147" a="1"/>
  <c r="R97" i="147" s="1"/>
  <c r="O83" i="147" a="1"/>
  <c r="O83" i="147" s="1"/>
  <c r="N83" i="147" a="1"/>
  <c r="N83" i="147" s="1"/>
  <c r="P83" i="147" a="1"/>
  <c r="P83" i="147" s="1"/>
  <c r="R83" i="147" a="1"/>
  <c r="R83" i="147" s="1"/>
  <c r="Q83" i="147" a="1"/>
  <c r="Q83" i="147" s="1"/>
  <c r="M83" i="147" a="1"/>
  <c r="M83" i="147" s="1"/>
  <c r="O94" i="147" a="1"/>
  <c r="O94" i="147" s="1"/>
  <c r="M94" i="147" a="1"/>
  <c r="M94" i="147" s="1"/>
  <c r="N94" i="147" a="1"/>
  <c r="N94" i="147" s="1"/>
  <c r="R94" i="147" a="1"/>
  <c r="R94" i="147" s="1"/>
  <c r="P94" i="147" a="1"/>
  <c r="P94" i="147" s="1"/>
  <c r="Q94" i="147" a="1"/>
  <c r="Q94" i="147" s="1"/>
  <c r="N84" i="147" a="1"/>
  <c r="N84" i="147" s="1"/>
  <c r="R84" i="147" a="1"/>
  <c r="R84" i="147" s="1"/>
  <c r="O84" i="147" a="1"/>
  <c r="O84" i="147" s="1"/>
  <c r="M84" i="147" a="1"/>
  <c r="M84" i="147" s="1"/>
  <c r="P84" i="147" a="1"/>
  <c r="P84" i="147" s="1"/>
  <c r="Q84" i="147" a="1"/>
  <c r="Q84" i="147" s="1"/>
  <c r="M103" i="147" a="1"/>
  <c r="M103" i="147" s="1"/>
  <c r="P103" i="147" a="1"/>
  <c r="P103" i="147" s="1"/>
  <c r="N103" i="147" a="1"/>
  <c r="N103" i="147" s="1"/>
  <c r="Q103" i="147" a="1"/>
  <c r="Q103" i="147" s="1"/>
  <c r="O103" i="147" a="1"/>
  <c r="O103" i="147" s="1"/>
  <c r="R103" i="147" a="1"/>
  <c r="R103" i="147" s="1"/>
  <c r="Q76" i="147" a="1"/>
  <c r="Q76" i="147" s="1"/>
  <c r="M76" i="147" a="1"/>
  <c r="M76" i="147" s="1"/>
  <c r="P76" i="147" a="1"/>
  <c r="P76" i="147" s="1"/>
  <c r="R76" i="147" a="1"/>
  <c r="R76" i="147" s="1"/>
  <c r="N76" i="147" a="1"/>
  <c r="N76" i="147" s="1"/>
  <c r="O76" i="147" a="1"/>
  <c r="O76" i="147" s="1"/>
  <c r="Q82" i="147" a="1"/>
  <c r="Q82" i="147" s="1"/>
  <c r="P82" i="147" a="1"/>
  <c r="P82" i="147" s="1"/>
  <c r="N82" i="147" a="1"/>
  <c r="N82" i="147" s="1"/>
  <c r="R82" i="147" a="1"/>
  <c r="R82" i="147" s="1"/>
  <c r="O82" i="147" a="1"/>
  <c r="O82" i="147" s="1"/>
  <c r="M82" i="147" a="1"/>
  <c r="M82" i="147" s="1"/>
  <c r="P72" i="147" a="1"/>
  <c r="P72" i="147" s="1"/>
  <c r="M72" i="147" a="1"/>
  <c r="M72" i="147" s="1"/>
  <c r="O72" i="147" a="1"/>
  <c r="O72" i="147" s="1"/>
  <c r="Q72" i="147" a="1"/>
  <c r="Q72" i="147" s="1"/>
  <c r="N72" i="147" a="1"/>
  <c r="N72" i="147" s="1"/>
  <c r="R72" i="147" a="1"/>
  <c r="R72" i="147" s="1"/>
  <c r="Q104" i="147" a="1"/>
  <c r="Q104" i="147" s="1"/>
  <c r="N104" i="147" a="1"/>
  <c r="N104" i="147" s="1"/>
  <c r="M104" i="147" a="1"/>
  <c r="M104" i="147" s="1"/>
  <c r="O104" i="147" a="1"/>
  <c r="O104" i="147" s="1"/>
  <c r="P104" i="147" a="1"/>
  <c r="P104" i="147" s="1"/>
  <c r="R104" i="147" a="1"/>
  <c r="R104" i="147" s="1"/>
  <c r="O60" i="147" a="1"/>
  <c r="O60" i="147" s="1"/>
  <c r="M60" i="147" a="1"/>
  <c r="M60" i="147" s="1"/>
  <c r="R60" i="147" a="1"/>
  <c r="R60" i="147" s="1"/>
  <c r="N60" i="147" a="1"/>
  <c r="N60" i="147" s="1"/>
  <c r="P60" i="147" a="1"/>
  <c r="P60" i="147" s="1"/>
  <c r="Q60" i="147" a="1"/>
  <c r="Q60" i="147" s="1"/>
  <c r="R66" i="147" a="1"/>
  <c r="R66" i="147" s="1"/>
  <c r="M66" i="147" a="1"/>
  <c r="M66" i="147" s="1"/>
  <c r="Q66" i="147" a="1"/>
  <c r="Q66" i="147" s="1"/>
  <c r="P66" i="147" a="1"/>
  <c r="P66" i="147" s="1"/>
  <c r="O66" i="147" a="1"/>
  <c r="O66" i="147" s="1"/>
  <c r="N66" i="147" a="1"/>
  <c r="N66" i="147" s="1"/>
  <c r="N89" i="147" a="1"/>
  <c r="N89" i="147" s="1"/>
  <c r="Q89" i="147" a="1"/>
  <c r="Q89" i="147" s="1"/>
  <c r="P89" i="147" a="1"/>
  <c r="P89" i="147" s="1"/>
  <c r="O89" i="147" a="1"/>
  <c r="O89" i="147" s="1"/>
  <c r="R89" i="147" a="1"/>
  <c r="R89" i="147" s="1"/>
  <c r="M89" i="147" a="1"/>
  <c r="M89" i="147" s="1"/>
  <c r="Q73" i="147" a="1"/>
  <c r="Q73" i="147" s="1"/>
  <c r="P73" i="147" a="1"/>
  <c r="P73" i="147" s="1"/>
  <c r="N73" i="147" a="1"/>
  <c r="N73" i="147" s="1"/>
  <c r="M73" i="147" a="1"/>
  <c r="M73" i="147" s="1"/>
  <c r="O73" i="147" a="1"/>
  <c r="O73" i="147" s="1"/>
  <c r="R73" i="147" a="1"/>
  <c r="R73" i="147" s="1"/>
  <c r="M91" i="147" a="1"/>
  <c r="M91" i="147" s="1"/>
  <c r="O91" i="147" a="1"/>
  <c r="O91" i="147" s="1"/>
  <c r="Q91" i="147" a="1"/>
  <c r="Q91" i="147" s="1"/>
  <c r="R91" i="147" a="1"/>
  <c r="R91" i="147" s="1"/>
  <c r="P91" i="147" a="1"/>
  <c r="P91" i="147" s="1"/>
  <c r="N91" i="147" a="1"/>
  <c r="N91" i="147" s="1"/>
  <c r="N96" i="147" a="1"/>
  <c r="N96" i="147" s="1"/>
  <c r="O96" i="147" a="1"/>
  <c r="O96" i="147" s="1"/>
  <c r="Q96" i="147" a="1"/>
  <c r="Q96" i="147" s="1"/>
  <c r="P96" i="147" a="1"/>
  <c r="P96" i="147" s="1"/>
  <c r="R96" i="147" a="1"/>
  <c r="R96" i="147" s="1"/>
  <c r="M96" i="147" a="1"/>
  <c r="M96" i="147" s="1"/>
  <c r="Q80" i="147" a="1"/>
  <c r="Q80" i="147" s="1"/>
  <c r="O80" i="147" a="1"/>
  <c r="O80" i="147" s="1"/>
  <c r="N80" i="147" a="1"/>
  <c r="N80" i="147" s="1"/>
  <c r="M80" i="147" a="1"/>
  <c r="M80" i="147" s="1"/>
  <c r="P80" i="147" a="1"/>
  <c r="P80" i="147" s="1"/>
  <c r="R80" i="147" a="1"/>
  <c r="R80" i="147" s="1"/>
  <c r="M102" i="147" a="1"/>
  <c r="M102" i="147" s="1"/>
  <c r="O102" i="147" a="1"/>
  <c r="O102" i="147" s="1"/>
  <c r="N102" i="147" a="1"/>
  <c r="N102" i="147" s="1"/>
  <c r="P102" i="147" a="1"/>
  <c r="P102" i="147" s="1"/>
  <c r="R102" i="147" a="1"/>
  <c r="R102" i="147" s="1"/>
  <c r="Q102" i="147" a="1"/>
  <c r="Q102" i="147" s="1"/>
  <c r="N65" i="147" a="1"/>
  <c r="N65" i="147" s="1"/>
  <c r="M65" i="147" a="1"/>
  <c r="M65" i="147" s="1"/>
  <c r="R65" i="147" a="1"/>
  <c r="R65" i="147" s="1"/>
  <c r="P65" i="147" a="1"/>
  <c r="P65" i="147" s="1"/>
  <c r="Q65" i="147" a="1"/>
  <c r="Q65" i="147" s="1"/>
  <c r="O65" i="147" a="1"/>
  <c r="O65" i="147" s="1"/>
  <c r="O88" i="147" a="1"/>
  <c r="O88" i="147" s="1"/>
  <c r="R88" i="147" a="1"/>
  <c r="R88" i="147" s="1"/>
  <c r="M88" i="147" a="1"/>
  <c r="M88" i="147" s="1"/>
  <c r="Q88" i="147" a="1"/>
  <c r="Q88" i="147" s="1"/>
  <c r="N88" i="147" a="1"/>
  <c r="N88" i="147" s="1"/>
  <c r="P88" i="147" a="1"/>
  <c r="P88" i="147" s="1"/>
  <c r="Q79" i="147" a="1"/>
  <c r="Q79" i="147" s="1"/>
  <c r="P79" i="147" a="1"/>
  <c r="P79" i="147" s="1"/>
  <c r="O79" i="147" a="1"/>
  <c r="O79" i="147" s="1"/>
  <c r="M79" i="147" a="1"/>
  <c r="M79" i="147" s="1"/>
  <c r="R79" i="147" a="1"/>
  <c r="R79" i="147" s="1"/>
  <c r="N79" i="147" a="1"/>
  <c r="N79" i="147" s="1"/>
  <c r="O62" i="147" a="1"/>
  <c r="O62" i="147" s="1"/>
  <c r="R62" i="147" a="1"/>
  <c r="R62" i="147" s="1"/>
  <c r="N62" i="147" a="1"/>
  <c r="N62" i="147" s="1"/>
  <c r="Q62" i="147" a="1"/>
  <c r="Q62" i="147" s="1"/>
  <c r="P62" i="147" a="1"/>
  <c r="P62" i="147" s="1"/>
  <c r="M62" i="147" a="1"/>
  <c r="M62" i="147" s="1"/>
  <c r="O75" i="147" a="1"/>
  <c r="O75" i="147" s="1"/>
  <c r="R75" i="147" a="1"/>
  <c r="R75" i="147" s="1"/>
  <c r="N75" i="147" a="1"/>
  <c r="N75" i="147" s="1"/>
  <c r="P75" i="147" a="1"/>
  <c r="P75" i="147" s="1"/>
  <c r="Q75" i="147" a="1"/>
  <c r="Q75" i="147" s="1"/>
  <c r="M75" i="147" a="1"/>
  <c r="M75" i="147" s="1"/>
  <c r="R71" i="147" a="1"/>
  <c r="R71" i="147" s="1"/>
  <c r="O71" i="147" a="1"/>
  <c r="O71" i="147" s="1"/>
  <c r="M71" i="147" a="1"/>
  <c r="M71" i="147" s="1"/>
  <c r="Q71" i="147" a="1"/>
  <c r="Q71" i="147" s="1"/>
  <c r="P71" i="147" a="1"/>
  <c r="P71" i="147" s="1"/>
  <c r="N71" i="147" a="1"/>
  <c r="N71" i="147" s="1"/>
  <c r="R99" i="147" a="1"/>
  <c r="R99" i="147" s="1"/>
  <c r="P99" i="147" a="1"/>
  <c r="P99" i="147" s="1"/>
  <c r="Q99" i="147" a="1"/>
  <c r="Q99" i="147" s="1"/>
  <c r="M99" i="147" a="1"/>
  <c r="M99" i="147" s="1"/>
  <c r="O99" i="147" a="1"/>
  <c r="O99" i="147" s="1"/>
  <c r="N99" i="147" a="1"/>
  <c r="N99" i="147" s="1"/>
  <c r="R78" i="147" a="1"/>
  <c r="R78" i="147" s="1"/>
  <c r="O78" i="147" a="1"/>
  <c r="O78" i="147" s="1"/>
  <c r="Q78" i="147" a="1"/>
  <c r="Q78" i="147" s="1"/>
  <c r="M78" i="147" a="1"/>
  <c r="M78" i="147" s="1"/>
  <c r="P78" i="147" a="1"/>
  <c r="P78" i="147" s="1"/>
  <c r="N78" i="147" a="1"/>
  <c r="N78" i="147" s="1"/>
  <c r="Q46" i="147" a="1"/>
  <c r="M45" i="147" a="1"/>
  <c r="P55" i="147" a="1"/>
  <c r="Q57" i="147" a="1"/>
  <c r="M46" i="147" a="1"/>
  <c r="O45" i="147" a="1"/>
  <c r="R55" i="147" a="1"/>
  <c r="P57" i="147" a="1"/>
  <c r="O49" i="147" a="1"/>
  <c r="Q52" i="147" a="1"/>
  <c r="P54" i="147" a="1"/>
  <c r="R46" i="147" a="1"/>
  <c r="R45" i="147" a="1"/>
  <c r="O55" i="147" a="1"/>
  <c r="N57" i="147" a="1"/>
  <c r="O56" i="147" a="1"/>
  <c r="R58" i="147" a="1"/>
  <c r="P46" i="147" a="1"/>
  <c r="P45" i="147" a="1"/>
  <c r="Q55" i="147" a="1"/>
  <c r="R57" i="147" a="1"/>
  <c r="M49" i="147" a="1"/>
  <c r="N46" i="147" a="1"/>
  <c r="N45" i="147" a="1"/>
  <c r="M55" i="147" a="1"/>
  <c r="O57" i="147" a="1"/>
  <c r="M58" i="147" a="1"/>
  <c r="P52" i="147" a="1"/>
  <c r="M56" i="147" a="1"/>
  <c r="N49" i="147" a="1"/>
  <c r="P58" i="147" a="1"/>
  <c r="O54" i="147" a="1"/>
  <c r="N52" i="147" a="1"/>
  <c r="O50" i="147" a="1"/>
  <c r="N54" i="147" a="1"/>
  <c r="P50" i="147" a="1"/>
  <c r="R56" i="147" a="1"/>
  <c r="Q56" i="147" a="1"/>
  <c r="R49" i="147" a="1"/>
  <c r="N58" i="147" a="1"/>
  <c r="Q54" i="147" a="1"/>
  <c r="R52" i="147" a="1"/>
  <c r="N50" i="147" a="1"/>
  <c r="R50" i="147" a="1"/>
  <c r="N56" i="147" a="1"/>
  <c r="Q49" i="147" a="1"/>
  <c r="Q58" i="147" a="1"/>
  <c r="M54" i="147" a="1"/>
  <c r="O52" i="147" a="1"/>
  <c r="O46" i="147" a="1"/>
  <c r="Q45" i="147" a="1"/>
  <c r="P56" i="147" a="1"/>
  <c r="P49" i="147" a="1"/>
  <c r="O58" i="147" a="1"/>
  <c r="R54" i="147" a="1"/>
  <c r="M52" i="147" a="1"/>
  <c r="Q50" i="147" a="1"/>
  <c r="N55" i="147" a="1"/>
  <c r="M57" i="147" a="1"/>
  <c r="M50" i="147" a="1"/>
  <c r="N43" i="147" a="1"/>
  <c r="M37" i="147" a="1"/>
  <c r="Q37" i="147" a="1"/>
  <c r="N37" i="147" a="1"/>
  <c r="R42" i="147" a="1"/>
  <c r="O42" i="147" a="1"/>
  <c r="P37" i="147" a="1"/>
  <c r="P42" i="147" a="1"/>
  <c r="M42" i="147" a="1"/>
  <c r="N42" i="147" a="1"/>
  <c r="O37" i="147" a="1"/>
  <c r="Q42" i="147" a="1"/>
  <c r="R37" i="147" a="1"/>
  <c r="Q12" i="147" a="1"/>
  <c r="R10" i="147" a="1"/>
  <c r="Q11" i="147" a="1"/>
  <c r="O7" i="147" a="1"/>
  <c r="P8" i="147" a="1"/>
  <c r="P7" i="147" a="1"/>
  <c r="N9" i="147" a="1"/>
  <c r="Q10" i="147" a="1"/>
  <c r="R12" i="147" a="1"/>
  <c r="N7" i="147" a="1"/>
  <c r="M9" i="147" a="1"/>
  <c r="O9" i="147" a="1"/>
  <c r="Q9" i="147" a="1"/>
  <c r="M7" i="147" a="1"/>
  <c r="Q8" i="147" a="1"/>
  <c r="R8" i="147" a="1"/>
  <c r="R9" i="147" a="1"/>
  <c r="R7" i="147" a="1"/>
  <c r="M8" i="147" a="1"/>
  <c r="P9" i="147" a="1"/>
  <c r="Q7" i="147" a="1"/>
  <c r="P10" i="147" a="1"/>
  <c r="O10" i="147" a="1"/>
  <c r="N10" i="147" a="1"/>
  <c r="N8" i="147" a="1"/>
  <c r="M10" i="147" a="1"/>
  <c r="M12" i="147" a="1"/>
  <c r="O8" i="147" a="1"/>
  <c r="R43" i="147" l="1" a="1"/>
  <c r="R43" i="147" s="1"/>
  <c r="O43" i="147" a="1"/>
  <c r="O43" i="147" s="1"/>
  <c r="M43" i="147" a="1"/>
  <c r="M43" i="147" s="1"/>
  <c r="Q43" i="147" a="1"/>
  <c r="Q43" i="147" s="1"/>
  <c r="P44" i="147" a="1"/>
  <c r="P44" i="147" s="1"/>
  <c r="R44" i="147" a="1"/>
  <c r="R44" i="147" s="1"/>
  <c r="Q47" i="147" a="1"/>
  <c r="Q47" i="147" s="1"/>
  <c r="R47" i="147" a="1"/>
  <c r="R47" i="147" s="1"/>
  <c r="O47" i="147" a="1"/>
  <c r="O47" i="147" s="1"/>
  <c r="N47" i="147" a="1"/>
  <c r="N47" i="147" s="1"/>
  <c r="P47" i="147" a="1"/>
  <c r="P47" i="147" s="1"/>
  <c r="R48" i="147" a="1"/>
  <c r="R48" i="147" s="1"/>
  <c r="N44" i="147" a="1"/>
  <c r="N44" i="147" s="1"/>
  <c r="Q44" i="147" a="1"/>
  <c r="Q44" i="147" s="1"/>
  <c r="O44" i="147" a="1"/>
  <c r="O44" i="147" s="1"/>
  <c r="O51" i="147" a="1"/>
  <c r="O51" i="147" s="1"/>
  <c r="Q51" i="147" a="1"/>
  <c r="Q51" i="147" s="1"/>
  <c r="M51" i="147" a="1"/>
  <c r="M51" i="147" s="1"/>
  <c r="R51" i="147" a="1"/>
  <c r="R51" i="147" s="1"/>
  <c r="P51" i="147" a="1"/>
  <c r="P51" i="147" s="1"/>
  <c r="O48" i="147" a="1"/>
  <c r="O48" i="147" s="1"/>
  <c r="Q48" i="147" a="1"/>
  <c r="Q48" i="147" s="1"/>
  <c r="N48" i="147" a="1"/>
  <c r="N48" i="147" s="1"/>
  <c r="S53" i="147"/>
  <c r="S52" i="147" s="1"/>
  <c r="S51" i="147" s="1"/>
  <c r="S50" i="147" s="1"/>
  <c r="S49" i="147" s="1"/>
  <c r="S48" i="147" s="1"/>
  <c r="S47" i="147" s="1"/>
  <c r="S46" i="147" s="1"/>
  <c r="S45" i="147" s="1"/>
  <c r="S44" i="147" s="1"/>
  <c r="S43" i="147" s="1"/>
  <c r="S42" i="147" s="1"/>
  <c r="S41" i="147" s="1"/>
  <c r="S40" i="147" s="1"/>
  <c r="S39" i="147" s="1"/>
  <c r="S38" i="147" s="1"/>
  <c r="S37" i="147" s="1"/>
  <c r="S36" i="147" s="1"/>
  <c r="S35" i="147" s="1"/>
  <c r="S34" i="147" s="1"/>
  <c r="S33" i="147" s="1"/>
  <c r="S32" i="147" s="1"/>
  <c r="S31" i="147" s="1"/>
  <c r="S30" i="147" s="1"/>
  <c r="S29" i="147" s="1"/>
  <c r="S28" i="147" s="1"/>
  <c r="S27" i="147" s="1"/>
  <c r="S26" i="147" s="1"/>
  <c r="S25" i="147" s="1"/>
  <c r="S24" i="147" s="1"/>
  <c r="S23" i="147" s="1"/>
  <c r="S22" i="147" s="1"/>
  <c r="S21" i="147" s="1"/>
  <c r="S20" i="147" s="1"/>
  <c r="S19" i="147" s="1"/>
  <c r="S18" i="147" s="1"/>
  <c r="S17" i="147" s="1"/>
  <c r="S16" i="147" s="1"/>
  <c r="S15" i="147" s="1"/>
  <c r="S14" i="147" s="1"/>
  <c r="S13" i="147" s="1"/>
  <c r="S12" i="147" s="1"/>
  <c r="S11" i="147" s="1"/>
  <c r="S10" i="147" s="1"/>
  <c r="S9" i="147" s="1"/>
  <c r="S8" i="147" s="1"/>
  <c r="S7" i="147" s="1"/>
  <c r="T2" i="147" s="1"/>
  <c r="N53" i="147" a="1"/>
  <c r="N53" i="147" s="1"/>
  <c r="O53" i="147" a="1"/>
  <c r="O53" i="147" s="1"/>
  <c r="M53" i="147" a="1"/>
  <c r="M53" i="147" s="1"/>
  <c r="P48" i="147" a="1"/>
  <c r="P48" i="147" s="1"/>
  <c r="M48" i="147" a="1"/>
  <c r="M48" i="147" s="1"/>
  <c r="R53" i="147" a="1"/>
  <c r="R53" i="147" s="1"/>
  <c r="Q53" i="147" a="1"/>
  <c r="Q53" i="147" s="1"/>
  <c r="P53" i="147" a="1"/>
  <c r="P53" i="147" s="1"/>
  <c r="M50" i="147"/>
  <c r="M57" i="147"/>
  <c r="N55" i="147"/>
  <c r="Q50" i="147"/>
  <c r="M52" i="147"/>
  <c r="R54" i="147"/>
  <c r="O58" i="147"/>
  <c r="P49" i="147"/>
  <c r="P56" i="147"/>
  <c r="Q45" i="147"/>
  <c r="O46" i="147"/>
  <c r="O52" i="147"/>
  <c r="M54" i="147"/>
  <c r="Q58" i="147"/>
  <c r="Q49" i="147"/>
  <c r="N56" i="147"/>
  <c r="R50" i="147"/>
  <c r="N50" i="147"/>
  <c r="R52" i="147"/>
  <c r="Q54" i="147"/>
  <c r="N58" i="147"/>
  <c r="M44" i="147"/>
  <c r="R49" i="147"/>
  <c r="Q56" i="147"/>
  <c r="R56" i="147"/>
  <c r="P50" i="147"/>
  <c r="N54" i="147"/>
  <c r="O50" i="147"/>
  <c r="N52" i="147"/>
  <c r="O54" i="147"/>
  <c r="P58" i="147"/>
  <c r="N49" i="147"/>
  <c r="M56" i="147"/>
  <c r="P52" i="147"/>
  <c r="M58" i="147"/>
  <c r="O57" i="147"/>
  <c r="M55" i="147"/>
  <c r="N45" i="147"/>
  <c r="N46" i="147"/>
  <c r="M47" i="147"/>
  <c r="M49" i="147"/>
  <c r="R57" i="147"/>
  <c r="N51" i="147"/>
  <c r="Q55" i="147"/>
  <c r="P45" i="147"/>
  <c r="P46" i="147"/>
  <c r="R58" i="147"/>
  <c r="O56" i="147"/>
  <c r="N57" i="147"/>
  <c r="O55" i="147"/>
  <c r="R45" i="147"/>
  <c r="R46" i="147"/>
  <c r="P54" i="147"/>
  <c r="Q52" i="147"/>
  <c r="O49" i="147"/>
  <c r="P57" i="147"/>
  <c r="R55" i="147"/>
  <c r="O45" i="147"/>
  <c r="M46" i="147"/>
  <c r="Q57" i="147"/>
  <c r="P55" i="147"/>
  <c r="M45" i="147"/>
  <c r="Q46" i="147"/>
  <c r="M42" i="147"/>
  <c r="Q42" i="147"/>
  <c r="P43" i="147"/>
  <c r="O42" i="147"/>
  <c r="R42" i="147"/>
  <c r="N43" i="147"/>
  <c r="P42" i="147"/>
  <c r="N42" i="147"/>
  <c r="O37" i="147"/>
  <c r="Q37" i="147"/>
  <c r="M37" i="147"/>
  <c r="P37" i="147"/>
  <c r="N37" i="147"/>
  <c r="R37" i="147"/>
  <c r="N106" i="147" a="1"/>
  <c r="N106" i="147" s="1"/>
  <c r="P106" i="147" a="1"/>
  <c r="P106" i="147" s="1"/>
  <c r="O106" i="147" a="1"/>
  <c r="O106" i="147" s="1"/>
  <c r="Q106" i="147" a="1"/>
  <c r="Q106" i="147" s="1"/>
  <c r="M106" i="147" a="1"/>
  <c r="M106" i="147" s="1"/>
  <c r="M8" i="147"/>
  <c r="N8" i="147"/>
  <c r="O8" i="147"/>
  <c r="P8" i="147"/>
  <c r="Q8" i="147"/>
  <c r="R8" i="147"/>
  <c r="N10" i="147"/>
  <c r="Q10" i="147"/>
  <c r="R10" i="147"/>
  <c r="P10" i="147"/>
  <c r="M10" i="147"/>
  <c r="O10" i="147"/>
  <c r="M9" i="147"/>
  <c r="O9" i="147"/>
  <c r="P9" i="147"/>
  <c r="Q9" i="147"/>
  <c r="R9" i="147"/>
  <c r="N9" i="147"/>
  <c r="R7" i="147"/>
  <c r="O7" i="147"/>
  <c r="M7" i="147"/>
  <c r="P7" i="147"/>
  <c r="Q7" i="147"/>
  <c r="N7" i="147"/>
  <c r="Q11" i="147"/>
  <c r="Q12" i="147"/>
  <c r="M12" i="147"/>
  <c r="R12" i="147"/>
  <c r="N39" i="147" a="1"/>
  <c r="R41" i="147" a="1"/>
  <c r="M38" i="147" a="1"/>
  <c r="M41" i="147" a="1"/>
  <c r="Q36" i="147" a="1"/>
  <c r="O36" i="147" a="1"/>
  <c r="O38" i="147" a="1"/>
  <c r="N40" i="147" a="1"/>
  <c r="M36" i="147" a="1"/>
  <c r="Q38" i="147" a="1"/>
  <c r="Q41" i="147" a="1"/>
  <c r="M40" i="147" a="1"/>
  <c r="R36" i="147" a="1"/>
  <c r="N36" i="147" a="1"/>
  <c r="O41" i="147" a="1"/>
  <c r="P40" i="147" a="1"/>
  <c r="R40" i="147" a="1"/>
  <c r="Q39" i="147" a="1"/>
  <c r="R39" i="147" a="1"/>
  <c r="N41" i="147" a="1"/>
  <c r="N38" i="147" a="1"/>
  <c r="P36" i="147" a="1"/>
  <c r="P41" i="147" a="1"/>
  <c r="R38" i="147" a="1"/>
  <c r="O40" i="147" a="1"/>
  <c r="M39" i="147" a="1"/>
  <c r="O39" i="147" a="1"/>
  <c r="Q40" i="147" a="1"/>
  <c r="P38" i="147" a="1"/>
  <c r="P39" i="147" a="1"/>
  <c r="N25" i="147" a="1"/>
  <c r="Q28" i="147" a="1"/>
  <c r="R27" i="147" a="1"/>
  <c r="R26" i="147" a="1"/>
  <c r="M28" i="147" a="1"/>
  <c r="M22" i="147" a="1"/>
  <c r="O22" i="147" a="1"/>
  <c r="R34" i="147" a="1"/>
  <c r="O34" i="147" a="1"/>
  <c r="Q29" i="147" a="1"/>
  <c r="O25" i="147" a="1"/>
  <c r="R33" i="147" a="1"/>
  <c r="M24" i="147" a="1"/>
  <c r="O23" i="147" a="1"/>
  <c r="M27" i="147" a="1"/>
  <c r="R22" i="147" a="1"/>
  <c r="M32" i="147" a="1"/>
  <c r="N26" i="147" a="1"/>
  <c r="P34" i="147" a="1"/>
  <c r="O31" i="147" a="1"/>
  <c r="P33" i="147" a="1"/>
  <c r="R23" i="147" a="1"/>
  <c r="R24" i="147" a="1"/>
  <c r="R35" i="147" a="1"/>
  <c r="O29" i="147" a="1"/>
  <c r="M31" i="147" a="1"/>
  <c r="Q25" i="147" a="1"/>
  <c r="Q32" i="147" a="1"/>
  <c r="Q24" i="147" a="1"/>
  <c r="M23" i="147" a="1"/>
  <c r="O35" i="147" a="1"/>
  <c r="Q26" i="147" a="1"/>
  <c r="R29" i="147" a="1"/>
  <c r="O27" i="147" a="1"/>
  <c r="M35" i="147" a="1"/>
  <c r="N31" i="147" a="1"/>
  <c r="R25" i="147" a="1"/>
  <c r="N28" i="147" a="1"/>
  <c r="Q23" i="147" a="1"/>
  <c r="Q22" i="147" a="1"/>
  <c r="P32" i="147" a="1"/>
  <c r="Q31" i="147" a="1"/>
  <c r="N35" i="147" a="1"/>
  <c r="R32" i="147" a="1"/>
  <c r="R30" i="147" a="1"/>
  <c r="N33" i="147" a="1"/>
  <c r="N24" i="147" a="1"/>
  <c r="Q35" i="147" a="1"/>
  <c r="Q30" i="147" a="1"/>
  <c r="P28" i="147" a="1"/>
  <c r="P29" i="147" a="1"/>
  <c r="M30" i="147" a="1"/>
  <c r="Q27" i="147" a="1"/>
  <c r="P31" i="147" a="1"/>
  <c r="N30" i="147" a="1"/>
  <c r="P23" i="147" a="1"/>
  <c r="O32" i="147" a="1"/>
  <c r="Q33" i="147" a="1"/>
  <c r="O28" i="147" a="1"/>
  <c r="P30" i="147" a="1"/>
  <c r="N29" i="147" a="1"/>
  <c r="M29" i="147" a="1"/>
  <c r="R31" i="147" a="1"/>
  <c r="M33" i="147" a="1"/>
  <c r="P24" i="147" a="1"/>
  <c r="N27" i="147" a="1"/>
  <c r="M26" i="147" a="1"/>
  <c r="P26" i="147" a="1"/>
  <c r="O30" i="147" a="1"/>
  <c r="N32" i="147" a="1"/>
  <c r="M25" i="147" a="1"/>
  <c r="P35" i="147" a="1"/>
  <c r="P22" i="147" a="1"/>
  <c r="O24" i="147" a="1"/>
  <c r="O33" i="147" a="1"/>
  <c r="O26" i="147" a="1"/>
  <c r="N34" i="147" a="1"/>
  <c r="P25" i="147" a="1"/>
  <c r="P27" i="147" a="1"/>
  <c r="M34" i="147" a="1"/>
  <c r="R28" i="147" a="1"/>
  <c r="N23" i="147" a="1"/>
  <c r="N22" i="147" a="1"/>
  <c r="Q34" i="147" a="1"/>
  <c r="R14" i="147" a="1"/>
  <c r="Q20" i="147" a="1"/>
  <c r="M11" i="147" a="1"/>
  <c r="O15" i="147" a="1"/>
  <c r="R13" i="147" a="1"/>
  <c r="Q16" i="147" a="1"/>
  <c r="N21" i="147" a="1"/>
  <c r="O16" i="147" a="1"/>
  <c r="R16" i="147" a="1"/>
  <c r="N13" i="147" a="1"/>
  <c r="N14" i="147" a="1"/>
  <c r="P19" i="147" a="1"/>
  <c r="N11" i="147" a="1"/>
  <c r="O20" i="147" a="1"/>
  <c r="M15" i="147" a="1"/>
  <c r="Q15" i="147" a="1"/>
  <c r="R11" i="147" a="1"/>
  <c r="N12" i="147" a="1"/>
  <c r="R19" i="147" a="1"/>
  <c r="P15" i="147" a="1"/>
  <c r="R17" i="147" a="1"/>
  <c r="Q18" i="147" a="1"/>
  <c r="M13" i="147" a="1"/>
  <c r="O18" i="147" a="1"/>
  <c r="N15" i="147" a="1"/>
  <c r="M20" i="147" a="1"/>
  <c r="R15" i="147" a="1"/>
  <c r="M18" i="147" a="1"/>
  <c r="P21" i="147" a="1"/>
  <c r="O17" i="147" a="1"/>
  <c r="P17" i="147" a="1"/>
  <c r="M19" i="147" a="1"/>
  <c r="P16" i="147" a="1"/>
  <c r="P20" i="147" a="1"/>
  <c r="O11" i="147" a="1"/>
  <c r="M21" i="147" a="1"/>
  <c r="R21" i="147" a="1"/>
  <c r="N17" i="147" a="1"/>
  <c r="R18" i="147" a="1"/>
  <c r="P11" i="147" a="1"/>
  <c r="N20" i="147" a="1"/>
  <c r="Q21" i="147" a="1"/>
  <c r="P18" i="147" a="1"/>
  <c r="P13" i="147" a="1"/>
  <c r="Q14" i="147" a="1"/>
  <c r="O13" i="147" a="1"/>
  <c r="M16" i="147" a="1"/>
  <c r="O14" i="147" a="1"/>
  <c r="Q13" i="147" a="1"/>
  <c r="O21" i="147" a="1"/>
  <c r="O12" i="147" a="1"/>
  <c r="Q19" i="147" a="1"/>
  <c r="M14" i="147" a="1"/>
  <c r="N18" i="147" a="1"/>
  <c r="R20" i="147" a="1"/>
  <c r="O19" i="147" a="1"/>
  <c r="P14" i="147" a="1"/>
  <c r="M17" i="147" a="1"/>
  <c r="P12" i="147" a="1"/>
  <c r="N19" i="147" a="1"/>
  <c r="Q17" i="147" a="1"/>
  <c r="N16" i="147" a="1"/>
  <c r="N12" i="147" l="1"/>
  <c r="O12" i="147"/>
  <c r="P12" i="147"/>
  <c r="P11" i="147"/>
  <c r="R11" i="147"/>
  <c r="M11" i="147"/>
  <c r="O11" i="147"/>
  <c r="N11" i="147"/>
  <c r="Q13" i="147"/>
  <c r="P13" i="147"/>
  <c r="M13" i="147"/>
  <c r="N13" i="147"/>
  <c r="O13" i="147"/>
  <c r="R13" i="147"/>
  <c r="Q39" i="147"/>
  <c r="O38" i="147"/>
  <c r="Q38" i="147"/>
  <c r="M38" i="147"/>
  <c r="N41" i="147"/>
  <c r="R39" i="147"/>
  <c r="N40" i="147"/>
  <c r="Q41" i="147"/>
  <c r="R38" i="147"/>
  <c r="R41" i="147"/>
  <c r="N38" i="147"/>
  <c r="O39" i="147"/>
  <c r="O40" i="147"/>
  <c r="O41" i="147"/>
  <c r="P38" i="147"/>
  <c r="P40" i="147"/>
  <c r="M41" i="147"/>
  <c r="Q40" i="147"/>
  <c r="P39" i="147"/>
  <c r="M40" i="147"/>
  <c r="M39" i="147"/>
  <c r="N39" i="147"/>
  <c r="R40" i="147"/>
  <c r="P41" i="147"/>
  <c r="R36" i="147"/>
  <c r="Q36" i="147"/>
  <c r="P36" i="147"/>
  <c r="N36" i="147"/>
  <c r="O36" i="147"/>
  <c r="M36" i="147"/>
  <c r="M34" i="147"/>
  <c r="Q34" i="147"/>
  <c r="Q35" i="147"/>
  <c r="N34" i="147"/>
  <c r="M35" i="147"/>
  <c r="R35" i="147"/>
  <c r="P35" i="147"/>
  <c r="O34" i="147"/>
  <c r="P34" i="147"/>
  <c r="O35" i="147"/>
  <c r="N35" i="147"/>
  <c r="R34" i="147"/>
  <c r="M33" i="147"/>
  <c r="P33" i="147"/>
  <c r="Q33" i="147"/>
  <c r="O33" i="147"/>
  <c r="R33" i="147"/>
  <c r="N33" i="147"/>
  <c r="O29" i="147"/>
  <c r="P32" i="147"/>
  <c r="P29" i="147"/>
  <c r="M31" i="147"/>
  <c r="Q32" i="147"/>
  <c r="O30" i="147"/>
  <c r="N30" i="147"/>
  <c r="Q29" i="147"/>
  <c r="O31" i="147"/>
  <c r="O32" i="147"/>
  <c r="Q31" i="147"/>
  <c r="N32" i="147"/>
  <c r="M32" i="147"/>
  <c r="M29" i="147"/>
  <c r="P31" i="147"/>
  <c r="N29" i="147"/>
  <c r="R29" i="147"/>
  <c r="Q30" i="147"/>
  <c r="R32" i="147"/>
  <c r="N31" i="147"/>
  <c r="R30" i="147"/>
  <c r="M30" i="147"/>
  <c r="R31" i="147"/>
  <c r="P30" i="147"/>
  <c r="Q26" i="147"/>
  <c r="O26" i="147"/>
  <c r="O28" i="147"/>
  <c r="Q28" i="147"/>
  <c r="P26" i="147"/>
  <c r="Q27" i="147"/>
  <c r="R28" i="147"/>
  <c r="M27" i="147"/>
  <c r="R27" i="147"/>
  <c r="M28" i="147"/>
  <c r="O27" i="147"/>
  <c r="R26" i="147"/>
  <c r="N27" i="147"/>
  <c r="R25" i="147"/>
  <c r="M26" i="147"/>
  <c r="N25" i="147"/>
  <c r="Q25" i="147"/>
  <c r="O25" i="147"/>
  <c r="M25" i="147"/>
  <c r="P27" i="147"/>
  <c r="P25" i="147"/>
  <c r="N28" i="147"/>
  <c r="P28" i="147"/>
  <c r="N26" i="147"/>
  <c r="O23" i="147"/>
  <c r="R23" i="147"/>
  <c r="O21" i="147"/>
  <c r="Q23" i="147"/>
  <c r="N22" i="147"/>
  <c r="N23" i="147"/>
  <c r="M22" i="147"/>
  <c r="P23" i="147"/>
  <c r="R22" i="147"/>
  <c r="M23" i="147"/>
  <c r="Q22" i="147"/>
  <c r="P20" i="147"/>
  <c r="Q17" i="147"/>
  <c r="O16" i="147"/>
  <c r="N19" i="147"/>
  <c r="N18" i="147"/>
  <c r="O19" i="147"/>
  <c r="N17" i="147"/>
  <c r="R16" i="147"/>
  <c r="P16" i="147"/>
  <c r="M16" i="147"/>
  <c r="R19" i="147"/>
  <c r="P19" i="147"/>
  <c r="N16" i="147"/>
  <c r="O18" i="147"/>
  <c r="Q19" i="147"/>
  <c r="M19" i="147"/>
  <c r="Q16" i="147"/>
  <c r="N15" i="147"/>
  <c r="O15" i="147"/>
  <c r="P15" i="147"/>
  <c r="N14" i="147"/>
  <c r="O24" i="147"/>
  <c r="N24" i="147"/>
  <c r="M24" i="147"/>
  <c r="Q24" i="147"/>
  <c r="P24" i="147"/>
  <c r="O22" i="147"/>
  <c r="R24" i="147"/>
  <c r="P22" i="147"/>
  <c r="M20" i="147"/>
  <c r="M21" i="147"/>
  <c r="N21" i="147"/>
  <c r="O20" i="147"/>
  <c r="Q20" i="147"/>
  <c r="P21" i="147"/>
  <c r="R21" i="147"/>
  <c r="R20" i="147"/>
  <c r="Q21" i="147"/>
  <c r="N20" i="147"/>
  <c r="P18" i="147"/>
  <c r="Q18" i="147"/>
  <c r="R18" i="147"/>
  <c r="M18" i="147"/>
  <c r="M14" i="147"/>
  <c r="R17" i="147"/>
  <c r="P17" i="147"/>
  <c r="Q14" i="147"/>
  <c r="M15" i="147"/>
  <c r="P14" i="147"/>
  <c r="O14" i="147"/>
  <c r="O17" i="147"/>
  <c r="R15" i="147"/>
  <c r="Q15" i="147"/>
  <c r="M17" i="147"/>
  <c r="R14" i="147"/>
  <c r="N4" i="147" l="1"/>
  <c r="N2" i="147" s="1"/>
  <c r="P4" i="147"/>
  <c r="P2" i="147" s="1"/>
  <c r="Q4" i="147"/>
  <c r="Q3" i="147" s="1"/>
  <c r="R4" i="147"/>
  <c r="R2" i="147" s="1"/>
  <c r="M4" i="147"/>
  <c r="O4" i="147"/>
  <c r="O3" i="147" s="1"/>
  <c r="M2" i="147" l="1"/>
  <c r="S1" i="147"/>
  <c r="N3" i="147"/>
  <c r="P3" i="147"/>
  <c r="Q2" i="147"/>
  <c r="M3" i="147"/>
  <c r="R3" i="147"/>
  <c r="O2" i="147"/>
  <c r="A11" i="147" l="1"/>
  <c r="A23" i="147" s="1"/>
  <c r="A9" i="147"/>
  <c r="A15" i="14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<sst xmlns="http://schemas.openxmlformats.org/spreadsheetml/2006/main" count="3769" uniqueCount="830">
  <si>
    <t>A</t>
  </si>
  <si>
    <t>Name</t>
  </si>
  <si>
    <t>C</t>
  </si>
  <si>
    <t>H</t>
  </si>
  <si>
    <t>N</t>
  </si>
  <si>
    <t>O</t>
  </si>
  <si>
    <t>P</t>
  </si>
  <si>
    <t>G</t>
  </si>
  <si>
    <t>V</t>
  </si>
  <si>
    <t>Adenosine</t>
  </si>
  <si>
    <t>Guanosine</t>
  </si>
  <si>
    <t>Cytidine</t>
  </si>
  <si>
    <t>p</t>
  </si>
  <si>
    <t>s</t>
  </si>
  <si>
    <t>End Table</t>
  </si>
  <si>
    <t>Backbone Table</t>
  </si>
  <si>
    <t>S</t>
  </si>
  <si>
    <t>x</t>
  </si>
  <si>
    <t>y</t>
  </si>
  <si>
    <t>Single Character Code</t>
  </si>
  <si>
    <t>End</t>
  </si>
  <si>
    <t>5'</t>
  </si>
  <si>
    <t>3'</t>
  </si>
  <si>
    <t>N1-methylpseudouridine</t>
  </si>
  <si>
    <t>w</t>
  </si>
  <si>
    <t>Water</t>
  </si>
  <si>
    <t>Proton</t>
  </si>
  <si>
    <t>Atomic Masses</t>
  </si>
  <si>
    <t>Average</t>
  </si>
  <si>
    <t>Monoisotopic</t>
  </si>
  <si>
    <t>Count</t>
  </si>
  <si>
    <t>1st Entry</t>
  </si>
  <si>
    <t>Sum</t>
  </si>
  <si>
    <t>Monoisotopic Mass</t>
  </si>
  <si>
    <t>Average Mass</t>
  </si>
  <si>
    <t>Enter Site-Specific Modification Mass</t>
  </si>
  <si>
    <t>COLUMNS A-B ARE FOR PASTING AN INDIVIDUAL MS2 SPECTRUM.  ALL OTHER CELLS ON THIS WORKSHEET CAN BE MODIFIED/DELETED AS DESIRED, EXCEPT CELL F2.</t>
  </si>
  <si>
    <t>Profile</t>
  </si>
  <si>
    <t>&lt;--STARTING ROW OF XY DATA.  FOR XCALIBUR-COPIED SPECTRA, START ROW IS 8 IF YOU PASTE IN CELL A1.</t>
  </si>
  <si>
    <t>Centroid</t>
  </si>
  <si>
    <t>Profile or Centroid?</t>
  </si>
  <si>
    <t>Mass</t>
  </si>
  <si>
    <t>Precursor Charge State (assumed to be negative)</t>
  </si>
  <si>
    <t>Precursor Monoisotopic m/z</t>
  </si>
  <si>
    <t>Fragmentation</t>
  </si>
  <si>
    <t>z</t>
  </si>
  <si>
    <t>a</t>
  </si>
  <si>
    <t>b</t>
  </si>
  <si>
    <t>c</t>
  </si>
  <si>
    <t>d</t>
  </si>
  <si>
    <t>Cut</t>
  </si>
  <si>
    <t>Base Table</t>
  </si>
  <si>
    <t>Sequence</t>
  </si>
  <si>
    <t>Start</t>
  </si>
  <si>
    <t>5'end a</t>
  </si>
  <si>
    <t>5'end a-B</t>
  </si>
  <si>
    <t>w 3'end</t>
  </si>
  <si>
    <t>w a</t>
  </si>
  <si>
    <t>w a-B</t>
  </si>
  <si>
    <t>w2</t>
  </si>
  <si>
    <t>x2</t>
  </si>
  <si>
    <t>z2</t>
  </si>
  <si>
    <t>Fragment(s)</t>
  </si>
  <si>
    <t>Select Allowed Cuts</t>
  </si>
  <si>
    <t>a-B</t>
  </si>
  <si>
    <t>special</t>
  </si>
  <si>
    <t>Type</t>
  </si>
  <si>
    <t>Internal</t>
  </si>
  <si>
    <t>3' Ladder</t>
  </si>
  <si>
    <t>5' Ladder</t>
  </si>
  <si>
    <t>Peak Annotation Threshold (Minimum % Base Peak)</t>
  </si>
  <si>
    <t>Match Tolerance (ppm)</t>
  </si>
  <si>
    <t>m/z</t>
  </si>
  <si>
    <t>Normalized Intensity</t>
  </si>
  <si>
    <t>Charge State</t>
  </si>
  <si>
    <t>Match</t>
  </si>
  <si>
    <t>5'end b</t>
  </si>
  <si>
    <t>5'end d</t>
  </si>
  <si>
    <t>w b</t>
  </si>
  <si>
    <t>w d</t>
  </si>
  <si>
    <t>5'end c</t>
  </si>
  <si>
    <t>x 3'end</t>
  </si>
  <si>
    <t>y 3'end</t>
  </si>
  <si>
    <t>z 3'end</t>
  </si>
  <si>
    <t>w c</t>
  </si>
  <si>
    <t>x a</t>
  </si>
  <si>
    <t>x b</t>
  </si>
  <si>
    <t>x c</t>
  </si>
  <si>
    <t>x d</t>
  </si>
  <si>
    <t>x a-B</t>
  </si>
  <si>
    <t>y a</t>
  </si>
  <si>
    <t>y b</t>
  </si>
  <si>
    <t>y c</t>
  </si>
  <si>
    <t>y d</t>
  </si>
  <si>
    <t>y a-B</t>
  </si>
  <si>
    <t>z a</t>
  </si>
  <si>
    <t>z b</t>
  </si>
  <si>
    <t>z c</t>
  </si>
  <si>
    <t>z d</t>
  </si>
  <si>
    <t>z a-B</t>
  </si>
  <si>
    <t>Observed</t>
  </si>
  <si>
    <t>w1</t>
  </si>
  <si>
    <t>x1</t>
  </si>
  <si>
    <t>Ion</t>
  </si>
  <si>
    <t>T</t>
  </si>
  <si>
    <t>RNA nucleoside reference</t>
  </si>
  <si>
    <t>DNA nucleoside reference</t>
  </si>
  <si>
    <t>deoxyadenosine</t>
  </si>
  <si>
    <t>deoxyguanosine</t>
  </si>
  <si>
    <t>deoxycytidine</t>
  </si>
  <si>
    <t>thymidine</t>
  </si>
  <si>
    <t>a1</t>
  </si>
  <si>
    <t>a2</t>
  </si>
  <si>
    <t>a3</t>
  </si>
  <si>
    <t>b1</t>
  </si>
  <si>
    <t>b2</t>
  </si>
  <si>
    <t>b3</t>
  </si>
  <si>
    <t>Guanine</t>
  </si>
  <si>
    <t>Adenine</t>
  </si>
  <si>
    <t>Phosphate</t>
  </si>
  <si>
    <t>Phosphorothioate</t>
  </si>
  <si>
    <t>Deoxy (DNA)</t>
  </si>
  <si>
    <t>Sugar Mod Table</t>
  </si>
  <si>
    <t>Ribose Table</t>
  </si>
  <si>
    <t>1-Letter Sequence</t>
  </si>
  <si>
    <t>Adjust Mass from Which End</t>
  </si>
  <si>
    <t>Cut Type</t>
  </si>
  <si>
    <t>Observed Mass</t>
  </si>
  <si>
    <t>Theoretical Mass</t>
  </si>
  <si>
    <t>Error (ppm)</t>
  </si>
  <si>
    <t>Start-End</t>
  </si>
  <si>
    <t>[1-1]</t>
  </si>
  <si>
    <t>[1-2]</t>
  </si>
  <si>
    <t>[1-3]</t>
  </si>
  <si>
    <t>[2-3]</t>
  </si>
  <si>
    <t>[2-2]</t>
  </si>
  <si>
    <t>Precursor Average m/z</t>
  </si>
  <si>
    <t>z1</t>
  </si>
  <si>
    <t>c2</t>
  </si>
  <si>
    <t>c3</t>
  </si>
  <si>
    <t>d1</t>
  </si>
  <si>
    <t>d2</t>
  </si>
  <si>
    <t>N1-methyl pseudouridine</t>
  </si>
  <si>
    <t>Cytosine</t>
  </si>
  <si>
    <t>r</t>
  </si>
  <si>
    <t>Ribose (RNA)</t>
  </si>
  <si>
    <t>5'-OH</t>
  </si>
  <si>
    <t>3'-backbone-H</t>
  </si>
  <si>
    <t>Code</t>
  </si>
  <si>
    <t>Phosphorylation</t>
  </si>
  <si>
    <t>a-B1</t>
  </si>
  <si>
    <t>a-B2</t>
  </si>
  <si>
    <t>a-B3</t>
  </si>
  <si>
    <t>M</t>
  </si>
  <si>
    <t>molecular ion</t>
  </si>
  <si>
    <t>Ignore internal fragment matches in plot</t>
  </si>
  <si>
    <t>a4</t>
  </si>
  <si>
    <t>[1-4]</t>
  </si>
  <si>
    <t>b4</t>
  </si>
  <si>
    <t>c4</t>
  </si>
  <si>
    <t>d3</t>
  </si>
  <si>
    <t>a-B4</t>
  </si>
  <si>
    <t>w3</t>
  </si>
  <si>
    <t>[2-4]</t>
  </si>
  <si>
    <t>x3</t>
  </si>
  <si>
    <t>z3</t>
  </si>
  <si>
    <t>Arp</t>
  </si>
  <si>
    <t>5'Fragments</t>
  </si>
  <si>
    <t>3'Fragments</t>
  </si>
  <si>
    <t>Observed Fragment Ions</t>
  </si>
  <si>
    <t>Fragment Ion Intensities (% Base Peak)</t>
  </si>
  <si>
    <t>5'-3' Index</t>
  </si>
  <si>
    <t>Nucleotide</t>
  </si>
  <si>
    <t>3'-5' Index</t>
  </si>
  <si>
    <t>SPECTRUM - MS</t>
  </si>
  <si>
    <t>Intensity</t>
  </si>
  <si>
    <t>20220525_WRMnew_B.raw</t>
  </si>
  <si>
    <t>d1 1-</t>
  </si>
  <si>
    <t>z1 1-</t>
  </si>
  <si>
    <t>c3 1-</t>
  </si>
  <si>
    <t>z2 1-</t>
  </si>
  <si>
    <t>w2 1-</t>
  </si>
  <si>
    <t>Crp</t>
  </si>
  <si>
    <t>a5</t>
  </si>
  <si>
    <t>[1-5]</t>
  </si>
  <si>
    <t>b5</t>
  </si>
  <si>
    <t>c5</t>
  </si>
  <si>
    <t>d4</t>
  </si>
  <si>
    <t>a-B5</t>
  </si>
  <si>
    <t>[4-5]</t>
  </si>
  <si>
    <t>[3-5]</t>
  </si>
  <si>
    <t>w4</t>
  </si>
  <si>
    <t>[2-5]</t>
  </si>
  <si>
    <t>x4</t>
  </si>
  <si>
    <t>z4</t>
  </si>
  <si>
    <t>a6</t>
  </si>
  <si>
    <t>[1-6]</t>
  </si>
  <si>
    <t>b6</t>
  </si>
  <si>
    <t>c6</t>
  </si>
  <si>
    <t>d5</t>
  </si>
  <si>
    <t>a-B6</t>
  </si>
  <si>
    <t>[4-6]</t>
  </si>
  <si>
    <t>[3-6]</t>
  </si>
  <si>
    <t>w5</t>
  </si>
  <si>
    <t>[2-6]</t>
  </si>
  <si>
    <t>x5</t>
  </si>
  <si>
    <t>z5</t>
  </si>
  <si>
    <t>ArpCrp</t>
  </si>
  <si>
    <t>a7</t>
  </si>
  <si>
    <t>[1-7]</t>
  </si>
  <si>
    <t>b7</t>
  </si>
  <si>
    <t>d6</t>
  </si>
  <si>
    <t>a-B7</t>
  </si>
  <si>
    <t>[3-7]</t>
  </si>
  <si>
    <t>w6</t>
  </si>
  <si>
    <t>x6</t>
  </si>
  <si>
    <t>z6</t>
  </si>
  <si>
    <t>[3-3]</t>
  </si>
  <si>
    <t>[3-4]</t>
  </si>
  <si>
    <t>c7</t>
  </si>
  <si>
    <t>[2-7]</t>
  </si>
  <si>
    <t>"No Fill" cells are subject to user input. In cell A5, enter the sequence in 1 letter code. Collumns X - AF may be used to specify specific base compositions. In column D, the monoisotopic mass for site-specific modifications can be entered. In the "Spectrum Input" worksheet, paste the "XY" data (m/z vs intensity), as instructed. Click the button on this worksheet to match peaks.</t>
  </si>
  <si>
    <t>c1</t>
  </si>
  <si>
    <t>[4-4]</t>
  </si>
  <si>
    <t>c1 1-</t>
  </si>
  <si>
    <t>a-B2 1-</t>
  </si>
  <si>
    <t>x1 1-</t>
  </si>
  <si>
    <t>w1 1-</t>
  </si>
  <si>
    <t>b2 1-</t>
  </si>
  <si>
    <t>c2 1-</t>
  </si>
  <si>
    <t>d2 1-</t>
  </si>
  <si>
    <t>a-B3 1-</t>
  </si>
  <si>
    <t>x2 1-</t>
  </si>
  <si>
    <t>a3 1-</t>
  </si>
  <si>
    <t>CrpVrp</t>
  </si>
  <si>
    <t>Vrp</t>
  </si>
  <si>
    <t>Vrp, Vrp, Vrp, Vrp</t>
  </si>
  <si>
    <t>M minus C</t>
  </si>
  <si>
    <t>base loss</t>
  </si>
  <si>
    <t>C(base)</t>
  </si>
  <si>
    <t>M minus V</t>
  </si>
  <si>
    <t>V(base)</t>
  </si>
  <si>
    <t>VrpCrp</t>
  </si>
  <si>
    <t>ArpCrpVrp</t>
  </si>
  <si>
    <t>CrpArp</t>
  </si>
  <si>
    <t>CrpArpArp</t>
  </si>
  <si>
    <t>ArpArp</t>
  </si>
  <si>
    <t>a8</t>
  </si>
  <si>
    <t>[1-8]</t>
  </si>
  <si>
    <t>a9</t>
  </si>
  <si>
    <t>[1-9]</t>
  </si>
  <si>
    <t>a10</t>
  </si>
  <si>
    <t>[1-10]</t>
  </si>
  <si>
    <t>a11</t>
  </si>
  <si>
    <t>[1-11]</t>
  </si>
  <si>
    <t>a12</t>
  </si>
  <si>
    <t>[1-12]</t>
  </si>
  <si>
    <t>a13</t>
  </si>
  <si>
    <t>[1-13]</t>
  </si>
  <si>
    <t>a14</t>
  </si>
  <si>
    <t>[1-14]</t>
  </si>
  <si>
    <t>b8</t>
  </si>
  <si>
    <t>b9</t>
  </si>
  <si>
    <t>b10</t>
  </si>
  <si>
    <t>b11</t>
  </si>
  <si>
    <t>b12</t>
  </si>
  <si>
    <t>b13</t>
  </si>
  <si>
    <t>b14</t>
  </si>
  <si>
    <t>c8</t>
  </si>
  <si>
    <t>c9</t>
  </si>
  <si>
    <t>c10</t>
  </si>
  <si>
    <t>c11</t>
  </si>
  <si>
    <t>c12</t>
  </si>
  <si>
    <t>c13</t>
  </si>
  <si>
    <t>c14</t>
  </si>
  <si>
    <t>d7</t>
  </si>
  <si>
    <t>d8</t>
  </si>
  <si>
    <t>d9</t>
  </si>
  <si>
    <t>d10</t>
  </si>
  <si>
    <t>d11</t>
  </si>
  <si>
    <t>d12</t>
  </si>
  <si>
    <t>d13</t>
  </si>
  <si>
    <t>a-B8</t>
  </si>
  <si>
    <t>a-B9</t>
  </si>
  <si>
    <t>a-B10</t>
  </si>
  <si>
    <t>a-B11</t>
  </si>
  <si>
    <t>a-B12</t>
  </si>
  <si>
    <t>a-B13</t>
  </si>
  <si>
    <t>a-B14</t>
  </si>
  <si>
    <t>[14-14]</t>
  </si>
  <si>
    <t>[13-14]</t>
  </si>
  <si>
    <t>[12-14]</t>
  </si>
  <si>
    <t>[11-14]</t>
  </si>
  <si>
    <t>[10-14]</t>
  </si>
  <si>
    <t>[9-14]</t>
  </si>
  <si>
    <t>w7</t>
  </si>
  <si>
    <t>[8-14]</t>
  </si>
  <si>
    <t>w8</t>
  </si>
  <si>
    <t>[7-14]</t>
  </si>
  <si>
    <t>w9</t>
  </si>
  <si>
    <t>[6-14]</t>
  </si>
  <si>
    <t>w10</t>
  </si>
  <si>
    <t>[5-14]</t>
  </si>
  <si>
    <t>w11</t>
  </si>
  <si>
    <t>[4-14]</t>
  </si>
  <si>
    <t>w12</t>
  </si>
  <si>
    <t>[3-14]</t>
  </si>
  <si>
    <t>w13</t>
  </si>
  <si>
    <t>[2-14]</t>
  </si>
  <si>
    <t>x7</t>
  </si>
  <si>
    <t>x8</t>
  </si>
  <si>
    <t>x9</t>
  </si>
  <si>
    <t>x10</t>
  </si>
  <si>
    <t>x11</t>
  </si>
  <si>
    <t>x12</t>
  </si>
  <si>
    <t>x13</t>
  </si>
  <si>
    <t>z7</t>
  </si>
  <si>
    <t>z8</t>
  </si>
  <si>
    <t>z9</t>
  </si>
  <si>
    <t>z10</t>
  </si>
  <si>
    <t>z11</t>
  </si>
  <si>
    <t>z12</t>
  </si>
  <si>
    <t>z13</t>
  </si>
  <si>
    <t>[2-8]</t>
  </si>
  <si>
    <t>[2-9]</t>
  </si>
  <si>
    <t>[2-10]</t>
  </si>
  <si>
    <t>[2-11]</t>
  </si>
  <si>
    <t>[2-12]</t>
  </si>
  <si>
    <t>[2-13]</t>
  </si>
  <si>
    <t>[3-10]</t>
  </si>
  <si>
    <t>[3-11]</t>
  </si>
  <si>
    <t>[3-12]</t>
  </si>
  <si>
    <t>[3-13]</t>
  </si>
  <si>
    <t>[4-8]</t>
  </si>
  <si>
    <t>[4-9]</t>
  </si>
  <si>
    <t>[4-11]</t>
  </si>
  <si>
    <t>[4-12]</t>
  </si>
  <si>
    <t>[5-9]</t>
  </si>
  <si>
    <t>[5-10]</t>
  </si>
  <si>
    <t>[5-11]</t>
  </si>
  <si>
    <t>[5-12]</t>
  </si>
  <si>
    <t>[7-9]</t>
  </si>
  <si>
    <t>M minus A</t>
  </si>
  <si>
    <t>A(base)</t>
  </si>
  <si>
    <t>ArpArp, ArpArp</t>
  </si>
  <si>
    <t>AACVVCAACVVCAA</t>
  </si>
  <si>
    <t>5Arp</t>
  </si>
  <si>
    <t>5ArpArp</t>
  </si>
  <si>
    <t>5ArpArpCrp</t>
  </si>
  <si>
    <t>5ArpArpCrpVrp</t>
  </si>
  <si>
    <t>5ArpArpCrpVrpVrp</t>
  </si>
  <si>
    <t>5ArpArpCrpVrpVrpCrp</t>
  </si>
  <si>
    <t>5ArpArpCrpVrpVrpCrpArp</t>
  </si>
  <si>
    <t>5ArpArpCrpVrpVrpCrpArpArp</t>
  </si>
  <si>
    <t>5ArpArpCrpVrpVrpCrpArpArpCrp</t>
  </si>
  <si>
    <t>5ArpArpCrpVrpVrpCrpArpArpCrpVrp</t>
  </si>
  <si>
    <t>5ArpArpCrpVrpVrpCrpArpArpCrpVrpVrp</t>
  </si>
  <si>
    <t>5ArpArpCrpVrpVrpCrpArpArpCrpVrpVrpCrp</t>
  </si>
  <si>
    <t>5ArpArpCrpVrpVrpCrpArpArpCrpVrpVrpCrpArp</t>
  </si>
  <si>
    <t>5ArpArpCrpVrpVrpCrpArpArpCrpVrpVrpCrpArpArp</t>
  </si>
  <si>
    <t>Arp3</t>
  </si>
  <si>
    <t>ArpArp3</t>
  </si>
  <si>
    <t>CrpArpArp3</t>
  </si>
  <si>
    <t>VrpCrpArpArp3</t>
  </si>
  <si>
    <t>VrpVrpCrpArpArp3</t>
  </si>
  <si>
    <t>CrpVrpVrpCrpArpArp3</t>
  </si>
  <si>
    <t>ArpCrpVrpVrpCrpArpArp3</t>
  </si>
  <si>
    <t>ArpArpCrpVrpVrpCrpArpArp3</t>
  </si>
  <si>
    <t>CrpArpArpCrpVrpVrpCrpArpArp3</t>
  </si>
  <si>
    <t>VrpCrpArpArpCrpVrpVrpCrpArpArp3</t>
  </si>
  <si>
    <t>VrpVrpCrpArpArpCrpVrpVrpCrpArpArp3</t>
  </si>
  <si>
    <t>CrpVrpVrpCrpArpArpCrpVrpVrpCrpArpArp3</t>
  </si>
  <si>
    <t>ArpCrpVrpVrpCrpArpArpCrpVrpVrpCrpArpArp3</t>
  </si>
  <si>
    <t>ArpArpCrpVrpVrpCrpArpArpCrpVrpVrpCrpArpArp3</t>
  </si>
  <si>
    <t>ArpArpCrp</t>
  </si>
  <si>
    <t>ArpArpCrpVrp</t>
  </si>
  <si>
    <t>ArpArpCrpVrpVrp</t>
  </si>
  <si>
    <t>ArpArpCrpVrpVrpCrp</t>
  </si>
  <si>
    <t>ArpArpCrpVrpVrpCrpArp</t>
  </si>
  <si>
    <t>ArpArpCrpVrpVrpCrpArpArp</t>
  </si>
  <si>
    <t>ArpArpCrpVrpVrpCrpArpArpCrp</t>
  </si>
  <si>
    <t>ArpArpCrpVrpVrpCrpArpArpCrpVrp</t>
  </si>
  <si>
    <t>ArpArpCrpVrpVrpCrpArpArpCrpVrpVrp</t>
  </si>
  <si>
    <t>ArpArpCrpVrpVrpCrpArpArpCrpVrpVrpCrp</t>
  </si>
  <si>
    <t>ArpArpCrpVrpVrpCrpArpArpCrpVrpVrpCrpArp</t>
  </si>
  <si>
    <t>ArpArpCrpVrpVrpCrpArpArpCrpVrpVrpCrpArpArp</t>
  </si>
  <si>
    <t>ArpCrpVrpVrp</t>
  </si>
  <si>
    <t>ArpCrpVrpVrpCrp</t>
  </si>
  <si>
    <t>ArpCrpVrpVrpCrpArp</t>
  </si>
  <si>
    <t>ArpCrpVrpVrpCrpArpArp</t>
  </si>
  <si>
    <t>ArpCrpVrpVrpCrpArpArpCrp</t>
  </si>
  <si>
    <t>ArpCrpVrpVrpCrpArpArpCrpVrp</t>
  </si>
  <si>
    <t>ArpCrpVrpVrpCrpArpArpCrpVrpVrp</t>
  </si>
  <si>
    <t>ArpCrpVrpVrpCrpArpArpCrpVrpVrpCrp</t>
  </si>
  <si>
    <t>ArpCrpVrpVrpCrpArpArpCrpVrpVrpCrpArp</t>
  </si>
  <si>
    <t>ArpCrpVrpVrpCrpArpArpCrpVrpVrpCrpArpArp</t>
  </si>
  <si>
    <t>CrpVrpVrp</t>
  </si>
  <si>
    <t>CrpVrpVrpCrp</t>
  </si>
  <si>
    <t>CrpVrpVrpCrpArp</t>
  </si>
  <si>
    <t>CrpVrpVrpCrpArpArp</t>
  </si>
  <si>
    <t>CrpVrpVrpCrpArpArpCrp</t>
  </si>
  <si>
    <t>CrpVrpVrpCrpArpArpCrpVrp</t>
  </si>
  <si>
    <t>CrpVrpVrpCrpArpArpCrpVrpVrp</t>
  </si>
  <si>
    <t>CrpVrpVrpCrpArpArpCrpVrpVrpCrp</t>
  </si>
  <si>
    <t>CrpVrpVrpCrpArpArpCrpVrpVrpCrpArp</t>
  </si>
  <si>
    <t>CrpVrpVrpCrpArpArpCrpVrpVrpCrpArpArp</t>
  </si>
  <si>
    <t>VrpVrp</t>
  </si>
  <si>
    <t>VrpVrpCrp</t>
  </si>
  <si>
    <t>VrpVrpCrpArp</t>
  </si>
  <si>
    <t>VrpVrpCrpArpArp</t>
  </si>
  <si>
    <t>VrpVrpCrpArpArpCrp</t>
  </si>
  <si>
    <t>VrpVrpCrpArpArpCrpVrp</t>
  </si>
  <si>
    <t>VrpVrpCrpArpArpCrpVrpVrp</t>
  </si>
  <si>
    <t>VrpVrpCrpArpArpCrpVrpVrpCrp</t>
  </si>
  <si>
    <t>VrpVrpCrpArpArpCrpVrpVrpCrpArp</t>
  </si>
  <si>
    <t>VrpVrpCrpArpArpCrpVrpVrpCrpArpArp</t>
  </si>
  <si>
    <t>VrpCrpArp</t>
  </si>
  <si>
    <t>VrpCrpArpArp</t>
  </si>
  <si>
    <t>VrpCrpArpArpCrp</t>
  </si>
  <si>
    <t>VrpCrpArpArpCrpVrp</t>
  </si>
  <si>
    <t>VrpCrpArpArpCrpVrpVrp</t>
  </si>
  <si>
    <t>VrpCrpArpArpCrpVrpVrpCrp</t>
  </si>
  <si>
    <t>VrpCrpArpArpCrpVrpVrpCrpArp</t>
  </si>
  <si>
    <t>VrpCrpArpArpCrpVrpVrpCrpArpArp</t>
  </si>
  <si>
    <t>CrpArpArpCrp</t>
  </si>
  <si>
    <t>CrpArpArpCrpVrp</t>
  </si>
  <si>
    <t>CrpArpArpCrpVrpVrp</t>
  </si>
  <si>
    <t>CrpArpArpCrpVrpVrpCrp</t>
  </si>
  <si>
    <t>CrpArpArpCrpVrpVrpCrpArp</t>
  </si>
  <si>
    <t>CrpArpArpCrpVrpVrpCrpArpArp</t>
  </si>
  <si>
    <t>5ArpArpCrpVrpVrpCrpArpArpCrpVrpVrpCrpArpArp3</t>
  </si>
  <si>
    <t>A2-A13</t>
  </si>
  <si>
    <t>A2-A14</t>
  </si>
  <si>
    <t>[3-9]</t>
  </si>
  <si>
    <t>C3-C12</t>
  </si>
  <si>
    <t>C3-A14</t>
  </si>
  <si>
    <t>V4-V11</t>
  </si>
  <si>
    <t>V4-A14</t>
  </si>
  <si>
    <t>[5-8]</t>
  </si>
  <si>
    <t>V5-A14</t>
  </si>
  <si>
    <t>[6-8]</t>
  </si>
  <si>
    <t>C6-C9</t>
  </si>
  <si>
    <t>[6-9]</t>
  </si>
  <si>
    <t>[6-10]</t>
  </si>
  <si>
    <t>C6-A14</t>
  </si>
  <si>
    <t>A7-A8</t>
  </si>
  <si>
    <t>[7-8]</t>
  </si>
  <si>
    <t>A7-A14</t>
  </si>
  <si>
    <t>A8-A14</t>
  </si>
  <si>
    <t>C9-A14</t>
  </si>
  <si>
    <t>V10-A14</t>
  </si>
  <si>
    <t>V11-A14</t>
  </si>
  <si>
    <t>C12-A14</t>
  </si>
  <si>
    <t>A13-A14</t>
  </si>
  <si>
    <t>A14-A14</t>
  </si>
  <si>
    <t>A2-C9-B</t>
  </si>
  <si>
    <t>A2-V10-B</t>
  </si>
  <si>
    <t>A2-V11-B</t>
  </si>
  <si>
    <t>A2-C12-B</t>
  </si>
  <si>
    <t>A2-A13-B</t>
  </si>
  <si>
    <t>A2-A14-B</t>
  </si>
  <si>
    <t>C3-A13-B</t>
  </si>
  <si>
    <t>C3-A14-B</t>
  </si>
  <si>
    <t>V4-C12-B</t>
  </si>
  <si>
    <t>V4-A14-B</t>
  </si>
  <si>
    <t>V5-A14-B</t>
  </si>
  <si>
    <t>C6-V10-B</t>
  </si>
  <si>
    <t>C6-A14-B</t>
  </si>
  <si>
    <t>A7-C9-B</t>
  </si>
  <si>
    <t>A7-A14-B</t>
  </si>
  <si>
    <t>A8-A14-B</t>
  </si>
  <si>
    <t>C9-A14-B</t>
  </si>
  <si>
    <t>V10-A14-B</t>
  </si>
  <si>
    <t>V11-A14-B</t>
  </si>
  <si>
    <t>C12-A14-B</t>
  </si>
  <si>
    <t>A13-A14-B</t>
  </si>
  <si>
    <t>A14-A14-B</t>
  </si>
  <si>
    <t>[1-19]</t>
  </si>
  <si>
    <t>V4-V4-B, V5-V5-B, V10-V10-B, V11-V11-B, A14-A14-B, A2-A2-B, C3-C3-B, C6-C6-B, A7-A7-B, A8-A8-B, C9-C9-B, C12-C12-B, A13-A13-B</t>
  </si>
  <si>
    <t>Vrp, Vrp, Vrp, Vrp, Arp, Arp, Crp, Crp, Arp, Arp, Crp, Crp, Arp</t>
  </si>
  <si>
    <t>V4-V4-B, V5-V5-B, V10-V10-B, V11-V11-B, C3-C3-B, C6-C6-B, C9-C9-B, C12-C12-B, A14-A14-B, A2-A2-B, A7-A7-B, A8-A8-B, A13-A13-B</t>
  </si>
  <si>
    <t>Vrp, Vrp, Vrp, Vrp, Crp, Crp, Crp, Crp, Arp, Arp, Arp, Arp, Arp</t>
  </si>
  <si>
    <t>V4-V4-B, V5-V5-B, V10-V10-B, V11-V11-B, A2-A2-B, C3-C3-B, C6-C6-B, A7-A7-B, A8-A8-B, C9-C9-B, C12-C12-B, A13-A13-B</t>
  </si>
  <si>
    <t>Vrp, Vrp, Vrp, Vrp, Arp, Crp, Crp, Arp, Arp, Crp, Crp, Arp</t>
  </si>
  <si>
    <t>C3-C3, C6-C6, C9-C9, C12-C12</t>
  </si>
  <si>
    <t>Crp, Crp, Crp, Crp</t>
  </si>
  <si>
    <t>V4-V4, V5-V5, V10-V10, V11-V11</t>
  </si>
  <si>
    <t>C3-C3, C6-C6, C9-C9, C12-C12, C3-C3, C6-C6, C9-C9, C12-C12</t>
  </si>
  <si>
    <t>Crp, Crp, Crp, Crp, Crp, Crp, Crp, Crp</t>
  </si>
  <si>
    <t>A14-A14, A2-A2, A7-A7, A8-A8, A13-A13, A14-A14</t>
  </si>
  <si>
    <t>Arp, Arp, Arp, Arp, Arp, Arp</t>
  </si>
  <si>
    <t>V4-V4, V5-V5, V10-V10, V11-V11, V4-V4, V5-V5, V10-V10, V11-V11</t>
  </si>
  <si>
    <t>Vrp, Vrp, Vrp, Vrp, Vrp, Vrp, Vrp, Vrp</t>
  </si>
  <si>
    <t>A14-A14, A14-A14</t>
  </si>
  <si>
    <t>Arp, Arp</t>
  </si>
  <si>
    <t>C3-C3, C6-C6, C9-C9, C12-C12, C3-C3, C6-C6, C9-C9, C12-C12, C3-C3, C6-C6, C9-C9, C12-C12, C3-C3, C6-C6, C9-C9, C12-C12</t>
  </si>
  <si>
    <t>Crp, Crp, Crp, Crp, Crp, Crp, Crp, Crp, Crp, Crp, Crp, Crp, Crp, Crp, Crp, Crp</t>
  </si>
  <si>
    <t>V4-V4, V5-V5, V10-V10, V11-V11, V4-V4, V5-V5, V10-V10, V11-V11, V4-V4, V5-V5, V10-V10, V11-V11, V4-V4, V5-V5, V10-V10, V11-V11</t>
  </si>
  <si>
    <t>Vrp, Vrp, Vrp, Vrp, Vrp, Vrp, Vrp, Vrp, Vrp, Vrp, Vrp, Vrp, Vrp, Vrp, Vrp, Vrp</t>
  </si>
  <si>
    <t>C3-V4-B, C6-A7-B, C9-V10-B, C12-A13-B</t>
  </si>
  <si>
    <t>CrpVrp, CrpArp, CrpVrp, CrpArp</t>
  </si>
  <si>
    <t>V4-V5-B, V10-V11-B, V5-C6-B, V11-C12-B</t>
  </si>
  <si>
    <t>VrpVrp, VrpVrp, VrpCrp, VrpCrp</t>
  </si>
  <si>
    <t>A2-C3-B, A8-C9-B, A13-A14-B, A7-A8-B</t>
  </si>
  <si>
    <t>ArpCrp, ArpCrp, ArpArp, ArpArp</t>
  </si>
  <si>
    <t>A2-A2, A7-A7, A8-A8, A13-A13</t>
  </si>
  <si>
    <t>Arp, Arp, Arp, Arp</t>
  </si>
  <si>
    <t>A2-C3-B, A8-C9-B, A7-A8-B</t>
  </si>
  <si>
    <t>ArpCrp, ArpCrp, ArpArp</t>
  </si>
  <si>
    <t>C3-V4, V5-C6, C9-V10, V11-C12</t>
  </si>
  <si>
    <t>CrpVrp, VrpCrp, CrpVrp, VrpCrp</t>
  </si>
  <si>
    <t>A2-C3, C6-A7, A8-C9, C12-A13</t>
  </si>
  <si>
    <t>ArpCrp, CrpArp, ArpCrp, CrpArp</t>
  </si>
  <si>
    <t>V4-V5, V10-V11</t>
  </si>
  <si>
    <t>VrpVrp, VrpVrp</t>
  </si>
  <si>
    <t>C3-V4, V5-C6, C9-V10, V11-C12, C3-V4, V5-C6, C9-V10, V11-C12</t>
  </si>
  <si>
    <t>CrpVrp, VrpCrp, CrpVrp, VrpCrp, CrpVrp, VrpCrp, CrpVrp, VrpCrp</t>
  </si>
  <si>
    <t>A2-C3, C6-A7, A8-C9, C12-A13, A2-C3, C6-A7, A8-C9, C12-A13</t>
  </si>
  <si>
    <t>ArpCrp, CrpArp, ArpCrp, CrpArp, ArpCrp, CrpArp, ArpCrp, CrpArp</t>
  </si>
  <si>
    <t>V4-V5, V10-V11, V4-V5, V10-V11</t>
  </si>
  <si>
    <t>VrpVrp, VrpVrp, VrpVrp, VrpVrp</t>
  </si>
  <si>
    <t>A13-A14, A7-A8, A13-A14</t>
  </si>
  <si>
    <t>ArpArp, ArpArp, ArpArp</t>
  </si>
  <si>
    <t>A13-A14, A13-A14</t>
  </si>
  <si>
    <t>C3-V4, V5-C6, C9-V10, V11-C12, C3-V4, V5-C6, C9-V10, V11-C12, C3-V4, V5-C6, C9-V10, V11-C12, C3-V4, V5-C6, C9-V10, V11-C12</t>
  </si>
  <si>
    <t>CrpVrp, VrpCrp, CrpVrp, VrpCrp, CrpVrp, VrpCrp, CrpVrp, VrpCrp, CrpVrp, VrpCrp, CrpVrp, VrpCrp, CrpVrp, VrpCrp, CrpVrp, VrpCrp</t>
  </si>
  <si>
    <t>A2-C3, C6-A7, A8-C9, C12-A13, A2-C3, C6-A7, A8-C9, C12-A13, A2-C3, C6-A7, A8-C9, C12-A13, A2-C3, C6-A7, A8-C9, C12-A13</t>
  </si>
  <si>
    <t>ArpCrp, CrpArp, ArpCrp, CrpArp, ArpCrp, CrpArp, ArpCrp, CrpArp, ArpCrp, CrpArp, ArpCrp, CrpArp, ArpCrp, CrpArp, ArpCrp, CrpArp</t>
  </si>
  <si>
    <t>V4-V5, V10-V11, V4-V5, V10-V11, V4-V5, V10-V11, V4-V5, V10-V11</t>
  </si>
  <si>
    <t>VrpVrp, VrpVrp, VrpVrp, VrpVrp, VrpVrp, VrpVrp, VrpVrp, VrpVrp</t>
  </si>
  <si>
    <t>C3-V5-B, C9-V11-B, V5-A7-B, V11-A13-B</t>
  </si>
  <si>
    <t>CrpVrpVrp, CrpVrpVrp, VrpCrpArp, VrpCrpArp</t>
  </si>
  <si>
    <t>C12-A14-B, A2-V4-B, C6-A8-B, A8-V10-B</t>
  </si>
  <si>
    <t>CrpArpArp, ArpCrpVrp, CrpArpArp, ArpCrpVrp</t>
  </si>
  <si>
    <t>V4-C6-B, V10-C12-B</t>
  </si>
  <si>
    <t>VrpVrpCrp, VrpVrpCrp</t>
  </si>
  <si>
    <t>A2-V4-B, C6-A8-B, A8-V10-B</t>
  </si>
  <si>
    <t>ArpCrpVrp, CrpArpArp, ArpCrpVrp</t>
  </si>
  <si>
    <t>A2-V4-B, A8-V10-B, C12-A14-B, C6-A8-B</t>
  </si>
  <si>
    <t>ArpCrpVrp, ArpCrpVrp, CrpArpArp, CrpArpArp</t>
  </si>
  <si>
    <t>A2-V4-B, A8-V10-B, C6-A8-B</t>
  </si>
  <si>
    <t>ArpCrpVrp, ArpCrpVrp, CrpArpArp</t>
  </si>
  <si>
    <t>C3-V5, V4-C6, C9-V11, V10-C12</t>
  </si>
  <si>
    <t>CrpVrpVrp, VrpVrpCrp, CrpVrpVrp, VrpVrpCrp</t>
  </si>
  <si>
    <t>A2-V4, V5-A7, A8-V10, V11-A13</t>
  </si>
  <si>
    <t>ArpCrpVrp, VrpCrpArp, ArpCrpVrp, VrpCrpArp</t>
  </si>
  <si>
    <t>C3-V5, V4-C6, C9-V11, V10-C12, C3-V5, V4-C6, C9-V11, V10-C12</t>
  </si>
  <si>
    <t>CrpVrpVrp, VrpVrpCrp, CrpVrpVrp, VrpVrpCrp, CrpVrpVrp, VrpVrpCrp, CrpVrpVrp, VrpVrpCrp</t>
  </si>
  <si>
    <t>C12-A14, C6-A8, C12-A14, A7-C9</t>
  </si>
  <si>
    <t>CrpArpArp, CrpArpArp, CrpArpArp, ArpArpCrp</t>
  </si>
  <si>
    <t>A2-V4, V5-A7, A8-V10, V11-A13, A2-V4, V5-A7, A8-V10, V11-A13</t>
  </si>
  <si>
    <t>ArpCrpVrp, VrpCrpArp, ArpCrpVrp, VrpCrpArp, ArpCrpVrp, VrpCrpArp, ArpCrpVrp, VrpCrpArp</t>
  </si>
  <si>
    <t>C12-A14, C12-A14</t>
  </si>
  <si>
    <t>CrpArpArp, CrpArpArp</t>
  </si>
  <si>
    <t>C3-V5, V4-C6, C9-V11, V10-C12, C3-V5, V4-C6, C9-V11, V10-C12, C3-V5, V4-C6, C9-V11, V10-C12, C3-V5, V4-C6, C9-V11, V10-C12</t>
  </si>
  <si>
    <t>CrpVrpVrp, VrpVrpCrp, CrpVrpVrp, VrpVrpCrp, CrpVrpVrp, VrpVrpCrp, CrpVrpVrp, VrpVrpCrp, CrpVrpVrp, VrpVrpCrp, CrpVrpVrp, VrpVrpCrp, CrpVrpVrp, VrpVrpCrp, CrpVrpVrp, VrpVrpCrp</t>
  </si>
  <si>
    <t>A2-V4, V5-A7, A8-V10, V11-A13, A2-V4, V5-A7, A8-V10, V11-A13, A2-V4, V5-A7, A8-V10, V11-A13, A2-V4, V5-A7, A8-V10, V11-A13</t>
  </si>
  <si>
    <t>ArpCrpVrp, VrpCrpArp, ArpCrpVrp, VrpCrpArp, ArpCrpVrp, VrpCrpArp, ArpCrpVrp, VrpCrpArp, ArpCrpVrp, VrpCrpArp, ArpCrpVrp, VrpCrpArp, ArpCrpVrp, VrpCrpArp, ArpCrpVrp, VrpCrpArp</t>
  </si>
  <si>
    <t>C3-C6-B, C9-C12-B, V4-A7-B, V10-A13-B</t>
  </si>
  <si>
    <t>CrpVrpVrpCrp, CrpVrpVrpCrp, VrpVrpCrpArp, VrpVrpCrpArp</t>
  </si>
  <si>
    <t>V11-A14-B, A2-V5-B, V5-A8-B, A8-V11-B</t>
  </si>
  <si>
    <t>VrpCrpArpArp, ArpCrpVrpVrp, VrpCrpArpArp, ArpCrpVrpVrp</t>
  </si>
  <si>
    <t>C3-C6-B, V4-A7-B, C9-C12-B, V10-A13-B</t>
  </si>
  <si>
    <t>CrpVrpVrpCrp, VrpVrpCrpArp, CrpVrpVrpCrp, VrpVrpCrpArp</t>
  </si>
  <si>
    <t>C6-C9-B, A7-V10-B</t>
  </si>
  <si>
    <t>CrpArpArpCrp, ArpArpCrpVrp</t>
  </si>
  <si>
    <t>C6-A8, A7-C9</t>
  </si>
  <si>
    <t>CrpArpArp, ArpArpCrp</t>
  </si>
  <si>
    <t>V5-A8-B, A2-V5-B, A8-V11-B</t>
  </si>
  <si>
    <t>VrpCrpArpArp, ArpCrpVrpVrp, ArpCrpVrpVrp</t>
  </si>
  <si>
    <t>V5-A8-B, A2-V5-B, A8-V11-B, V11-A14-B</t>
  </si>
  <si>
    <t>VrpCrpArpArp, ArpCrpVrpVrp, ArpCrpVrpVrp, VrpCrpArpArp</t>
  </si>
  <si>
    <t>A2-V5-B, V5-A8-B, A8-V11-B</t>
  </si>
  <si>
    <t>ArpCrpVrpVrp, VrpCrpArpArp, ArpCrpVrpVrp</t>
  </si>
  <si>
    <t>C3-C6, C9-C12</t>
  </si>
  <si>
    <t>CrpVrpVrpCrp, CrpVrpVrpCrp</t>
  </si>
  <si>
    <t>C3-C6, C9-C12, C3-C6, C9-C12</t>
  </si>
  <si>
    <t>CrpVrpVrpCrp, CrpVrpVrpCrp, CrpVrpVrpCrp, CrpVrpVrpCrp</t>
  </si>
  <si>
    <t>A2-V5, V4-A7, A8-V11, V10-A13</t>
  </si>
  <si>
    <t>ArpCrpVrpVrp, VrpVrpCrpArp, ArpCrpVrpVrp, VrpVrpCrpArp</t>
  </si>
  <si>
    <t>V5-A8, V11-A14, A7-V10, V11-A14</t>
  </si>
  <si>
    <t>VrpCrpArpArp, VrpCrpArpArp, ArpArpCrpVrp, VrpCrpArpArp</t>
  </si>
  <si>
    <t>C6-C9, C6-C9</t>
  </si>
  <si>
    <t>CrpArpArpCrp, CrpArpArpCrp</t>
  </si>
  <si>
    <t>A2-V5, V4-A7, A8-V11, V10-A13, A2-V5, V4-A7, A8-V11, V10-A13</t>
  </si>
  <si>
    <t>ArpCrpVrpVrp, VrpVrpCrpArp, ArpCrpVrpVrp, VrpVrpCrpArp, ArpCrpVrpVrp, VrpVrpCrpArp, ArpCrpVrpVrp, VrpVrpCrpArp</t>
  </si>
  <si>
    <t>V11-A14, V11-A14</t>
  </si>
  <si>
    <t>VrpCrpArpArp, VrpCrpArpArp</t>
  </si>
  <si>
    <t>C3-C6, C9-C12, C3-C6, C9-C12, C3-C6, C9-C12, C3-C6, C9-C12</t>
  </si>
  <si>
    <t>CrpVrpVrpCrp, CrpVrpVrpCrp, CrpVrpVrpCrp, CrpVrpVrpCrp, CrpVrpVrpCrp, CrpVrpVrpCrp, CrpVrpVrpCrp, CrpVrpVrpCrp</t>
  </si>
  <si>
    <t>C6-C9, C6-C9, C6-C9, C6-C9</t>
  </si>
  <si>
    <t>CrpArpArpCrp, CrpArpArpCrp, CrpArpArpCrp, CrpArpArpCrp</t>
  </si>
  <si>
    <t>A2-V5, V4-A7, A8-V11, V10-A13, A2-V5, V4-A7, A8-V11, V10-A13, A2-V5, V4-A7, A8-V11, V10-A13, A2-V5, V4-A7, A8-V11, V10-A13</t>
  </si>
  <si>
    <t>ArpCrpVrpVrp, VrpVrpCrpArp, ArpCrpVrpVrp, VrpVrpCrpArp, ArpCrpVrpVrp, VrpVrpCrpArp, ArpCrpVrpVrp, VrpVrpCrpArp, ArpCrpVrpVrp, VrpVrpCrpArp, ArpCrpVrpVrp, VrpVrpCrpArp, ArpCrpVrpVrp, VrpVrpCrpArp, ArpCrpVrpVrp, VrpVrpCrpArp</t>
  </si>
  <si>
    <t>C3-A7-B, C9-A13-B</t>
  </si>
  <si>
    <t>CrpVrpVrpCrpArp, CrpVrpVrpCrpArp</t>
  </si>
  <si>
    <t>V10-A14-B, A2-C6-B, A8-C12-B, V4-A8-B</t>
  </si>
  <si>
    <t>VrpVrpCrpArpArp, ArpCrpVrpVrpCrp, ArpCrpVrpVrpCrp, VrpVrpCrpArpArp</t>
  </si>
  <si>
    <t>V5-C9-B, A7-V11-B</t>
  </si>
  <si>
    <t>VrpCrpArpArpCrp, ArpArpCrpVrpVrp</t>
  </si>
  <si>
    <t>V5-A8, A7-V10</t>
  </si>
  <si>
    <t>VrpCrpArpArp, ArpArpCrpVrp</t>
  </si>
  <si>
    <t>A2-C6-B, V4-A8-B, A8-C12-B</t>
  </si>
  <si>
    <t>ArpCrpVrpVrpCrp, VrpVrpCrpArpArp, ArpCrpVrpVrpCrp</t>
  </si>
  <si>
    <t>V10-A14-B, A2-C6-B, V4-A8-B, A8-C12-B</t>
  </si>
  <si>
    <t>VrpVrpCrpArpArp, ArpCrpVrpVrpCrp, VrpVrpCrpArpArp, ArpCrpVrpVrpCrp</t>
  </si>
  <si>
    <t>A2-C6-B, A8-C12-B, V4-A8-B</t>
  </si>
  <si>
    <t>ArpCrpVrpVrpCrp, ArpCrpVrpVrpCrp, VrpVrpCrpArpArp</t>
  </si>
  <si>
    <t>C3-A7, C9-A13, A2-C6, A8-C12</t>
  </si>
  <si>
    <t>CrpVrpVrpCrpArp, CrpVrpVrpCrpArp, ArpCrpVrpVrpCrp, ArpCrpVrpVrpCrp</t>
  </si>
  <si>
    <t>V5-C9, C6-V10</t>
  </si>
  <si>
    <t>VrpCrpArpArpCrp, CrpArpArpCrpVrp</t>
  </si>
  <si>
    <t>C3-A7, C9-A13, C3-A7, C9-A13, A2-C6, A8-C12, A2-C6, A8-C12</t>
  </si>
  <si>
    <t>CrpVrpVrpCrpArp, CrpVrpVrpCrpArp, CrpVrpVrpCrpArp, CrpVrpVrpCrpArp, ArpCrpVrpVrpCrp, ArpCrpVrpVrpCrp, ArpCrpVrpVrpCrp, ArpCrpVrpVrpCrp</t>
  </si>
  <si>
    <t>V10-A14, V10-A14, V4-A8, A7-V11</t>
  </si>
  <si>
    <t>VrpVrpCrpArpArp, VrpVrpCrpArpArp, VrpVrpCrpArpArp, ArpArpCrpVrpVrp</t>
  </si>
  <si>
    <t>V5-C9, C6-V10, V5-C9, C6-V10</t>
  </si>
  <si>
    <t>VrpCrpArpArpCrp, CrpArpArpCrpVrp, VrpCrpArpArpCrp, CrpArpArpCrpVrp</t>
  </si>
  <si>
    <t>V10-A14, V10-A14</t>
  </si>
  <si>
    <t>VrpVrpCrpArpArp, VrpVrpCrpArpArp</t>
  </si>
  <si>
    <t>C3-A7, C9-A13, C3-A7, C9-A13, C3-A7, C9-A13, C3-A7, C9-A13, A2-C6, A8-C12, A2-C6, A8-C12, A2-C6, A8-C12, A2-C6, A8-C12</t>
  </si>
  <si>
    <t>CrpVrpVrpCrpArp, CrpVrpVrpCrpArp, CrpVrpVrpCrpArp, CrpVrpVrpCrpArp, CrpVrpVrpCrpArp, CrpVrpVrpCrpArp, CrpVrpVrpCrpArp, CrpVrpVrpCrpArp, ArpCrpVrpVrpCrp, ArpCrpVrpVrpCrp, ArpCrpVrpVrpCrp, ArpCrpVrpVrpCrp, ArpCrpVrpVrpCrp, ArpCrpVrpVrpCrp, ArpCrpVrpVrpCrp, ArpCrpVrpVrpCrp</t>
  </si>
  <si>
    <t>V5-C9, C6-V10, V5-C9, C6-V10, V5-C9, C6-V10, V5-C9, C6-V10</t>
  </si>
  <si>
    <t>VrpCrpArpArpCrp, CrpArpArpCrpVrp, VrpCrpArpArpCrp, CrpArpArpCrpVrp, VrpCrpArpArpCrp, CrpArpArpCrpVrp, VrpCrpArpArpCrp, CrpArpArpCrpVrp</t>
  </si>
  <si>
    <t>C9-A14-B, A2-A7-B, C3-A8-B, A8-A13-B</t>
  </si>
  <si>
    <t>CrpVrpVrpCrpArpArp, ArpCrpVrpVrpCrpArp, CrpVrpVrpCrpArpArp, ArpCrpVrpVrpCrpArp</t>
  </si>
  <si>
    <t>V5-V10-B, C6-V11-B</t>
  </si>
  <si>
    <t>VrpCrpArpArpCrpVrp, CrpArpArpCrpVrpVrp</t>
  </si>
  <si>
    <t>A2-A7-B, C3-A8-B, A8-A13-B</t>
  </si>
  <si>
    <t>ArpCrpVrpVrpCrpArp, CrpVrpVrpCrpArpArp, ArpCrpVrpVrpCrpArp</t>
  </si>
  <si>
    <t>V4-C9-B, A7-C12-B</t>
  </si>
  <si>
    <t>VrpVrpCrpArpArpCrp, ArpArpCrpVrpVrpCrp</t>
  </si>
  <si>
    <t>V4-A8, A7-V11</t>
  </si>
  <si>
    <t>VrpVrpCrpArpArp, ArpArpCrpVrpVrp</t>
  </si>
  <si>
    <t>C9-A14, C9-A14, A2-A7, C3-A8, V5-V10, C6-V11, A8-A13, V4-C9, A7-C12</t>
  </si>
  <si>
    <t>CrpVrpVrpCrpArpArp, CrpVrpVrpCrpArpArp, ArpCrpVrpVrpCrpArp, CrpVrpVrpCrpArpArp, VrpCrpArpArpCrpVrp, CrpArpArpCrpVrpVrp, ArpCrpVrpVrpCrpArp, VrpVrpCrpArpArpCrp, ArpArpCrpVrpVrpCrp</t>
  </si>
  <si>
    <t>C9-A14, C9-A14</t>
  </si>
  <si>
    <t>CrpVrpVrpCrpArpArp, CrpVrpVrpCrpArpArp</t>
  </si>
  <si>
    <t>A8-A14-B, C3-C9-B, V5-V11-B, C6-C12-B, A2-A8-B, V4-V10-B, A7-A13-B</t>
  </si>
  <si>
    <t>ArpCrpVrpVrpCrpArpArp, CrpVrpVrpCrpArpArpCrp, VrpCrpArpArpCrpVrpVrp, CrpArpArpCrpVrpVrpCrp, ArpCrpVrpVrpCrpArpArp, VrpVrpCrpArpArpCrpVrp, ArpArpCrpVrpVrpCrpArp</t>
  </si>
  <si>
    <t>A2-A7, C3-A8, V5-V10, C6-V11, A8-A13, V4-C9, A7-C12</t>
  </si>
  <si>
    <t>ArpCrpVrpVrpCrpArp, CrpVrpVrpCrpArpArp, VrpCrpArpArpCrpVrp, CrpArpArpCrpVrpVrp, ArpCrpVrpVrpCrpArp, VrpVrpCrpArpArpCrp, ArpArpCrpVrpVrpCrp</t>
  </si>
  <si>
    <t>C3-C9-B, V5-V11-B, C6-C12-B, A2-A8-B, V4-V10-B, A7-A13-B</t>
  </si>
  <si>
    <t>CrpVrpVrpCrpArpArpCrp, VrpCrpArpArpCrpVrpVrp, CrpArpArpCrpVrpVrpCrp, ArpCrpVrpVrpCrpArpArp, VrpVrpCrpArpArpCrpVrp, ArpArpCrpVrpVrpCrpArp</t>
  </si>
  <si>
    <t>C3-C9, C6-C12</t>
  </si>
  <si>
    <t>CrpVrpVrpCrpArpArpCrp, CrpArpArpCrpVrpVrpCrp</t>
  </si>
  <si>
    <t>V5-V11, V4-V10</t>
  </si>
  <si>
    <t>VrpCrpArpArpCrpVrpVrp, VrpVrpCrpArpArpCrpVrp</t>
  </si>
  <si>
    <t>C3-C9, C6-C12, C3-C9, C6-C12</t>
  </si>
  <si>
    <t>CrpVrpVrpCrpArpArpCrp, CrpArpArpCrpVrpVrpCrp, CrpVrpVrpCrpArpArpCrp, CrpArpArpCrpVrpVrpCrp</t>
  </si>
  <si>
    <t>A8-A14, A8-A14, A2-A8, A7-A13</t>
  </si>
  <si>
    <t>ArpCrpVrpVrpCrpArpArp, ArpCrpVrpVrpCrpArpArp, ArpCrpVrpVrpCrpArpArp, ArpArpCrpVrpVrpCrpArp</t>
  </si>
  <si>
    <t>V5-V11, V5-V11, V4-V10, V4-V10</t>
  </si>
  <si>
    <t>VrpCrpArpArpCrpVrpVrp, VrpCrpArpArpCrpVrpVrp, VrpVrpCrpArpArpCrpVrp, VrpVrpCrpArpArpCrpVrp</t>
  </si>
  <si>
    <t>A8-A14, A8-A14</t>
  </si>
  <si>
    <t>ArpCrpVrpVrpCrpArpArp, ArpCrpVrpVrpCrpArpArp</t>
  </si>
  <si>
    <t>C3-C9, C6-C12, C3-C9, C6-C12, C3-C9, C6-C12, C3-C9, C6-C12</t>
  </si>
  <si>
    <t>CrpVrpVrpCrpArpArpCrp, CrpArpArpCrpVrpVrpCrp, CrpVrpVrpCrpArpArpCrp, CrpArpArpCrpVrpVrpCrp, CrpVrpVrpCrpArpArpCrp, CrpArpArpCrpVrpVrpCrp, CrpVrpVrpCrpArpArpCrp, CrpArpArpCrpVrpVrpCrp</t>
  </si>
  <si>
    <t>V5-V11, V5-V11, V5-V11, V5-V11, V4-V10, V4-V10, V4-V10, V4-V10</t>
  </si>
  <si>
    <t>VrpCrpArpArpCrpVrpVrp, VrpCrpArpArpCrpVrpVrp, VrpCrpArpArpCrpVrpVrp, VrpCrpArpArpCrpVrpVrp, VrpVrpCrpArpArpCrpVrp, VrpVrpCrpArpArpCrpVrp, VrpVrpCrpArpArpCrpVrp, VrpVrpCrpArpArpCrpVrp</t>
  </si>
  <si>
    <t>C3-V10-B, C6-A13-B</t>
  </si>
  <si>
    <t>CrpVrpVrpCrpArpArpCrpVrp, CrpArpArpCrpVrpVrpCrpArp</t>
  </si>
  <si>
    <t>V5-C12-B, V4-V11-B</t>
  </si>
  <si>
    <t>VrpCrpArpArpCrpVrpVrpCrp, VrpVrpCrpArpArpCrpVrpVrp</t>
  </si>
  <si>
    <t>A7-A14-B, A2-C9-B</t>
  </si>
  <si>
    <t>ArpArpCrpVrpVrpCrpArpArp, ArpCrpVrpVrpCrpArpArpCrp</t>
  </si>
  <si>
    <t>A2-A8, A7-A13</t>
  </si>
  <si>
    <t>ArpCrpVrpVrpCrpArpArp, ArpArpCrpVrpVrpCrpArp</t>
  </si>
  <si>
    <t>C3-V10, V5-C12</t>
  </si>
  <si>
    <t>CrpVrpVrpCrpArpArpCrpVrp, VrpCrpArpArpCrpVrpVrpCrp</t>
  </si>
  <si>
    <t>A2-C9, C6-A13</t>
  </si>
  <si>
    <t>ArpCrpVrpVrpCrpArpArpCrp, CrpArpArpCrpVrpVrpCrpArp</t>
  </si>
  <si>
    <t>C3-V10, V5-C12, C3-V10, V5-C12</t>
  </si>
  <si>
    <t>CrpVrpVrpCrpArpArpCrpVrp, VrpCrpArpArpCrpVrpVrpCrp, CrpVrpVrpCrpArpArpCrpVrp, VrpCrpArpArpCrpVrpVrpCrp</t>
  </si>
  <si>
    <t>A2-C9, C6-A13, A2-C9, C6-A13</t>
  </si>
  <si>
    <t>ArpCrpVrpVrpCrpArpArpCrp, CrpArpArpCrpVrpVrpCrpArp, ArpCrpVrpVrpCrpArpArpCrp, CrpArpArpCrpVrpVrpCrpArp</t>
  </si>
  <si>
    <t>V4-V11, V4-V11</t>
  </si>
  <si>
    <t>VrpVrpCrpArpArpCrpVrpVrp, VrpVrpCrpArpArpCrpVrpVrp</t>
  </si>
  <si>
    <t>A7-A14, A7-A14</t>
  </si>
  <si>
    <t>ArpArpCrpVrpVrpCrpArpArp, ArpArpCrpVrpVrpCrpArpArp</t>
  </si>
  <si>
    <t>C3-V10, V5-C12, C3-V10, V5-C12, C3-V10, V5-C12, C3-V10, V5-C12</t>
  </si>
  <si>
    <t>CrpVrpVrpCrpArpArpCrpVrp, VrpCrpArpArpCrpVrpVrpCrp, CrpVrpVrpCrpArpArpCrpVrp, VrpCrpArpArpCrpVrpVrpCrp, CrpVrpVrpCrpArpArpCrpVrp, VrpCrpArpArpCrpVrpVrpCrp, CrpVrpVrpCrpArpArpCrpVrp, VrpCrpArpArpCrpVrpVrpCrp</t>
  </si>
  <si>
    <t>A2-C9, C6-A13, A2-C9, C6-A13, A2-C9, C6-A13, A2-C9, C6-A13</t>
  </si>
  <si>
    <t>ArpCrpVrpVrpCrpArpArpCrp, CrpArpArpCrpVrpVrpCrpArp, ArpCrpVrpVrpCrpArpArpCrp, CrpArpArpCrpVrpVrpCrpArp, ArpCrpVrpVrpCrpArpArpCrp, CrpArpArpCrpVrpVrpCrpArp, ArpCrpVrpVrpCrpArpArpCrp, CrpArpArpCrpVrpVrpCrpArp</t>
  </si>
  <si>
    <t>V4-V11, V4-V11, V4-V11, V4-V11</t>
  </si>
  <si>
    <t>VrpVrpCrpArpArpCrpVrpVrp, VrpVrpCrpArpArpCrpVrpVrp, VrpVrpCrpArpArpCrpVrpVrp, VrpVrpCrpArpArpCrpVrpVrp</t>
  </si>
  <si>
    <t>C3-V11-B, V5-A13-B</t>
  </si>
  <si>
    <t>CrpVrpVrpCrpArpArpCrpVrpVrp, VrpCrpArpArpCrpVrpVrpCrpArp</t>
  </si>
  <si>
    <t>C6-A14-B, A2-V10-B</t>
  </si>
  <si>
    <t>CrpArpArpCrpVrpVrpCrpArpArp, ArpCrpVrpVrpCrpArpArpCrpVrp</t>
  </si>
  <si>
    <t>C3-V11, V4-C12</t>
  </si>
  <si>
    <t>CrpVrpVrpCrpArpArpCrpVrpVrp, VrpVrpCrpArpArpCrpVrpVrpCrp</t>
  </si>
  <si>
    <t>A2-V10, V5-A13</t>
  </si>
  <si>
    <t>ArpCrpVrpVrpCrpArpArpCrpVrp, VrpCrpArpArpCrpVrpVrpCrpArp</t>
  </si>
  <si>
    <t>C3-V11, C3-V11, V4-C12, V4-C12</t>
  </si>
  <si>
    <t>CrpVrpVrpCrpArpArpCrpVrpVrp, CrpVrpVrpCrpArpArpCrpVrpVrp, VrpVrpCrpArpArpCrpVrpVrpCrp, VrpVrpCrpArpArpCrpVrpVrpCrp</t>
  </si>
  <si>
    <t>C6-A14, C6-A14</t>
  </si>
  <si>
    <t>CrpArpArpCrpVrpVrpCrpArpArp, CrpArpArpCrpVrpVrpCrpArpArp</t>
  </si>
  <si>
    <t>A2-V10, V5-A13, A2-V10, V5-A13</t>
  </si>
  <si>
    <t>ArpCrpVrpVrpCrpArpArpCrpVrp, VrpCrpArpArpCrpVrpVrpCrpArp, ArpCrpVrpVrpCrpArpArpCrpVrp, VrpCrpArpArpCrpVrpVrpCrpArp</t>
  </si>
  <si>
    <t>C3-V11, C3-V11, C3-V11, C3-V11, V4-C12, V4-C12, V4-C12, V4-C12</t>
  </si>
  <si>
    <t>CrpVrpVrpCrpArpArpCrpVrpVrp, CrpVrpVrpCrpArpArpCrpVrpVrp, CrpVrpVrpCrpArpArpCrpVrpVrp, CrpVrpVrpCrpArpArpCrpVrpVrp, VrpVrpCrpArpArpCrpVrpVrpCrp, VrpVrpCrpArpArpCrpVrpVrpCrp, VrpVrpCrpArpArpCrpVrpVrpCrp, VrpVrpCrpArpArpCrpVrpVrpCrp</t>
  </si>
  <si>
    <t>A2-V10, V5-A13, A2-V10, V5-A13, A2-V10, V5-A13, A2-V10, V5-A13</t>
  </si>
  <si>
    <t>ArpCrpVrpVrpCrpArpArpCrpVrp, VrpCrpArpArpCrpVrpVrpCrpArp, ArpCrpVrpVrpCrpArpArpCrpVrp, VrpCrpArpArpCrpVrpVrpCrpArp, ArpCrpVrpVrpCrpArpArpCrpVrp, VrpCrpArpArpCrpVrpVrpCrpArp, ArpCrpVrpVrpCrpArpArpCrpVrp, VrpCrpArpArpCrpVrpVrpCrpArp</t>
  </si>
  <si>
    <t>C3-C12-B, V4-A13-B</t>
  </si>
  <si>
    <t>CrpVrpVrpCrpArpArpCrpVrpVrpCrp, VrpVrpCrpArpArpCrpVrpVrpCrpArp</t>
  </si>
  <si>
    <t>V5-A14-B, A2-V11-B</t>
  </si>
  <si>
    <t>VrpCrpArpArpCrpVrpVrpCrpArpArp, ArpCrpVrpVrpCrpArpArpCrpVrpVrp</t>
  </si>
  <si>
    <t>C3-C12, C3-C12</t>
  </si>
  <si>
    <t>CrpVrpVrpCrpArpArpCrpVrpVrpCrp, CrpVrpVrpCrpArpArpCrpVrpVrpCrp</t>
  </si>
  <si>
    <t>A2-V11, V4-A13</t>
  </si>
  <si>
    <t>ArpCrpVrpVrpCrpArpArpCrpVrpVrp, VrpVrpCrpArpArpCrpVrpVrpCrpArp</t>
  </si>
  <si>
    <t>V5-A14, V5-A14</t>
  </si>
  <si>
    <t>VrpCrpArpArpCrpVrpVrpCrpArpArp, VrpCrpArpArpCrpVrpVrpCrpArpArp</t>
  </si>
  <si>
    <t>A2-V11, A2-V11, V4-A13, V4-A13</t>
  </si>
  <si>
    <t>ArpCrpVrpVrpCrpArpArpCrpVrpVrp, ArpCrpVrpVrpCrpArpArpCrpVrpVrp, VrpVrpCrpArpArpCrpVrpVrpCrpArp, VrpVrpCrpArpArpCrpVrpVrpCrpArp</t>
  </si>
  <si>
    <t>C3-C12, C3-C12, C3-C12, C3-C12</t>
  </si>
  <si>
    <t>CrpVrpVrpCrpArpArpCrpVrpVrpCrp, CrpVrpVrpCrpArpArpCrpVrpVrpCrp, CrpVrpVrpCrpArpArpCrpVrpVrpCrp, CrpVrpVrpCrpArpArpCrpVrpVrpCrp</t>
  </si>
  <si>
    <t>A2-V11, A2-V11, A2-V11, A2-V11, V4-A13, V4-A13, V4-A13, V4-A13</t>
  </si>
  <si>
    <t>ArpCrpVrpVrpCrpArpArpCrpVrpVrp, ArpCrpVrpVrpCrpArpArpCrpVrpVrp, ArpCrpVrpVrpCrpArpArpCrpVrpVrp, ArpCrpVrpVrpCrpArpArpCrpVrpVrp, VrpVrpCrpArpArpCrpVrpVrpCrpArp, VrpVrpCrpArpArpCrpVrpVrpCrpArp, VrpVrpCrpArpArpCrpVrpVrpCrpArp, VrpVrpCrpArpArpCrpVrpVrpCrpArp</t>
  </si>
  <si>
    <t>A2-C12-B, V4-A14-B</t>
  </si>
  <si>
    <t>ArpCrpVrpVrpCrpArpArpCrpVrpVrpCrp, VrpVrpCrpArpArpCrpVrpVrpCrpArpArp</t>
  </si>
  <si>
    <t>A2-C12, C3-A13</t>
  </si>
  <si>
    <t>ArpCrpVrpVrpCrpArpArpCrpVrpVrpCrp, CrpVrpVrpCrpArpArpCrpVrpVrpCrpArp</t>
  </si>
  <si>
    <t>A2-C12, C3-A13, A2-C12, C3-A13</t>
  </si>
  <si>
    <t>ArpCrpVrpVrpCrpArpArpCrpVrpVrpCrp, CrpVrpVrpCrpArpArpCrpVrpVrpCrpArp, ArpCrpVrpVrpCrpArpArpCrpVrpVrpCrp, CrpVrpVrpCrpArpArpCrpVrpVrpCrpArp</t>
  </si>
  <si>
    <t>V4-A14, V4-A14</t>
  </si>
  <si>
    <t>VrpVrpCrpArpArpCrpVrpVrpCrpArpArp, VrpVrpCrpArpArpCrpVrpVrpCrpArpArp</t>
  </si>
  <si>
    <t>A2-C12, C3-A13, A2-C12, C3-A13, A2-C12, C3-A13, A2-C12, C3-A13</t>
  </si>
  <si>
    <t>ArpCrpVrpVrpCrpArpArpCrpVrpVrpCrp, CrpVrpVrpCrpArpArpCrpVrpVrpCrpArp, ArpCrpVrpVrpCrpArpArpCrpVrpVrpCrp, CrpVrpVrpCrpArpArpCrpVrpVrpCrpArp, ArpCrpVrpVrpCrpArpArpCrpVrpVrpCrp, CrpVrpVrpCrpArpArpCrpVrpVrpCrpArp, ArpCrpVrpVrpCrpArpArpCrpVrpVrpCrp, CrpVrpVrpCrpArpArpCrpVrpVrpCrpArp</t>
  </si>
  <si>
    <t>C3-A14-B, A2-A13-B</t>
  </si>
  <si>
    <t>CrpVrpVrpCrpArpArpCrpVrpVrpCrpArpArp, ArpCrpVrpVrpCrpArpArpCrpVrpVrpCrpArp</t>
  </si>
  <si>
    <t>C3-A14, C3-A14, A2-A13</t>
  </si>
  <si>
    <t>CrpVrpVrpCrpArpArpCrpVrpVrpCrpArpArp, CrpVrpVrpCrpArpArpCrpVrpVrpCrpArpArp, ArpCrpVrpVrpCrpArpArpCrpVrpVrpCrpArp</t>
  </si>
  <si>
    <t>C3-A14, C3-A14</t>
  </si>
  <si>
    <t>CrpVrpVrpCrpArpArpCrpVrpVrpCrpArpArp, CrpVrpVrpCrpArpArpCrpVrpVrpCrpArpArp</t>
  </si>
  <si>
    <t>A2-A14, A2-A14</t>
  </si>
  <si>
    <t>ArpCrpVrpVrpCrpArpArpCrpVrpVrpCrpArpArp, ArpCrpVrpVrpCrpArpArpCrpVrpVrpCrpArpArp</t>
  </si>
  <si>
    <t>V4-V4-B, V5-V5-B, V10-V10-B, V11-V11-B, C3-C3-B, C6-C6-B, C9-C9-B, C12-C12-B, A14-A14-B, A2-A2-B, A7-A7-B, A8-A8-B, A13-A13-B 1-</t>
  </si>
  <si>
    <t>V4-V4-B, V5-V5-B, V10-V10-B, V11-V11-B, A2-A2-B, C3-C3-B, C6-C6-B, A7-A7-B, A8-A8-B, C9-C9-B, C12-C12-B, A13-A13-B 1-</t>
  </si>
  <si>
    <t>C3-C3, C6-C6, C9-C9, C12-C12, C3-C3, C6-C6, C9-C9, C12-C12 1-</t>
  </si>
  <si>
    <t>V4-V4, V5-V5, V10-V10, V11-V11, V4-V4, V5-V5, V10-V10, V11-V11 1-</t>
  </si>
  <si>
    <t>C3-C3, C6-C6, C9-C9, C12-C12, C3-C3, C6-C6, C9-C9, C12-C12, C3-C3, C6-C6, C9-C9, C12-C12, C3-C3, C6-C6, C9-C9, C12-C12 1-</t>
  </si>
  <si>
    <t>V4-V4, V5-V5, V10-V10, V11-V11, V4-V4, V5-V5, V10-V10, V11-V11, V4-V4, V5-V5, V10-V10, V11-V11, V4-V4, V5-V5, V10-V10, V11-V11 1-</t>
  </si>
  <si>
    <t>C3-C3, C6-C6, C9-C9, C12-C12 1-</t>
  </si>
  <si>
    <t>V4-V4, V5-V5, V10-V10, V11-V11 1-</t>
  </si>
  <si>
    <t>C3-V4-B, C6-A7-B, C9-V10-B, C12-A13-B 1-</t>
  </si>
  <si>
    <t>V4-V5-B, V10-V11-B, V5-C6-B, V11-C12-B 1-</t>
  </si>
  <si>
    <t>A2-C3-B, A8-C9-B, A13-A14-B, A7-A8-B 1-</t>
  </si>
  <si>
    <t>A2-A2, A7-A7, A8-A8, A13-A13 1-</t>
  </si>
  <si>
    <t>A2-C3-B, A8-C9-B, A7-A8-B 1-</t>
  </si>
  <si>
    <t>C3-V4, V5-C6, C9-V10, V11-C12 1-</t>
  </si>
  <si>
    <t>V4-V5, V10-V11 1-</t>
  </si>
  <si>
    <t>C3-V4, V5-C6, C9-V10, V11-C12, C3-V4, V5-C6, C9-V10, V11-C12 1-</t>
  </si>
  <si>
    <t>A2-C3, C6-A7, A8-C9, C12-A13, A2-C3, C6-A7, A8-C9, C12-A13 1-</t>
  </si>
  <si>
    <t>V4-V5, V10-V11, V4-V5, V10-V11 1-</t>
  </si>
  <si>
    <t>A2-C3, C6-A7, A8-C9, C12-A13 1-</t>
  </si>
  <si>
    <t>C3-V4, V5-C6, C9-V10, V11-C12, C3-V4, V5-C6, C9-V10, V11-C12, C3-V4, V5-C6, C9-V10, V11-C12, C3-V4, V5-C6, C9-V10, V11-C12 1-</t>
  </si>
  <si>
    <t>A2-C3, C6-A7, A8-C9, C12-A13, A2-C3, C6-A7, A8-C9, C12-A13, A2-C3, C6-A7, A8-C9, C12-A13, A2-C3, C6-A7, A8-C9, C12-A13 1-</t>
  </si>
  <si>
    <t>V4-V5, V10-V11, V4-V5, V10-V11, V4-V5, V10-V11, V4-V5, V10-V11 1-</t>
  </si>
  <si>
    <t>V4-C6-B, V10-C12-B 1-</t>
  </si>
  <si>
    <t>A2-V4-B, C6-A8-B, A8-V10-B 1-</t>
  </si>
  <si>
    <t>A2-V4-B, A8-V10-B, C6-A8-B 1-</t>
  </si>
  <si>
    <t>C3-V5, V4-C6, C9-V11, V10-C12 1-</t>
  </si>
  <si>
    <t>A7-C9-B 1-</t>
  </si>
  <si>
    <t>C3-V5, V4-C6, C9-V11, V10-C12, C3-V5, V4-C6, C9-V11, V10-C12 1-</t>
  </si>
  <si>
    <t>A2-V4, V5-A7, A8-V10, V11-A13, A2-V4, V5-A7, A8-V10, V11-A13 1-</t>
  </si>
  <si>
    <t>A2-V4, V5-A7, A8-V10, V11-A13 1-</t>
  </si>
  <si>
    <t>b3 1-</t>
  </si>
  <si>
    <t>C3-V5, V4-C6, C9-V11, V10-C12, C3-V5, V4-C6, C9-V11, V10-C12, C3-V5, V4-C6, C9-V11, V10-C12, C3-V5, V4-C6, C9-V11, V10-C12 1-</t>
  </si>
  <si>
    <t>C3-C6-B, C9-C12-B, V4-A7-B, V10-A13-B 1-</t>
  </si>
  <si>
    <t>w3 1-</t>
  </si>
  <si>
    <t>C3-C6-B, V4-A7-B, C9-C12-B, V10-A13-B 1-</t>
  </si>
  <si>
    <t>C3-C6, C9-C12, C3-C6, C9-C12 1-</t>
  </si>
  <si>
    <t>A2-V5, V4-A7, A8-V11, V10-A13, A2-V5, V4-A7, A8-V11, V10-A13 1-</t>
  </si>
  <si>
    <t>C3-C6, C9-C12, C3-C6, C9-C12, C3-C6, C9-C12, C3-C6, C9-C12 1-</t>
  </si>
  <si>
    <t>A2-V5, V4-A7, A8-V11, V10-A13, A2-V5, V4-A7, A8-V11, V10-A13, A2-V5, V4-A7, A8-V11, V10-A13, A2-V5, V4-A7, A8-V11, V10-A13 1-</t>
  </si>
  <si>
    <r>
      <t>(328)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</si>
  <si>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(346.1)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</si>
  <si>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(882.2)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</si>
  <si>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(771.1)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</si>
  <si>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(408)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</si>
  <si>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(390)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</si>
  <si>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(310)</t>
    </r>
    <r>
      <rPr>
        <vertAlign val="superscript"/>
        <sz val="11"/>
        <color theme="1"/>
        <rFont val="Calibri"/>
        <family val="2"/>
        <scheme val="minor"/>
      </rPr>
      <t>-1</t>
    </r>
  </si>
  <si>
    <t>FTMS - c ESI d Full ms2 1490.8749@hcd30.00 [156.0000-2000.0000]</t>
  </si>
  <si>
    <t>Scan #: 39256-39398</t>
  </si>
  <si>
    <t>RT: 191.98-192.64</t>
  </si>
  <si>
    <t>AV: 3</t>
  </si>
  <si>
    <t>Data points: 347</t>
  </si>
  <si>
    <t>C12-A14, C6-A8, C12-A14, A7-C9 1-</t>
  </si>
  <si>
    <t>A2-V4, V5-A7, A8-V10, V11-A13, A2-V4, V5-A7, A8-V10, V11-A13, A2-V4, V5-A7, A8-V10, V11-A13, A2-V4, V5-A7, A8-V10, V11-A13 1-</t>
  </si>
  <si>
    <t>c7 2-</t>
  </si>
  <si>
    <t>C6-C9-B, A7-V10-B 1-</t>
  </si>
  <si>
    <t>z4 1-</t>
  </si>
  <si>
    <t>V4-V11, V4-V11 2-</t>
  </si>
  <si>
    <t>c8 2-</t>
  </si>
  <si>
    <t>x4 1-</t>
  </si>
  <si>
    <t>c13 3-</t>
  </si>
  <si>
    <t>C3-V11, C3-V11, V4-C12, V4-C12 2-</t>
  </si>
  <si>
    <t>c9 2-</t>
  </si>
  <si>
    <t>M minus A 3-</t>
  </si>
  <si>
    <t>M minus C 3-</t>
  </si>
  <si>
    <t>c14 3-</t>
  </si>
  <si>
    <t>M 3-</t>
  </si>
  <si>
    <t>c5 1-</t>
  </si>
  <si>
    <t>w5 1-</t>
  </si>
  <si>
    <t>c11 2-</t>
  </si>
  <si>
    <t>c12 2-</t>
  </si>
  <si>
    <r>
      <t>(442.1)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, (442.1)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</si>
  <si>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(595.1)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, (595.1)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</si>
  <si>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(657.1)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, (657.1)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</si>
  <si>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(675.1)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, (675.1)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</si>
  <si>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(900.2)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, (900.2)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</si>
  <si>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(962.1)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, (962.1)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</si>
  <si>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(1602.2)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, (1602.2)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</si>
  <si>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(1117.7)</t>
    </r>
    <r>
      <rPr>
        <vertAlign val="superscript"/>
        <sz val="11"/>
        <color theme="1"/>
        <rFont val="Calibri"/>
        <family val="2"/>
        <scheme val="minor"/>
      </rPr>
      <t>-2</t>
    </r>
  </si>
  <si>
    <r>
      <t>(1282.2)</t>
    </r>
    <r>
      <rPr>
        <vertAlign val="superscript"/>
        <sz val="11"/>
        <color theme="1"/>
        <rFont val="Calibri"/>
        <family val="2"/>
        <scheme val="minor"/>
      </rPr>
      <t>-2</t>
    </r>
  </si>
  <si>
    <r>
      <t>(1434.7)</t>
    </r>
    <r>
      <rPr>
        <vertAlign val="superscript"/>
        <sz val="11"/>
        <color theme="1"/>
        <rFont val="Calibri"/>
        <family val="2"/>
        <scheme val="minor"/>
      </rPr>
      <t>-2</t>
    </r>
  </si>
  <si>
    <r>
      <t>(1682.2)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</si>
  <si>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(1754.7)</t>
    </r>
    <r>
      <rPr>
        <vertAlign val="superscript"/>
        <sz val="11"/>
        <color theme="1"/>
        <rFont val="Calibri"/>
        <family val="2"/>
        <scheme val="minor"/>
      </rPr>
      <t>-2</t>
    </r>
    <r>
      <rPr>
        <sz val="11"/>
        <color theme="1"/>
        <rFont val="Calibri"/>
        <family val="2"/>
        <scheme val="minor"/>
      </rPr>
      <t>, (1754.7)</t>
    </r>
    <r>
      <rPr>
        <vertAlign val="superscript"/>
        <sz val="11"/>
        <color theme="1"/>
        <rFont val="Calibri"/>
        <family val="2"/>
        <scheme val="minor"/>
      </rPr>
      <t>-2</t>
    </r>
  </si>
  <si>
    <r>
      <t>(1344.1)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</si>
  <si>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(1264.2)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</si>
  <si>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(1907.2)</t>
    </r>
    <r>
      <rPr>
        <vertAlign val="superscript"/>
        <sz val="11"/>
        <color theme="1"/>
        <rFont val="Calibri"/>
        <family val="2"/>
        <scheme val="minor"/>
      </rPr>
      <t>-2</t>
    </r>
    <r>
      <rPr>
        <sz val="11"/>
        <color theme="1"/>
        <rFont val="Calibri"/>
        <family val="2"/>
        <scheme val="minor"/>
      </rPr>
      <t>, (1907.3)</t>
    </r>
    <r>
      <rPr>
        <vertAlign val="superscript"/>
        <sz val="11"/>
        <color theme="1"/>
        <rFont val="Calibri"/>
        <family val="2"/>
        <scheme val="minor"/>
      </rPr>
      <t>-2</t>
    </r>
  </si>
  <si>
    <r>
      <t>(1042.1)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, (1042.1)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</si>
  <si>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(1380.9)</t>
    </r>
    <r>
      <rPr>
        <vertAlign val="superscript"/>
        <sz val="11"/>
        <color theme="1"/>
        <rFont val="Calibri"/>
        <family val="2"/>
        <scheme val="minor"/>
      </rPr>
      <t>-3</t>
    </r>
  </si>
  <si>
    <r>
      <t>(737.1)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, (737.1)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</si>
  <si>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(719)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</si>
  <si>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(639.1)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</si>
  <si>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(1484.5)</t>
    </r>
    <r>
      <rPr>
        <vertAlign val="superscript"/>
        <sz val="11"/>
        <color theme="1"/>
        <rFont val="Calibri"/>
        <family val="2"/>
        <scheme val="minor"/>
      </rPr>
      <t>-3</t>
    </r>
    <r>
      <rPr>
        <sz val="11"/>
        <color theme="1"/>
        <rFont val="Calibri"/>
        <family val="2"/>
        <scheme val="minor"/>
      </rPr>
      <t>, (1484.5)</t>
    </r>
    <r>
      <rPr>
        <vertAlign val="superscript"/>
        <sz val="11"/>
        <color theme="1"/>
        <rFont val="Calibri"/>
        <family val="2"/>
        <scheme val="minor"/>
      </rPr>
      <t>-3</t>
    </r>
    <r>
      <rPr>
        <sz val="11"/>
        <color theme="1"/>
        <rFont val="Calibri"/>
        <family val="2"/>
        <scheme val="minor"/>
      </rPr>
      <t>, (1490.5)-3, (1490.5)-3</t>
    </r>
  </si>
  <si>
    <t>An excellent reference is: Timar, Z. in Handbook of Analysis of Oligonucleotides and Related Products. (eds. J.V. Bonilla &amp; G.S. Srivatsa) 167-218 (CRC Press, 2011)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</si>
</sst>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"/>
    <numFmt numFmtId="166" formatCode="0.000"/>
    <numFmt numFmtId="167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rgb="FF69BF7B"/>
        <bgColor indexed="64"/>
      </patternFill>
    </fill>
    <fill>
      <patternFill patternType="solid">
        <fgColor rgb="FF82C77C"/>
        <bgColor indexed="64"/>
      </patternFill>
    </fill>
    <fill>
      <patternFill patternType="solid">
        <fgColor rgb="FFA1D07E"/>
        <bgColor indexed="64"/>
      </patternFill>
    </fill>
    <fill>
      <patternFill patternType="solid">
        <fgColor rgb="FFDFE282"/>
        <bgColor indexed="64"/>
      </patternFill>
    </fill>
    <fill>
      <patternFill patternType="solid">
        <fgColor rgb="FFFFE383"/>
        <bgColor indexed="64"/>
      </patternFill>
    </fill>
    <fill>
      <patternFill patternType="solid">
        <fgColor rgb="FFFED280"/>
        <bgColor indexed="64"/>
      </patternFill>
    </fill>
    <fill>
      <patternFill patternType="solid">
        <fgColor rgb="FFFDC07C"/>
        <bgColor indexed="64"/>
      </patternFill>
    </fill>
    <fill>
      <patternFill patternType="solid">
        <fgColor rgb="FFFB9574"/>
        <bgColor indexed="64"/>
      </patternFill>
    </fill>
    <fill>
      <patternFill patternType="solid">
        <fgColor rgb="FFF8696B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65">
    <xf numFmtId="0" fontId="0" fillId="0" borderId="0" xfId="0"/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right" vertical="center"/>
    </xf>
    <xf numFmtId="164" fontId="0" fillId="2" borderId="0" xfId="0" applyNumberForma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3" borderId="0" xfId="0" applyFill="1" applyAlignment="1">
      <alignment horizontal="left" vertical="center"/>
    </xf>
    <xf numFmtId="2" fontId="0" fillId="3" borderId="0" xfId="0" applyNumberFormat="1" applyFill="1" applyAlignment="1">
      <alignment horizontal="left" vertical="center"/>
    </xf>
    <xf numFmtId="11" fontId="0" fillId="3" borderId="0" xfId="0" applyNumberFormat="1" applyFill="1" applyAlignment="1">
      <alignment horizontal="left" vertical="center"/>
    </xf>
    <xf numFmtId="165" fontId="0" fillId="3" borderId="0" xfId="0" applyNumberFormat="1" applyFill="1" applyAlignment="1">
      <alignment horizontal="left" vertical="center"/>
    </xf>
    <xf numFmtId="164" fontId="0" fillId="3" borderId="0" xfId="0" applyNumberFormat="1" applyFill="1" applyAlignment="1">
      <alignment horizontal="left" vertical="center"/>
    </xf>
    <xf numFmtId="0" fontId="1" fillId="3" borderId="0" xfId="1" applyFill="1" applyAlignment="1">
      <alignment horizontal="left" vertical="center"/>
    </xf>
    <xf numFmtId="0" fontId="0" fillId="3" borderId="0" xfId="1" applyFont="1" applyFill="1" applyAlignment="1">
      <alignment horizontal="left" vertical="center"/>
    </xf>
    <xf numFmtId="0" fontId="0" fillId="2" borderId="0" xfId="0" applyFill="1"/>
    <xf numFmtId="0" fontId="0" fillId="0" borderId="0" xfId="0" applyNumberFormat="1" applyFont="1" applyFill="1" applyBorder="1"/>
    <xf numFmtId="166" fontId="0" fillId="0" borderId="0" xfId="0" applyNumberFormat="1" applyFont="1" applyFill="1" applyBorder="1"/>
    <xf numFmtId="0" fontId="0" fillId="2" borderId="0" xfId="0" applyFill="1" applyAlignment="1">
      <alignment vertical="center"/>
    </xf>
    <xf numFmtId="164" fontId="0" fillId="0" borderId="0" xfId="0" applyNumberFormat="1" applyFont="1" applyFill="1" applyBorder="1"/>
    <xf numFmtId="167" fontId="0" fillId="0" borderId="0" xfId="0" applyNumberFormat="1" applyFont="1" applyFill="1" applyBorder="1"/>
    <xf numFmtId="1" fontId="0" fillId="2" borderId="0" xfId="0" applyNumberFormat="1" applyFill="1" applyAlignment="1">
      <alignment horizontal="left" vertical="center" wrapText="1"/>
    </xf>
    <xf numFmtId="0" fontId="4" fillId="2" borderId="0" xfId="0" applyFont="1" applyFill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0" fontId="0" fillId="0" borderId="0" xfId="0" applyNumberFormat="1" applyFont="1" applyFill="1" applyBorder="1" applyAlignment="1">
      <alignment horizontal="left" vertical="center"/>
    </xf>
    <xf numFmtId="1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164" fontId="0" fillId="2" borderId="0" xfId="0" applyNumberFormat="1" applyFill="1" applyAlignment="1">
      <alignment horizontal="left" vertical="center" wrapText="1"/>
    </xf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0" fillId="2" borderId="0" xfId="0" applyFill="1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6" fillId="0" borderId="0" xfId="0" applyNumberFormat="1" applyFont="1" applyFill="1" applyBorder="1" applyAlignment="1">
      <alignment horizontal="center" vertical="center" wrapText="1"/>
    </xf>
    <xf numFmtId="0" fontId="0" fillId="4" borderId="0" xfId="0" applyFill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0" fillId="11" borderId="0" xfId="0" applyFill="1" applyAlignment="1">
      <alignment horizontal="left" vertical="center"/>
    </xf>
    <xf numFmtId="0" fontId="0" fillId="12" borderId="0" xfId="0" applyFill="1" applyAlignment="1">
      <alignment horizontal="left" vertical="center"/>
    </xf>
    <xf numFmtId="0" fontId="0" fillId="13" borderId="0" xfId="0" applyFill="1" applyAlignment="1">
      <alignment horizontal="left" vertical="center"/>
    </xf>
    <xf numFmtId="167" fontId="0" fillId="0" borderId="0" xfId="0" applyNumberFormat="1" applyFont="1" applyFill="1" applyBorder="1" applyAlignment="1">
      <alignment horizontal="center" vertical="center" wrapText="1"/>
    </xf>
    <xf numFmtId="0" fontId="0" fillId="10" borderId="0" xfId="0" applyNumberFormat="1" applyFont="1" applyFill="1" applyBorder="1" applyAlignment="1">
      <alignment horizontal="center" vertical="center" wrapText="1"/>
    </xf>
    <xf numFmtId="0" fontId="7" fillId="0" borderId="0" xfId="0" applyNumberFormat="1" applyFont="1" applyFill="1" applyBorder="1" applyAlignment="1">
      <alignment horizontal="center" vertical="center" wrapText="1"/>
    </xf>
    <xf numFmtId="167" fontId="7" fillId="0" borderId="0" xfId="0" applyNumberFormat="1" applyFont="1" applyFill="1" applyBorder="1" applyAlignment="1">
      <alignment horizontal="center" vertical="center" wrapText="1"/>
    </xf>
    <xf numFmtId="0" fontId="7" fillId="0" borderId="0" xfId="0" applyNumberFormat="1" applyFont="1" applyFill="1" applyBorder="1" applyAlignment="1">
      <alignment horizontal="left" vertical="center"/>
    </xf>
    <xf numFmtId="167" fontId="7" fillId="0" borderId="0" xfId="0" applyNumberFormat="1" applyFont="1" applyFill="1" applyBorder="1" applyAlignment="1">
      <alignment horizontal="left" vertical="center"/>
    </xf>
    <xf numFmtId="0" fontId="0" fillId="9" borderId="0" xfId="0" applyNumberFormat="1" applyFont="1" applyFill="1" applyBorder="1" applyAlignment="1">
      <alignment horizontal="center" vertical="center" wrapText="1"/>
    </xf>
    <xf numFmtId="0" fontId="0" fillId="7" borderId="0" xfId="0" applyNumberFormat="1" applyFont="1" applyFill="1" applyBorder="1" applyAlignment="1">
      <alignment horizontal="center" vertical="center" wrapText="1"/>
    </xf>
    <xf numFmtId="0" fontId="0" fillId="8" borderId="0" xfId="0" applyNumberFormat="1" applyFont="1" applyFill="1" applyBorder="1" applyAlignment="1">
      <alignment horizontal="center" vertical="center" wrapText="1"/>
    </xf>
    <xf numFmtId="0" fontId="0" fillId="2" borderId="0" xfId="0" applyFill="1" applyAlignment="1">
      <alignment vertical="center" wrapText="1"/>
    </xf>
    <xf numFmtId="164" fontId="3" fillId="2" borderId="0" xfId="0" applyNumberFormat="1" applyFont="1" applyFill="1" applyAlignment="1">
      <alignment horizontal="left" vertical="center"/>
    </xf>
    <xf numFmtId="0" fontId="0" fillId="11" borderId="0" xfId="0" applyNumberFormat="1" applyFont="1" applyFill="1" applyBorder="1" applyAlignment="1">
      <alignment horizontal="center" vertical="center" wrapText="1"/>
    </xf>
    <xf numFmtId="0" fontId="0" fillId="13" borderId="0" xfId="0" applyNumberFormat="1" applyFont="1" applyFill="1" applyBorder="1" applyAlignment="1">
      <alignment horizontal="center" vertical="center" wrapText="1"/>
    </xf>
    <xf numFmtId="0" fontId="0" fillId="6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wrapText="1"/>
    </xf>
    <xf numFmtId="166" fontId="0" fillId="0" borderId="0" xfId="0" applyNumberFormat="1" applyFont="1" applyFill="1" applyBorder="1" applyAlignment="1">
      <alignment wrapText="1"/>
    </xf>
    <xf numFmtId="164" fontId="0" fillId="0" borderId="0" xfId="0" applyNumberFormat="1" applyFont="1" applyFill="1" applyBorder="1" applyAlignment="1">
      <alignment wrapText="1"/>
    </xf>
    <xf numFmtId="167" fontId="0" fillId="0" borderId="0" xfId="0" applyNumberFormat="1" applyFont="1" applyFill="1" applyBorder="1" applyAlignment="1">
      <alignment wrapText="1"/>
    </xf>
    <xf numFmtId="0" fontId="0" fillId="12" borderId="0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7" fillId="2" borderId="0" xfId="0" applyFont="1" applyFill="1" applyAlignment="1">
      <alignment horizontal="left" vertical="center" wrapText="1"/>
    </xf>
  </cellXfs>
  <cellStyles count="2">
    <cellStyle name="Normal" xfId="0" builtinId="0"/>
    <cellStyle name="Normal 6" xfId="1" xr:uid="{A1354F4A-7E4D-490F-A060-6BF9AA746DA6}"/>
  </cellStyles>
  <dxfs count="0"/>
  <tableStyles count="0" defaultTableStyle="TableStyleMedium2" defaultPivotStyle="PivotStyleLight16"/>
  <colors>
    <mruColors>
      <color rgb="FFF8696B"/>
      <color rgb="FFFB9574"/>
      <color rgb="FFFDC07C"/>
      <color rgb="FFFED280"/>
      <color rgb="FFFFE383"/>
      <color rgb="FFDFE282"/>
      <color rgb="FFA1D07E"/>
      <color rgb="FF82C77C"/>
      <color rgb="FF69BF7B"/>
      <color rgb="FF65C3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AACVVCAACVVCAA(-18)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Observed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Plot!$A$2:$A$1041</c:f>
              <c:numCache>
                <c:formatCode>0.000</c:formatCode>
                <c:ptCount val="1040"/>
                <c:pt idx="0">
                  <c:v>158.91728899999998</c:v>
                </c:pt>
                <c:pt idx="1">
                  <c:v>158.91828899999999</c:v>
                </c:pt>
                <c:pt idx="2">
                  <c:v>158.91928899999999</c:v>
                </c:pt>
                <c:pt idx="3">
                  <c:v>158.92430400000001</c:v>
                </c:pt>
                <c:pt idx="4">
                  <c:v>158.92530400000001</c:v>
                </c:pt>
                <c:pt idx="5">
                  <c:v>158.92630400000002</c:v>
                </c:pt>
                <c:pt idx="6">
                  <c:v>174.979096</c:v>
                </c:pt>
                <c:pt idx="7">
                  <c:v>174.980096</c:v>
                </c:pt>
                <c:pt idx="8">
                  <c:v>174.98109600000001</c:v>
                </c:pt>
                <c:pt idx="9">
                  <c:v>175.285438</c:v>
                </c:pt>
                <c:pt idx="10">
                  <c:v>175.286438</c:v>
                </c:pt>
                <c:pt idx="11">
                  <c:v>175.28743800000001</c:v>
                </c:pt>
                <c:pt idx="12">
                  <c:v>175.98277999999999</c:v>
                </c:pt>
                <c:pt idx="13">
                  <c:v>175.98378</c:v>
                </c:pt>
                <c:pt idx="14">
                  <c:v>175.98478</c:v>
                </c:pt>
                <c:pt idx="15">
                  <c:v>176.93483699999999</c:v>
                </c:pt>
                <c:pt idx="16">
                  <c:v>176.93583699999999</c:v>
                </c:pt>
                <c:pt idx="17">
                  <c:v>176.936837</c:v>
                </c:pt>
                <c:pt idx="18">
                  <c:v>180.53139400000001</c:v>
                </c:pt>
                <c:pt idx="19">
                  <c:v>180.53239400000001</c:v>
                </c:pt>
                <c:pt idx="20">
                  <c:v>180.53339400000002</c:v>
                </c:pt>
                <c:pt idx="21">
                  <c:v>181.659716</c:v>
                </c:pt>
                <c:pt idx="22">
                  <c:v>181.66071600000001</c:v>
                </c:pt>
                <c:pt idx="23">
                  <c:v>181.66171600000001</c:v>
                </c:pt>
                <c:pt idx="24">
                  <c:v>184.16702999999998</c:v>
                </c:pt>
                <c:pt idx="25">
                  <c:v>184.16802999999999</c:v>
                </c:pt>
                <c:pt idx="26">
                  <c:v>184.16902999999999</c:v>
                </c:pt>
                <c:pt idx="27">
                  <c:v>190.03609399999999</c:v>
                </c:pt>
                <c:pt idx="28">
                  <c:v>190.037094</c:v>
                </c:pt>
                <c:pt idx="29">
                  <c:v>190.038094</c:v>
                </c:pt>
                <c:pt idx="30">
                  <c:v>190.84876199999999</c:v>
                </c:pt>
                <c:pt idx="31">
                  <c:v>190.849762</c:v>
                </c:pt>
                <c:pt idx="32">
                  <c:v>190.850762</c:v>
                </c:pt>
                <c:pt idx="33">
                  <c:v>192.98961599999998</c:v>
                </c:pt>
                <c:pt idx="34">
                  <c:v>192.99061599999999</c:v>
                </c:pt>
                <c:pt idx="35">
                  <c:v>192.99161599999999</c:v>
                </c:pt>
                <c:pt idx="36">
                  <c:v>196.896705</c:v>
                </c:pt>
                <c:pt idx="37">
                  <c:v>196.897705</c:v>
                </c:pt>
                <c:pt idx="38">
                  <c:v>196.89870500000001</c:v>
                </c:pt>
                <c:pt idx="39">
                  <c:v>208.815864</c:v>
                </c:pt>
                <c:pt idx="40">
                  <c:v>208.81686400000001</c:v>
                </c:pt>
                <c:pt idx="41">
                  <c:v>208.81786400000001</c:v>
                </c:pt>
                <c:pt idx="42">
                  <c:v>211.00036800000001</c:v>
                </c:pt>
                <c:pt idx="43">
                  <c:v>211.00136800000001</c:v>
                </c:pt>
                <c:pt idx="44">
                  <c:v>211.00236800000002</c:v>
                </c:pt>
                <c:pt idx="45">
                  <c:v>212.00363899999999</c:v>
                </c:pt>
                <c:pt idx="46">
                  <c:v>212.004639</c:v>
                </c:pt>
                <c:pt idx="47">
                  <c:v>212.005639</c:v>
                </c:pt>
                <c:pt idx="48">
                  <c:v>212.93514199999998</c:v>
                </c:pt>
                <c:pt idx="49">
                  <c:v>212.93614199999999</c:v>
                </c:pt>
                <c:pt idx="50">
                  <c:v>212.93714199999999</c:v>
                </c:pt>
                <c:pt idx="51">
                  <c:v>214.01281900000001</c:v>
                </c:pt>
                <c:pt idx="52">
                  <c:v>214.01381900000001</c:v>
                </c:pt>
                <c:pt idx="53">
                  <c:v>214.01481900000002</c:v>
                </c:pt>
                <c:pt idx="54">
                  <c:v>248.29749200000001</c:v>
                </c:pt>
                <c:pt idx="55">
                  <c:v>248.29849200000001</c:v>
                </c:pt>
                <c:pt idx="56">
                  <c:v>248.29949200000001</c:v>
                </c:pt>
                <c:pt idx="57">
                  <c:v>253.848457</c:v>
                </c:pt>
                <c:pt idx="58">
                  <c:v>253.849457</c:v>
                </c:pt>
                <c:pt idx="59">
                  <c:v>253.85045700000001</c:v>
                </c:pt>
                <c:pt idx="60">
                  <c:v>254.94571999999999</c:v>
                </c:pt>
                <c:pt idx="61">
                  <c:v>254.94672</c:v>
                </c:pt>
                <c:pt idx="62">
                  <c:v>254.94772</c:v>
                </c:pt>
                <c:pt idx="63">
                  <c:v>261.02832700000005</c:v>
                </c:pt>
                <c:pt idx="64">
                  <c:v>261.02932700000002</c:v>
                </c:pt>
                <c:pt idx="65">
                  <c:v>261.030327</c:v>
                </c:pt>
                <c:pt idx="66">
                  <c:v>272.95635300000004</c:v>
                </c:pt>
                <c:pt idx="67">
                  <c:v>272.95735300000001</c:v>
                </c:pt>
                <c:pt idx="68">
                  <c:v>272.95835299999999</c:v>
                </c:pt>
                <c:pt idx="69">
                  <c:v>273.95960200000002</c:v>
                </c:pt>
                <c:pt idx="70">
                  <c:v>273.96060199999999</c:v>
                </c:pt>
                <c:pt idx="71">
                  <c:v>273.96160199999997</c:v>
                </c:pt>
                <c:pt idx="72">
                  <c:v>276.91544300000004</c:v>
                </c:pt>
                <c:pt idx="73">
                  <c:v>276.91644300000002</c:v>
                </c:pt>
                <c:pt idx="74">
                  <c:v>276.91744299999999</c:v>
                </c:pt>
                <c:pt idx="75">
                  <c:v>281.48056700000001</c:v>
                </c:pt>
                <c:pt idx="76">
                  <c:v>281.48156699999998</c:v>
                </c:pt>
                <c:pt idx="77">
                  <c:v>281.48256699999996</c:v>
                </c:pt>
                <c:pt idx="78">
                  <c:v>286.02280100000002</c:v>
                </c:pt>
                <c:pt idx="79">
                  <c:v>286.02380099999999</c:v>
                </c:pt>
                <c:pt idx="80">
                  <c:v>286.02480099999997</c:v>
                </c:pt>
                <c:pt idx="81">
                  <c:v>290.96616300000005</c:v>
                </c:pt>
                <c:pt idx="82">
                  <c:v>290.96716300000003</c:v>
                </c:pt>
                <c:pt idx="83">
                  <c:v>290.968163</c:v>
                </c:pt>
                <c:pt idx="84">
                  <c:v>299.74930500000005</c:v>
                </c:pt>
                <c:pt idx="85">
                  <c:v>299.75030500000003</c:v>
                </c:pt>
                <c:pt idx="86">
                  <c:v>299.751305</c:v>
                </c:pt>
                <c:pt idx="87">
                  <c:v>301.02222400000005</c:v>
                </c:pt>
                <c:pt idx="88">
                  <c:v>301.02322400000003</c:v>
                </c:pt>
                <c:pt idx="89">
                  <c:v>301.024224</c:v>
                </c:pt>
                <c:pt idx="90">
                  <c:v>304.03317200000004</c:v>
                </c:pt>
                <c:pt idx="91">
                  <c:v>304.03417200000001</c:v>
                </c:pt>
                <c:pt idx="92">
                  <c:v>304.03517199999999</c:v>
                </c:pt>
                <c:pt idx="93">
                  <c:v>305.03708600000004</c:v>
                </c:pt>
                <c:pt idx="94">
                  <c:v>305.03808600000002</c:v>
                </c:pt>
                <c:pt idx="95">
                  <c:v>305.039086</c:v>
                </c:pt>
                <c:pt idx="96">
                  <c:v>307.021095</c:v>
                </c:pt>
                <c:pt idx="97">
                  <c:v>307.02209499999998</c:v>
                </c:pt>
                <c:pt idx="98">
                  <c:v>307.02309499999996</c:v>
                </c:pt>
                <c:pt idx="99">
                  <c:v>308.96800500000001</c:v>
                </c:pt>
                <c:pt idx="100">
                  <c:v>308.96900499999998</c:v>
                </c:pt>
                <c:pt idx="101">
                  <c:v>308.97000499999996</c:v>
                </c:pt>
                <c:pt idx="102">
                  <c:v>310.03398400000003</c:v>
                </c:pt>
                <c:pt idx="103">
                  <c:v>310.03498400000001</c:v>
                </c:pt>
                <c:pt idx="104">
                  <c:v>310.03598399999998</c:v>
                </c:pt>
                <c:pt idx="105">
                  <c:v>311.03727700000002</c:v>
                </c:pt>
                <c:pt idx="106">
                  <c:v>311.03827699999999</c:v>
                </c:pt>
                <c:pt idx="107">
                  <c:v>311.03927699999997</c:v>
                </c:pt>
                <c:pt idx="108">
                  <c:v>312.30951600000003</c:v>
                </c:pt>
                <c:pt idx="109">
                  <c:v>312.31051600000001</c:v>
                </c:pt>
                <c:pt idx="110">
                  <c:v>312.31151599999998</c:v>
                </c:pt>
                <c:pt idx="111">
                  <c:v>315.99918300000002</c:v>
                </c:pt>
                <c:pt idx="112">
                  <c:v>316.00018299999999</c:v>
                </c:pt>
                <c:pt idx="113">
                  <c:v>316.00118299999997</c:v>
                </c:pt>
                <c:pt idx="114">
                  <c:v>319.03293600000001</c:v>
                </c:pt>
                <c:pt idx="115">
                  <c:v>319.03393599999998</c:v>
                </c:pt>
                <c:pt idx="116">
                  <c:v>319.03493599999996</c:v>
                </c:pt>
                <c:pt idx="117">
                  <c:v>320.03621700000002</c:v>
                </c:pt>
                <c:pt idx="118">
                  <c:v>320.037217</c:v>
                </c:pt>
                <c:pt idx="119">
                  <c:v>320.03821699999997</c:v>
                </c:pt>
                <c:pt idx="120">
                  <c:v>322.04379300000005</c:v>
                </c:pt>
                <c:pt idx="121">
                  <c:v>322.04479300000003</c:v>
                </c:pt>
                <c:pt idx="122">
                  <c:v>322.045793</c:v>
                </c:pt>
                <c:pt idx="123">
                  <c:v>323.40830200000005</c:v>
                </c:pt>
                <c:pt idx="124">
                  <c:v>323.40930200000003</c:v>
                </c:pt>
                <c:pt idx="125">
                  <c:v>323.410302</c:v>
                </c:pt>
                <c:pt idx="126">
                  <c:v>328.044443</c:v>
                </c:pt>
                <c:pt idx="127">
                  <c:v>328.04544299999998</c:v>
                </c:pt>
                <c:pt idx="128">
                  <c:v>328.04644299999995</c:v>
                </c:pt>
                <c:pt idx="129">
                  <c:v>329.04722400000003</c:v>
                </c:pt>
                <c:pt idx="130">
                  <c:v>329.048224</c:v>
                </c:pt>
                <c:pt idx="131">
                  <c:v>329.04922399999998</c:v>
                </c:pt>
                <c:pt idx="132">
                  <c:v>334.91186300000004</c:v>
                </c:pt>
                <c:pt idx="133">
                  <c:v>334.91286300000002</c:v>
                </c:pt>
                <c:pt idx="134">
                  <c:v>334.91386299999999</c:v>
                </c:pt>
                <c:pt idx="135">
                  <c:v>337.04353800000001</c:v>
                </c:pt>
                <c:pt idx="136">
                  <c:v>337.04453799999999</c:v>
                </c:pt>
                <c:pt idx="137">
                  <c:v>337.04553799999996</c:v>
                </c:pt>
                <c:pt idx="138">
                  <c:v>338.04770600000001</c:v>
                </c:pt>
                <c:pt idx="139">
                  <c:v>338.04870599999998</c:v>
                </c:pt>
                <c:pt idx="140">
                  <c:v>338.04970599999996</c:v>
                </c:pt>
                <c:pt idx="141">
                  <c:v>340.99561300000005</c:v>
                </c:pt>
                <c:pt idx="142">
                  <c:v>340.99661300000002</c:v>
                </c:pt>
                <c:pt idx="143">
                  <c:v>340.997613</c:v>
                </c:pt>
                <c:pt idx="144">
                  <c:v>346.05518700000005</c:v>
                </c:pt>
                <c:pt idx="145">
                  <c:v>346.05618700000002</c:v>
                </c:pt>
                <c:pt idx="146">
                  <c:v>346.057187</c:v>
                </c:pt>
                <c:pt idx="147">
                  <c:v>347.05749300000002</c:v>
                </c:pt>
                <c:pt idx="148">
                  <c:v>347.058493</c:v>
                </c:pt>
                <c:pt idx="149">
                  <c:v>347.05949299999997</c:v>
                </c:pt>
                <c:pt idx="150">
                  <c:v>365.98880400000002</c:v>
                </c:pt>
                <c:pt idx="151">
                  <c:v>365.98980399999999</c:v>
                </c:pt>
                <c:pt idx="152">
                  <c:v>365.99080399999997</c:v>
                </c:pt>
                <c:pt idx="153">
                  <c:v>368.97750000000002</c:v>
                </c:pt>
                <c:pt idx="154">
                  <c:v>368.9785</c:v>
                </c:pt>
                <c:pt idx="155">
                  <c:v>368.97949999999997</c:v>
                </c:pt>
                <c:pt idx="156">
                  <c:v>376.23929500000003</c:v>
                </c:pt>
                <c:pt idx="157">
                  <c:v>376.240295</c:v>
                </c:pt>
                <c:pt idx="158">
                  <c:v>376.24129499999998</c:v>
                </c:pt>
                <c:pt idx="159">
                  <c:v>380.98908800000004</c:v>
                </c:pt>
                <c:pt idx="160">
                  <c:v>380.99008800000001</c:v>
                </c:pt>
                <c:pt idx="161">
                  <c:v>380.99108799999999</c:v>
                </c:pt>
                <c:pt idx="162">
                  <c:v>383.99994200000003</c:v>
                </c:pt>
                <c:pt idx="163">
                  <c:v>384.00094200000001</c:v>
                </c:pt>
                <c:pt idx="164">
                  <c:v>384.00194199999999</c:v>
                </c:pt>
                <c:pt idx="165">
                  <c:v>386.98749500000002</c:v>
                </c:pt>
                <c:pt idx="166">
                  <c:v>386.988495</c:v>
                </c:pt>
                <c:pt idx="167">
                  <c:v>386.98949499999998</c:v>
                </c:pt>
                <c:pt idx="168">
                  <c:v>390.00092100000001</c:v>
                </c:pt>
                <c:pt idx="169">
                  <c:v>390.00192099999998</c:v>
                </c:pt>
                <c:pt idx="170">
                  <c:v>390.00292099999996</c:v>
                </c:pt>
                <c:pt idx="171">
                  <c:v>398.99962200000004</c:v>
                </c:pt>
                <c:pt idx="172">
                  <c:v>399.00062200000002</c:v>
                </c:pt>
                <c:pt idx="173">
                  <c:v>399.001622</c:v>
                </c:pt>
                <c:pt idx="174">
                  <c:v>400.00273600000003</c:v>
                </c:pt>
                <c:pt idx="175">
                  <c:v>400.003736</c:v>
                </c:pt>
                <c:pt idx="176">
                  <c:v>400.00473599999998</c:v>
                </c:pt>
                <c:pt idx="177">
                  <c:v>402.01221400000003</c:v>
                </c:pt>
                <c:pt idx="178">
                  <c:v>402.013214</c:v>
                </c:pt>
                <c:pt idx="179">
                  <c:v>402.01421399999998</c:v>
                </c:pt>
                <c:pt idx="180">
                  <c:v>403.84610700000002</c:v>
                </c:pt>
                <c:pt idx="181">
                  <c:v>403.84710699999999</c:v>
                </c:pt>
                <c:pt idx="182">
                  <c:v>403.84810699999997</c:v>
                </c:pt>
                <c:pt idx="183">
                  <c:v>408.01110700000004</c:v>
                </c:pt>
                <c:pt idx="184">
                  <c:v>408.01210700000001</c:v>
                </c:pt>
                <c:pt idx="185">
                  <c:v>408.01310699999999</c:v>
                </c:pt>
                <c:pt idx="186">
                  <c:v>408.04035100000004</c:v>
                </c:pt>
                <c:pt idx="187">
                  <c:v>408.04135100000002</c:v>
                </c:pt>
                <c:pt idx="188">
                  <c:v>408.042351</c:v>
                </c:pt>
                <c:pt idx="189">
                  <c:v>409.01418900000004</c:v>
                </c:pt>
                <c:pt idx="190">
                  <c:v>409.01518900000002</c:v>
                </c:pt>
                <c:pt idx="191">
                  <c:v>409.016189</c:v>
                </c:pt>
                <c:pt idx="192">
                  <c:v>417.00882200000001</c:v>
                </c:pt>
                <c:pt idx="193">
                  <c:v>417.00982199999999</c:v>
                </c:pt>
                <c:pt idx="194">
                  <c:v>417.01082199999996</c:v>
                </c:pt>
                <c:pt idx="195">
                  <c:v>417.01142100000004</c:v>
                </c:pt>
                <c:pt idx="196">
                  <c:v>417.01242100000002</c:v>
                </c:pt>
                <c:pt idx="197">
                  <c:v>417.01342099999999</c:v>
                </c:pt>
                <c:pt idx="198">
                  <c:v>424.06354500000003</c:v>
                </c:pt>
                <c:pt idx="199">
                  <c:v>424.06454500000001</c:v>
                </c:pt>
                <c:pt idx="200">
                  <c:v>424.06554499999999</c:v>
                </c:pt>
                <c:pt idx="201">
                  <c:v>424.06604700000003</c:v>
                </c:pt>
                <c:pt idx="202">
                  <c:v>424.067047</c:v>
                </c:pt>
                <c:pt idx="203">
                  <c:v>424.06804699999998</c:v>
                </c:pt>
                <c:pt idx="204">
                  <c:v>426.02158200000002</c:v>
                </c:pt>
                <c:pt idx="205">
                  <c:v>426.022582</c:v>
                </c:pt>
                <c:pt idx="206">
                  <c:v>426.02358199999998</c:v>
                </c:pt>
                <c:pt idx="207">
                  <c:v>442.07520200000005</c:v>
                </c:pt>
                <c:pt idx="208">
                  <c:v>442.07620200000002</c:v>
                </c:pt>
                <c:pt idx="209">
                  <c:v>442.077202</c:v>
                </c:pt>
                <c:pt idx="210">
                  <c:v>442.07748500000002</c:v>
                </c:pt>
                <c:pt idx="211">
                  <c:v>442.078485</c:v>
                </c:pt>
                <c:pt idx="212">
                  <c:v>442.07948499999998</c:v>
                </c:pt>
                <c:pt idx="213">
                  <c:v>448.94260400000002</c:v>
                </c:pt>
                <c:pt idx="214">
                  <c:v>448.94360399999999</c:v>
                </c:pt>
                <c:pt idx="215">
                  <c:v>448.94460399999997</c:v>
                </c:pt>
                <c:pt idx="216">
                  <c:v>460.95420000000001</c:v>
                </c:pt>
                <c:pt idx="217">
                  <c:v>460.95519999999999</c:v>
                </c:pt>
                <c:pt idx="218">
                  <c:v>460.95619999999997</c:v>
                </c:pt>
                <c:pt idx="219">
                  <c:v>460.95661100000001</c:v>
                </c:pt>
                <c:pt idx="220">
                  <c:v>460.95761099999999</c:v>
                </c:pt>
                <c:pt idx="221">
                  <c:v>460.95861099999996</c:v>
                </c:pt>
                <c:pt idx="222">
                  <c:v>469.96685300000001</c:v>
                </c:pt>
                <c:pt idx="223">
                  <c:v>469.96785299999999</c:v>
                </c:pt>
                <c:pt idx="224">
                  <c:v>469.96885299999997</c:v>
                </c:pt>
                <c:pt idx="225">
                  <c:v>478.96548300000001</c:v>
                </c:pt>
                <c:pt idx="226">
                  <c:v>478.96648299999998</c:v>
                </c:pt>
                <c:pt idx="227">
                  <c:v>478.96748299999996</c:v>
                </c:pt>
                <c:pt idx="228">
                  <c:v>480.02207100000004</c:v>
                </c:pt>
                <c:pt idx="229">
                  <c:v>480.02307100000002</c:v>
                </c:pt>
                <c:pt idx="230">
                  <c:v>480.02407099999999</c:v>
                </c:pt>
                <c:pt idx="231">
                  <c:v>483.069343</c:v>
                </c:pt>
                <c:pt idx="232">
                  <c:v>483.07034299999998</c:v>
                </c:pt>
                <c:pt idx="233">
                  <c:v>483.07134299999996</c:v>
                </c:pt>
                <c:pt idx="234">
                  <c:v>487.97746000000001</c:v>
                </c:pt>
                <c:pt idx="235">
                  <c:v>487.97845999999998</c:v>
                </c:pt>
                <c:pt idx="236">
                  <c:v>487.97945999999996</c:v>
                </c:pt>
                <c:pt idx="237">
                  <c:v>495.021434</c:v>
                </c:pt>
                <c:pt idx="238">
                  <c:v>495.02243399999998</c:v>
                </c:pt>
                <c:pt idx="239">
                  <c:v>495.02343399999995</c:v>
                </c:pt>
                <c:pt idx="240">
                  <c:v>498.03169300000002</c:v>
                </c:pt>
                <c:pt idx="241">
                  <c:v>498.03269299999999</c:v>
                </c:pt>
                <c:pt idx="242">
                  <c:v>498.03369299999997</c:v>
                </c:pt>
                <c:pt idx="243">
                  <c:v>504.031902</c:v>
                </c:pt>
                <c:pt idx="244">
                  <c:v>504.03290199999998</c:v>
                </c:pt>
                <c:pt idx="245">
                  <c:v>504.03390199999996</c:v>
                </c:pt>
                <c:pt idx="246">
                  <c:v>505.03177600000004</c:v>
                </c:pt>
                <c:pt idx="247">
                  <c:v>505.03277600000001</c:v>
                </c:pt>
                <c:pt idx="248">
                  <c:v>505.03377599999999</c:v>
                </c:pt>
                <c:pt idx="249">
                  <c:v>513.03169800000001</c:v>
                </c:pt>
                <c:pt idx="250">
                  <c:v>513.03269799999998</c:v>
                </c:pt>
                <c:pt idx="251">
                  <c:v>513.03369799999996</c:v>
                </c:pt>
                <c:pt idx="252">
                  <c:v>518.86795800000004</c:v>
                </c:pt>
                <c:pt idx="253">
                  <c:v>518.86895800000002</c:v>
                </c:pt>
                <c:pt idx="254">
                  <c:v>518.869958</c:v>
                </c:pt>
                <c:pt idx="255">
                  <c:v>522.04284100000007</c:v>
                </c:pt>
                <c:pt idx="256">
                  <c:v>522.04384100000004</c:v>
                </c:pt>
                <c:pt idx="257">
                  <c:v>522.04484100000002</c:v>
                </c:pt>
                <c:pt idx="258">
                  <c:v>523.04668200000003</c:v>
                </c:pt>
                <c:pt idx="259">
                  <c:v>523.04768200000001</c:v>
                </c:pt>
                <c:pt idx="260">
                  <c:v>523.04868199999999</c:v>
                </c:pt>
                <c:pt idx="261">
                  <c:v>526.09818000000007</c:v>
                </c:pt>
                <c:pt idx="262">
                  <c:v>526.09918000000005</c:v>
                </c:pt>
                <c:pt idx="263">
                  <c:v>526.10018000000002</c:v>
                </c:pt>
                <c:pt idx="264">
                  <c:v>540.05142899999998</c:v>
                </c:pt>
                <c:pt idx="265">
                  <c:v>540.05242899999996</c:v>
                </c:pt>
                <c:pt idx="266">
                  <c:v>540.05342899999994</c:v>
                </c:pt>
                <c:pt idx="267">
                  <c:v>540.05606799999998</c:v>
                </c:pt>
                <c:pt idx="268">
                  <c:v>540.05706799999996</c:v>
                </c:pt>
                <c:pt idx="269">
                  <c:v>540.05806799999993</c:v>
                </c:pt>
                <c:pt idx="270">
                  <c:v>544.108971</c:v>
                </c:pt>
                <c:pt idx="271">
                  <c:v>544.10997099999997</c:v>
                </c:pt>
                <c:pt idx="272">
                  <c:v>544.11097099999995</c:v>
                </c:pt>
                <c:pt idx="273">
                  <c:v>548.24155400000006</c:v>
                </c:pt>
                <c:pt idx="274">
                  <c:v>548.24255400000004</c:v>
                </c:pt>
                <c:pt idx="275">
                  <c:v>548.24355400000002</c:v>
                </c:pt>
                <c:pt idx="276">
                  <c:v>553.12064299999997</c:v>
                </c:pt>
                <c:pt idx="277">
                  <c:v>553.12164299999995</c:v>
                </c:pt>
                <c:pt idx="278">
                  <c:v>553.12264299999993</c:v>
                </c:pt>
                <c:pt idx="279">
                  <c:v>554.12735700000007</c:v>
                </c:pt>
                <c:pt idx="280">
                  <c:v>554.12835700000005</c:v>
                </c:pt>
                <c:pt idx="281">
                  <c:v>554.12935700000003</c:v>
                </c:pt>
                <c:pt idx="282">
                  <c:v>558.69895100000008</c:v>
                </c:pt>
                <c:pt idx="283">
                  <c:v>558.69995100000006</c:v>
                </c:pt>
                <c:pt idx="284">
                  <c:v>558.70095100000003</c:v>
                </c:pt>
                <c:pt idx="285">
                  <c:v>559.10970700000007</c:v>
                </c:pt>
                <c:pt idx="286">
                  <c:v>559.11070700000005</c:v>
                </c:pt>
                <c:pt idx="287">
                  <c:v>559.11170700000002</c:v>
                </c:pt>
                <c:pt idx="288">
                  <c:v>559.98270400000001</c:v>
                </c:pt>
                <c:pt idx="289">
                  <c:v>559.98370399999999</c:v>
                </c:pt>
                <c:pt idx="290">
                  <c:v>559.98470399999997</c:v>
                </c:pt>
                <c:pt idx="291">
                  <c:v>562.117796</c:v>
                </c:pt>
                <c:pt idx="292">
                  <c:v>562.11879599999997</c:v>
                </c:pt>
                <c:pt idx="293">
                  <c:v>562.11979599999995</c:v>
                </c:pt>
                <c:pt idx="294">
                  <c:v>571.12589200000002</c:v>
                </c:pt>
                <c:pt idx="295">
                  <c:v>571.126892</c:v>
                </c:pt>
                <c:pt idx="296">
                  <c:v>571.12789199999997</c:v>
                </c:pt>
                <c:pt idx="297">
                  <c:v>571.13187400000004</c:v>
                </c:pt>
                <c:pt idx="298">
                  <c:v>571.13287400000002</c:v>
                </c:pt>
                <c:pt idx="299">
                  <c:v>571.13387399999999</c:v>
                </c:pt>
                <c:pt idx="300">
                  <c:v>572.13291100000004</c:v>
                </c:pt>
                <c:pt idx="301">
                  <c:v>572.13391100000001</c:v>
                </c:pt>
                <c:pt idx="302">
                  <c:v>572.13491099999999</c:v>
                </c:pt>
                <c:pt idx="303">
                  <c:v>574.98865899999998</c:v>
                </c:pt>
                <c:pt idx="304">
                  <c:v>574.98965899999996</c:v>
                </c:pt>
                <c:pt idx="305">
                  <c:v>574.99065899999994</c:v>
                </c:pt>
                <c:pt idx="306">
                  <c:v>577.12071500000002</c:v>
                </c:pt>
                <c:pt idx="307">
                  <c:v>577.12171499999999</c:v>
                </c:pt>
                <c:pt idx="308">
                  <c:v>577.12271499999997</c:v>
                </c:pt>
                <c:pt idx="309">
                  <c:v>578.00101400000005</c:v>
                </c:pt>
                <c:pt idx="310">
                  <c:v>578.00201400000003</c:v>
                </c:pt>
                <c:pt idx="311">
                  <c:v>578.00301400000001</c:v>
                </c:pt>
                <c:pt idx="312">
                  <c:v>583.99904900000001</c:v>
                </c:pt>
                <c:pt idx="313">
                  <c:v>584.00004899999999</c:v>
                </c:pt>
                <c:pt idx="314">
                  <c:v>584.00104899999997</c:v>
                </c:pt>
                <c:pt idx="315">
                  <c:v>585.00016000000005</c:v>
                </c:pt>
                <c:pt idx="316">
                  <c:v>585.00116000000003</c:v>
                </c:pt>
                <c:pt idx="317">
                  <c:v>585.00216</c:v>
                </c:pt>
                <c:pt idx="318">
                  <c:v>592.99857300000008</c:v>
                </c:pt>
                <c:pt idx="319">
                  <c:v>592.99957300000005</c:v>
                </c:pt>
                <c:pt idx="320">
                  <c:v>593.00057300000003</c:v>
                </c:pt>
                <c:pt idx="321">
                  <c:v>595.13913700000001</c:v>
                </c:pt>
                <c:pt idx="322">
                  <c:v>595.14013699999998</c:v>
                </c:pt>
                <c:pt idx="323">
                  <c:v>595.14113699999996</c:v>
                </c:pt>
                <c:pt idx="324">
                  <c:v>595.14218800000003</c:v>
                </c:pt>
                <c:pt idx="325">
                  <c:v>595.14318800000001</c:v>
                </c:pt>
                <c:pt idx="326">
                  <c:v>595.14418799999999</c:v>
                </c:pt>
                <c:pt idx="327">
                  <c:v>597.06345299999998</c:v>
                </c:pt>
                <c:pt idx="328">
                  <c:v>597.06445299999996</c:v>
                </c:pt>
                <c:pt idx="329">
                  <c:v>597.06545299999993</c:v>
                </c:pt>
                <c:pt idx="330">
                  <c:v>602.00897700000007</c:v>
                </c:pt>
                <c:pt idx="331">
                  <c:v>602.00997700000005</c:v>
                </c:pt>
                <c:pt idx="332">
                  <c:v>602.01097700000003</c:v>
                </c:pt>
                <c:pt idx="333">
                  <c:v>602.01224500000001</c:v>
                </c:pt>
                <c:pt idx="334">
                  <c:v>602.01324499999998</c:v>
                </c:pt>
                <c:pt idx="335">
                  <c:v>602.01424499999996</c:v>
                </c:pt>
                <c:pt idx="336">
                  <c:v>606.064571</c:v>
                </c:pt>
                <c:pt idx="337">
                  <c:v>606.06557099999998</c:v>
                </c:pt>
                <c:pt idx="338">
                  <c:v>606.06657099999995</c:v>
                </c:pt>
                <c:pt idx="339">
                  <c:v>607.06088999999997</c:v>
                </c:pt>
                <c:pt idx="340">
                  <c:v>607.06188999999995</c:v>
                </c:pt>
                <c:pt idx="341">
                  <c:v>607.06288999999992</c:v>
                </c:pt>
                <c:pt idx="342">
                  <c:v>615.07697500000006</c:v>
                </c:pt>
                <c:pt idx="343">
                  <c:v>615.07797500000004</c:v>
                </c:pt>
                <c:pt idx="344">
                  <c:v>615.07897500000001</c:v>
                </c:pt>
                <c:pt idx="345">
                  <c:v>621.06387700000005</c:v>
                </c:pt>
                <c:pt idx="346">
                  <c:v>621.06487700000002</c:v>
                </c:pt>
                <c:pt idx="347">
                  <c:v>621.065877</c:v>
                </c:pt>
                <c:pt idx="348">
                  <c:v>622.06320900000003</c:v>
                </c:pt>
                <c:pt idx="349">
                  <c:v>622.06420900000001</c:v>
                </c:pt>
                <c:pt idx="350">
                  <c:v>622.06520899999998</c:v>
                </c:pt>
                <c:pt idx="351">
                  <c:v>622.06687099999999</c:v>
                </c:pt>
                <c:pt idx="352">
                  <c:v>622.06787099999997</c:v>
                </c:pt>
                <c:pt idx="353">
                  <c:v>622.06887099999994</c:v>
                </c:pt>
                <c:pt idx="354">
                  <c:v>622.07126600000004</c:v>
                </c:pt>
                <c:pt idx="355">
                  <c:v>622.07226600000001</c:v>
                </c:pt>
                <c:pt idx="356">
                  <c:v>622.07326599999999</c:v>
                </c:pt>
                <c:pt idx="357">
                  <c:v>624.07501200000002</c:v>
                </c:pt>
                <c:pt idx="358">
                  <c:v>624.07601199999999</c:v>
                </c:pt>
                <c:pt idx="359">
                  <c:v>624.07701199999997</c:v>
                </c:pt>
                <c:pt idx="360">
                  <c:v>625.07626600000003</c:v>
                </c:pt>
                <c:pt idx="361">
                  <c:v>625.07726600000001</c:v>
                </c:pt>
                <c:pt idx="362">
                  <c:v>625.07826599999999</c:v>
                </c:pt>
                <c:pt idx="363">
                  <c:v>626.07993299999998</c:v>
                </c:pt>
                <c:pt idx="364">
                  <c:v>626.08093299999996</c:v>
                </c:pt>
                <c:pt idx="365">
                  <c:v>626.08193299999994</c:v>
                </c:pt>
                <c:pt idx="366">
                  <c:v>633.08658400000002</c:v>
                </c:pt>
                <c:pt idx="367">
                  <c:v>633.08758399999999</c:v>
                </c:pt>
                <c:pt idx="368">
                  <c:v>633.08858399999997</c:v>
                </c:pt>
                <c:pt idx="369">
                  <c:v>634.088436</c:v>
                </c:pt>
                <c:pt idx="370">
                  <c:v>634.08943599999998</c:v>
                </c:pt>
                <c:pt idx="371">
                  <c:v>634.09043599999995</c:v>
                </c:pt>
                <c:pt idx="372">
                  <c:v>634.09287200000006</c:v>
                </c:pt>
                <c:pt idx="373">
                  <c:v>634.09387200000003</c:v>
                </c:pt>
                <c:pt idx="374">
                  <c:v>634.09487200000001</c:v>
                </c:pt>
                <c:pt idx="375">
                  <c:v>638.22763800000007</c:v>
                </c:pt>
                <c:pt idx="376">
                  <c:v>638.22863800000005</c:v>
                </c:pt>
                <c:pt idx="377">
                  <c:v>638.22963800000002</c:v>
                </c:pt>
                <c:pt idx="378">
                  <c:v>638.36862900000006</c:v>
                </c:pt>
                <c:pt idx="379">
                  <c:v>638.36962900000003</c:v>
                </c:pt>
                <c:pt idx="380">
                  <c:v>638.37062900000001</c:v>
                </c:pt>
                <c:pt idx="381">
                  <c:v>638.37296200000003</c:v>
                </c:pt>
                <c:pt idx="382">
                  <c:v>638.37396200000001</c:v>
                </c:pt>
                <c:pt idx="383">
                  <c:v>638.37496199999998</c:v>
                </c:pt>
                <c:pt idx="384">
                  <c:v>638.511573</c:v>
                </c:pt>
                <c:pt idx="385">
                  <c:v>638.51257299999997</c:v>
                </c:pt>
                <c:pt idx="386">
                  <c:v>638.51357299999995</c:v>
                </c:pt>
                <c:pt idx="387">
                  <c:v>638.51486899999998</c:v>
                </c:pt>
                <c:pt idx="388">
                  <c:v>638.51586899999995</c:v>
                </c:pt>
                <c:pt idx="389">
                  <c:v>638.51686899999993</c:v>
                </c:pt>
                <c:pt idx="390">
                  <c:v>638.65421200000003</c:v>
                </c:pt>
                <c:pt idx="391">
                  <c:v>638.65521200000001</c:v>
                </c:pt>
                <c:pt idx="392">
                  <c:v>638.65621199999998</c:v>
                </c:pt>
                <c:pt idx="393">
                  <c:v>638.66104800000005</c:v>
                </c:pt>
                <c:pt idx="394">
                  <c:v>638.66204800000003</c:v>
                </c:pt>
                <c:pt idx="395">
                  <c:v>638.663048</c:v>
                </c:pt>
                <c:pt idx="396">
                  <c:v>638.79526499999997</c:v>
                </c:pt>
                <c:pt idx="397">
                  <c:v>638.79626499999995</c:v>
                </c:pt>
                <c:pt idx="398">
                  <c:v>638.79726499999992</c:v>
                </c:pt>
                <c:pt idx="399">
                  <c:v>639.07712500000002</c:v>
                </c:pt>
                <c:pt idx="400">
                  <c:v>639.078125</c:v>
                </c:pt>
                <c:pt idx="401">
                  <c:v>639.07912499999998</c:v>
                </c:pt>
                <c:pt idx="402">
                  <c:v>639.08116100000007</c:v>
                </c:pt>
                <c:pt idx="403">
                  <c:v>639.08216100000004</c:v>
                </c:pt>
                <c:pt idx="404">
                  <c:v>639.08316100000002</c:v>
                </c:pt>
                <c:pt idx="405">
                  <c:v>640.08017700000005</c:v>
                </c:pt>
                <c:pt idx="406">
                  <c:v>640.08117700000003</c:v>
                </c:pt>
                <c:pt idx="407">
                  <c:v>640.082177</c:v>
                </c:pt>
                <c:pt idx="408">
                  <c:v>640.08547299999998</c:v>
                </c:pt>
                <c:pt idx="409">
                  <c:v>640.08647299999996</c:v>
                </c:pt>
                <c:pt idx="410">
                  <c:v>640.08747299999993</c:v>
                </c:pt>
                <c:pt idx="411">
                  <c:v>641.083167</c:v>
                </c:pt>
                <c:pt idx="412">
                  <c:v>641.08416699999998</c:v>
                </c:pt>
                <c:pt idx="413">
                  <c:v>641.08516699999996</c:v>
                </c:pt>
                <c:pt idx="414">
                  <c:v>641.29355600000008</c:v>
                </c:pt>
                <c:pt idx="415">
                  <c:v>641.29455600000006</c:v>
                </c:pt>
                <c:pt idx="416">
                  <c:v>641.29555600000003</c:v>
                </c:pt>
                <c:pt idx="417">
                  <c:v>641.51010800000006</c:v>
                </c:pt>
                <c:pt idx="418">
                  <c:v>641.51110800000004</c:v>
                </c:pt>
                <c:pt idx="419">
                  <c:v>641.51210800000001</c:v>
                </c:pt>
                <c:pt idx="420">
                  <c:v>642.08579199999997</c:v>
                </c:pt>
                <c:pt idx="421">
                  <c:v>642.08679199999995</c:v>
                </c:pt>
                <c:pt idx="422">
                  <c:v>642.08779199999992</c:v>
                </c:pt>
                <c:pt idx="423">
                  <c:v>642.09006399999998</c:v>
                </c:pt>
                <c:pt idx="424">
                  <c:v>642.09106399999996</c:v>
                </c:pt>
                <c:pt idx="425">
                  <c:v>642.09206399999994</c:v>
                </c:pt>
                <c:pt idx="426">
                  <c:v>648.08329000000003</c:v>
                </c:pt>
                <c:pt idx="427">
                  <c:v>648.08429000000001</c:v>
                </c:pt>
                <c:pt idx="428">
                  <c:v>648.08528999999999</c:v>
                </c:pt>
                <c:pt idx="429">
                  <c:v>651.09281099999998</c:v>
                </c:pt>
                <c:pt idx="430">
                  <c:v>651.09381099999996</c:v>
                </c:pt>
                <c:pt idx="431">
                  <c:v>651.09481099999994</c:v>
                </c:pt>
                <c:pt idx="432">
                  <c:v>657.09445900000003</c:v>
                </c:pt>
                <c:pt idx="433">
                  <c:v>657.09545900000001</c:v>
                </c:pt>
                <c:pt idx="434">
                  <c:v>657.09645899999998</c:v>
                </c:pt>
                <c:pt idx="435">
                  <c:v>657.09779800000001</c:v>
                </c:pt>
                <c:pt idx="436">
                  <c:v>657.09879799999999</c:v>
                </c:pt>
                <c:pt idx="437">
                  <c:v>657.09979799999996</c:v>
                </c:pt>
                <c:pt idx="438">
                  <c:v>658.096046</c:v>
                </c:pt>
                <c:pt idx="439">
                  <c:v>658.09704599999998</c:v>
                </c:pt>
                <c:pt idx="440">
                  <c:v>658.09804599999995</c:v>
                </c:pt>
                <c:pt idx="441">
                  <c:v>658.10040400000003</c:v>
                </c:pt>
                <c:pt idx="442">
                  <c:v>658.101404</c:v>
                </c:pt>
                <c:pt idx="443">
                  <c:v>658.10240399999998</c:v>
                </c:pt>
                <c:pt idx="444">
                  <c:v>675.10636099999999</c:v>
                </c:pt>
                <c:pt idx="445">
                  <c:v>675.10736099999997</c:v>
                </c:pt>
                <c:pt idx="446">
                  <c:v>675.10836099999995</c:v>
                </c:pt>
                <c:pt idx="447">
                  <c:v>675.11005799999998</c:v>
                </c:pt>
                <c:pt idx="448">
                  <c:v>675.11105799999996</c:v>
                </c:pt>
                <c:pt idx="449">
                  <c:v>675.11205799999993</c:v>
                </c:pt>
                <c:pt idx="450">
                  <c:v>676.110816</c:v>
                </c:pt>
                <c:pt idx="451">
                  <c:v>676.11181599999998</c:v>
                </c:pt>
                <c:pt idx="452">
                  <c:v>676.11281599999995</c:v>
                </c:pt>
                <c:pt idx="453">
                  <c:v>680.02323100000001</c:v>
                </c:pt>
                <c:pt idx="454">
                  <c:v>680.02423099999999</c:v>
                </c:pt>
                <c:pt idx="455">
                  <c:v>680.02523099999996</c:v>
                </c:pt>
                <c:pt idx="456">
                  <c:v>686.029629</c:v>
                </c:pt>
                <c:pt idx="457">
                  <c:v>686.03062899999998</c:v>
                </c:pt>
                <c:pt idx="458">
                  <c:v>686.03162899999995</c:v>
                </c:pt>
                <c:pt idx="459">
                  <c:v>686.03330200000005</c:v>
                </c:pt>
                <c:pt idx="460">
                  <c:v>686.03430200000003</c:v>
                </c:pt>
                <c:pt idx="461">
                  <c:v>686.035302</c:v>
                </c:pt>
                <c:pt idx="462">
                  <c:v>686.58090900000002</c:v>
                </c:pt>
                <c:pt idx="463">
                  <c:v>686.581909</c:v>
                </c:pt>
                <c:pt idx="464">
                  <c:v>686.58290899999997</c:v>
                </c:pt>
                <c:pt idx="465">
                  <c:v>695.04189400000007</c:v>
                </c:pt>
                <c:pt idx="466">
                  <c:v>695.04289400000005</c:v>
                </c:pt>
                <c:pt idx="467">
                  <c:v>695.04389400000002</c:v>
                </c:pt>
                <c:pt idx="468">
                  <c:v>701.03126400000008</c:v>
                </c:pt>
                <c:pt idx="469">
                  <c:v>701.03226400000005</c:v>
                </c:pt>
                <c:pt idx="470">
                  <c:v>701.03326400000003</c:v>
                </c:pt>
                <c:pt idx="471">
                  <c:v>702.03372899999999</c:v>
                </c:pt>
                <c:pt idx="472">
                  <c:v>702.03472899999997</c:v>
                </c:pt>
                <c:pt idx="473">
                  <c:v>702.03572899999995</c:v>
                </c:pt>
                <c:pt idx="474">
                  <c:v>704.04172700000004</c:v>
                </c:pt>
                <c:pt idx="475">
                  <c:v>704.04272700000001</c:v>
                </c:pt>
                <c:pt idx="476">
                  <c:v>704.04372699999999</c:v>
                </c:pt>
                <c:pt idx="477">
                  <c:v>713.05219799999998</c:v>
                </c:pt>
                <c:pt idx="478">
                  <c:v>713.05319799999995</c:v>
                </c:pt>
                <c:pt idx="479">
                  <c:v>713.05419799999993</c:v>
                </c:pt>
                <c:pt idx="480">
                  <c:v>719.04270100000008</c:v>
                </c:pt>
                <c:pt idx="481">
                  <c:v>719.04370100000006</c:v>
                </c:pt>
                <c:pt idx="482">
                  <c:v>719.04470100000003</c:v>
                </c:pt>
                <c:pt idx="483">
                  <c:v>719.04744400000004</c:v>
                </c:pt>
                <c:pt idx="484">
                  <c:v>719.04844400000002</c:v>
                </c:pt>
                <c:pt idx="485">
                  <c:v>719.04944399999999</c:v>
                </c:pt>
                <c:pt idx="486">
                  <c:v>720.04847000000007</c:v>
                </c:pt>
                <c:pt idx="487">
                  <c:v>720.04947000000004</c:v>
                </c:pt>
                <c:pt idx="488">
                  <c:v>720.05047000000002</c:v>
                </c:pt>
                <c:pt idx="489">
                  <c:v>721.05033100000003</c:v>
                </c:pt>
                <c:pt idx="490">
                  <c:v>721.051331</c:v>
                </c:pt>
                <c:pt idx="491">
                  <c:v>721.05233099999998</c:v>
                </c:pt>
                <c:pt idx="492">
                  <c:v>737.05912000000001</c:v>
                </c:pt>
                <c:pt idx="493">
                  <c:v>737.06011999999998</c:v>
                </c:pt>
                <c:pt idx="494">
                  <c:v>737.06111999999996</c:v>
                </c:pt>
                <c:pt idx="495">
                  <c:v>737.06431600000008</c:v>
                </c:pt>
                <c:pt idx="496">
                  <c:v>737.06531600000005</c:v>
                </c:pt>
                <c:pt idx="497">
                  <c:v>737.06631600000003</c:v>
                </c:pt>
                <c:pt idx="498">
                  <c:v>738.06495200000006</c:v>
                </c:pt>
                <c:pt idx="499">
                  <c:v>738.06595200000004</c:v>
                </c:pt>
                <c:pt idx="500">
                  <c:v>738.06695200000001</c:v>
                </c:pt>
                <c:pt idx="501">
                  <c:v>747.12253499999997</c:v>
                </c:pt>
                <c:pt idx="502">
                  <c:v>747.12353499999995</c:v>
                </c:pt>
                <c:pt idx="503">
                  <c:v>747.12453499999992</c:v>
                </c:pt>
                <c:pt idx="504">
                  <c:v>753.10764300000005</c:v>
                </c:pt>
                <c:pt idx="505">
                  <c:v>753.10864300000003</c:v>
                </c:pt>
                <c:pt idx="506">
                  <c:v>753.10964300000001</c:v>
                </c:pt>
                <c:pt idx="507">
                  <c:v>753.11246400000005</c:v>
                </c:pt>
                <c:pt idx="508">
                  <c:v>753.11346400000002</c:v>
                </c:pt>
                <c:pt idx="509">
                  <c:v>753.114464</c:v>
                </c:pt>
                <c:pt idx="510">
                  <c:v>771.12902800000006</c:v>
                </c:pt>
                <c:pt idx="511">
                  <c:v>771.13002800000004</c:v>
                </c:pt>
                <c:pt idx="512">
                  <c:v>771.13102800000001</c:v>
                </c:pt>
                <c:pt idx="513">
                  <c:v>772.13468599999999</c:v>
                </c:pt>
                <c:pt idx="514">
                  <c:v>772.13568599999996</c:v>
                </c:pt>
                <c:pt idx="515">
                  <c:v>772.13668599999994</c:v>
                </c:pt>
                <c:pt idx="516">
                  <c:v>815.05838700000004</c:v>
                </c:pt>
                <c:pt idx="517">
                  <c:v>815.05938700000002</c:v>
                </c:pt>
                <c:pt idx="518">
                  <c:v>815.06038699999999</c:v>
                </c:pt>
                <c:pt idx="519">
                  <c:v>815.06925100000001</c:v>
                </c:pt>
                <c:pt idx="520">
                  <c:v>815.07025099999998</c:v>
                </c:pt>
                <c:pt idx="521">
                  <c:v>815.07125099999996</c:v>
                </c:pt>
                <c:pt idx="522">
                  <c:v>827.08549900000003</c:v>
                </c:pt>
                <c:pt idx="523">
                  <c:v>827.086499</c:v>
                </c:pt>
                <c:pt idx="524">
                  <c:v>827.08749899999998</c:v>
                </c:pt>
                <c:pt idx="525">
                  <c:v>833.07298100000003</c:v>
                </c:pt>
                <c:pt idx="526">
                  <c:v>833.073981</c:v>
                </c:pt>
                <c:pt idx="527">
                  <c:v>833.07498099999998</c:v>
                </c:pt>
                <c:pt idx="528">
                  <c:v>833.07834600000001</c:v>
                </c:pt>
                <c:pt idx="529">
                  <c:v>833.07934599999999</c:v>
                </c:pt>
                <c:pt idx="530">
                  <c:v>833.08034599999996</c:v>
                </c:pt>
                <c:pt idx="531">
                  <c:v>834.06858</c:v>
                </c:pt>
                <c:pt idx="532">
                  <c:v>834.06957999999997</c:v>
                </c:pt>
                <c:pt idx="533">
                  <c:v>834.07057999999995</c:v>
                </c:pt>
                <c:pt idx="534">
                  <c:v>834.08121400000005</c:v>
                </c:pt>
                <c:pt idx="535">
                  <c:v>834.08221400000002</c:v>
                </c:pt>
                <c:pt idx="536">
                  <c:v>834.083214</c:v>
                </c:pt>
                <c:pt idx="537">
                  <c:v>846.13932</c:v>
                </c:pt>
                <c:pt idx="538">
                  <c:v>846.14031999999997</c:v>
                </c:pt>
                <c:pt idx="539">
                  <c:v>846.14131999999995</c:v>
                </c:pt>
                <c:pt idx="540">
                  <c:v>851.09000300000002</c:v>
                </c:pt>
                <c:pt idx="541">
                  <c:v>851.091003</c:v>
                </c:pt>
                <c:pt idx="542">
                  <c:v>851.09200299999998</c:v>
                </c:pt>
                <c:pt idx="543">
                  <c:v>851.09704499999998</c:v>
                </c:pt>
                <c:pt idx="544">
                  <c:v>851.09804499999996</c:v>
                </c:pt>
                <c:pt idx="545">
                  <c:v>851.09904499999993</c:v>
                </c:pt>
                <c:pt idx="546">
                  <c:v>864.14804800000002</c:v>
                </c:pt>
                <c:pt idx="547">
                  <c:v>864.14904799999999</c:v>
                </c:pt>
                <c:pt idx="548">
                  <c:v>864.15004799999997</c:v>
                </c:pt>
                <c:pt idx="549">
                  <c:v>864.15563500000007</c:v>
                </c:pt>
                <c:pt idx="550">
                  <c:v>864.15663500000005</c:v>
                </c:pt>
                <c:pt idx="551">
                  <c:v>864.15763500000003</c:v>
                </c:pt>
                <c:pt idx="552">
                  <c:v>865.16025500000001</c:v>
                </c:pt>
                <c:pt idx="553">
                  <c:v>865.16125499999998</c:v>
                </c:pt>
                <c:pt idx="554">
                  <c:v>865.16225499999996</c:v>
                </c:pt>
                <c:pt idx="555">
                  <c:v>882.16464900000005</c:v>
                </c:pt>
                <c:pt idx="556">
                  <c:v>882.16564900000003</c:v>
                </c:pt>
                <c:pt idx="557">
                  <c:v>882.16664900000001</c:v>
                </c:pt>
                <c:pt idx="558">
                  <c:v>882.17268100000001</c:v>
                </c:pt>
                <c:pt idx="559">
                  <c:v>882.17368099999999</c:v>
                </c:pt>
                <c:pt idx="560">
                  <c:v>882.17468099999996</c:v>
                </c:pt>
                <c:pt idx="561">
                  <c:v>883.17136300000004</c:v>
                </c:pt>
                <c:pt idx="562">
                  <c:v>883.17236300000002</c:v>
                </c:pt>
                <c:pt idx="563">
                  <c:v>883.17336299999999</c:v>
                </c:pt>
                <c:pt idx="564">
                  <c:v>883.17612400000007</c:v>
                </c:pt>
                <c:pt idx="565">
                  <c:v>883.17712400000005</c:v>
                </c:pt>
                <c:pt idx="566">
                  <c:v>883.17812400000003</c:v>
                </c:pt>
                <c:pt idx="567">
                  <c:v>895.03403400000002</c:v>
                </c:pt>
                <c:pt idx="568">
                  <c:v>895.035034</c:v>
                </c:pt>
                <c:pt idx="569">
                  <c:v>895.03603399999997</c:v>
                </c:pt>
                <c:pt idx="570">
                  <c:v>896.88175100000001</c:v>
                </c:pt>
                <c:pt idx="571">
                  <c:v>896.88275099999998</c:v>
                </c:pt>
                <c:pt idx="572">
                  <c:v>896.88375099999996</c:v>
                </c:pt>
                <c:pt idx="573">
                  <c:v>900.17581900000005</c:v>
                </c:pt>
                <c:pt idx="574">
                  <c:v>900.17681900000002</c:v>
                </c:pt>
                <c:pt idx="575">
                  <c:v>900.177819</c:v>
                </c:pt>
                <c:pt idx="576">
                  <c:v>900.18710199999998</c:v>
                </c:pt>
                <c:pt idx="577">
                  <c:v>900.18810199999996</c:v>
                </c:pt>
                <c:pt idx="578">
                  <c:v>900.18910199999993</c:v>
                </c:pt>
                <c:pt idx="579">
                  <c:v>913.04397200000005</c:v>
                </c:pt>
                <c:pt idx="580">
                  <c:v>913.04497200000003</c:v>
                </c:pt>
                <c:pt idx="581">
                  <c:v>913.04597200000001</c:v>
                </c:pt>
                <c:pt idx="582">
                  <c:v>926.09976900000004</c:v>
                </c:pt>
                <c:pt idx="583">
                  <c:v>926.10076900000001</c:v>
                </c:pt>
                <c:pt idx="584">
                  <c:v>926.10176899999999</c:v>
                </c:pt>
                <c:pt idx="585">
                  <c:v>926.10833200000002</c:v>
                </c:pt>
                <c:pt idx="586">
                  <c:v>926.10933199999999</c:v>
                </c:pt>
                <c:pt idx="587">
                  <c:v>926.11033199999997</c:v>
                </c:pt>
                <c:pt idx="588">
                  <c:v>927.11063300000001</c:v>
                </c:pt>
                <c:pt idx="589">
                  <c:v>927.11163299999998</c:v>
                </c:pt>
                <c:pt idx="590">
                  <c:v>927.11263299999996</c:v>
                </c:pt>
                <c:pt idx="591">
                  <c:v>935.11399000000006</c:v>
                </c:pt>
                <c:pt idx="592">
                  <c:v>935.11499000000003</c:v>
                </c:pt>
                <c:pt idx="593">
                  <c:v>935.11599000000001</c:v>
                </c:pt>
                <c:pt idx="594">
                  <c:v>935.12009399999999</c:v>
                </c:pt>
                <c:pt idx="595">
                  <c:v>935.12109399999997</c:v>
                </c:pt>
                <c:pt idx="596">
                  <c:v>935.12209399999995</c:v>
                </c:pt>
                <c:pt idx="597">
                  <c:v>944.11368500000003</c:v>
                </c:pt>
                <c:pt idx="598">
                  <c:v>944.11468500000001</c:v>
                </c:pt>
                <c:pt idx="599">
                  <c:v>944.11568499999998</c:v>
                </c:pt>
                <c:pt idx="600">
                  <c:v>944.12105500000007</c:v>
                </c:pt>
                <c:pt idx="601">
                  <c:v>944.12205500000005</c:v>
                </c:pt>
                <c:pt idx="602">
                  <c:v>944.12305500000002</c:v>
                </c:pt>
                <c:pt idx="603">
                  <c:v>945.11769100000004</c:v>
                </c:pt>
                <c:pt idx="604">
                  <c:v>945.11869100000001</c:v>
                </c:pt>
                <c:pt idx="605">
                  <c:v>945.11969099999999</c:v>
                </c:pt>
                <c:pt idx="606">
                  <c:v>945.12845600000003</c:v>
                </c:pt>
                <c:pt idx="607">
                  <c:v>945.129456</c:v>
                </c:pt>
                <c:pt idx="608">
                  <c:v>945.13045599999998</c:v>
                </c:pt>
                <c:pt idx="609">
                  <c:v>947.10440800000003</c:v>
                </c:pt>
                <c:pt idx="610">
                  <c:v>947.10540800000001</c:v>
                </c:pt>
                <c:pt idx="611">
                  <c:v>947.10640799999999</c:v>
                </c:pt>
                <c:pt idx="612">
                  <c:v>953.12290100000007</c:v>
                </c:pt>
                <c:pt idx="613">
                  <c:v>953.12390100000005</c:v>
                </c:pt>
                <c:pt idx="614">
                  <c:v>953.12490100000002</c:v>
                </c:pt>
                <c:pt idx="615">
                  <c:v>953.13039700000002</c:v>
                </c:pt>
                <c:pt idx="616">
                  <c:v>953.13139699999999</c:v>
                </c:pt>
                <c:pt idx="617">
                  <c:v>953.13239699999997</c:v>
                </c:pt>
                <c:pt idx="618">
                  <c:v>954.12021600000003</c:v>
                </c:pt>
                <c:pt idx="619">
                  <c:v>954.121216</c:v>
                </c:pt>
                <c:pt idx="620">
                  <c:v>954.12221599999998</c:v>
                </c:pt>
                <c:pt idx="621">
                  <c:v>962.13285000000008</c:v>
                </c:pt>
                <c:pt idx="622">
                  <c:v>962.13385000000005</c:v>
                </c:pt>
                <c:pt idx="623">
                  <c:v>962.13485000000003</c:v>
                </c:pt>
                <c:pt idx="624">
                  <c:v>962.14060800000004</c:v>
                </c:pt>
                <c:pt idx="625">
                  <c:v>962.14160800000002</c:v>
                </c:pt>
                <c:pt idx="626">
                  <c:v>962.142608</c:v>
                </c:pt>
                <c:pt idx="627">
                  <c:v>963.13516900000002</c:v>
                </c:pt>
                <c:pt idx="628">
                  <c:v>963.136169</c:v>
                </c:pt>
                <c:pt idx="629">
                  <c:v>963.13716899999997</c:v>
                </c:pt>
                <c:pt idx="630">
                  <c:v>963.14429200000006</c:v>
                </c:pt>
                <c:pt idx="631">
                  <c:v>963.14529200000004</c:v>
                </c:pt>
                <c:pt idx="632">
                  <c:v>963.14629200000002</c:v>
                </c:pt>
                <c:pt idx="633">
                  <c:v>964.14340900000002</c:v>
                </c:pt>
                <c:pt idx="634">
                  <c:v>964.144409</c:v>
                </c:pt>
                <c:pt idx="635">
                  <c:v>964.14540899999997</c:v>
                </c:pt>
                <c:pt idx="636">
                  <c:v>964.15140500000007</c:v>
                </c:pt>
                <c:pt idx="637">
                  <c:v>964.15240500000004</c:v>
                </c:pt>
                <c:pt idx="638">
                  <c:v>964.15340500000002</c:v>
                </c:pt>
                <c:pt idx="639">
                  <c:v>993.104286</c:v>
                </c:pt>
                <c:pt idx="640">
                  <c:v>993.10528599999998</c:v>
                </c:pt>
                <c:pt idx="641">
                  <c:v>993.10628599999995</c:v>
                </c:pt>
                <c:pt idx="642">
                  <c:v>1006.068763</c:v>
                </c:pt>
                <c:pt idx="643">
                  <c:v>1006.069763</c:v>
                </c:pt>
                <c:pt idx="644">
                  <c:v>1006.0707629999999</c:v>
                </c:pt>
                <c:pt idx="645">
                  <c:v>1006.074163</c:v>
                </c:pt>
                <c:pt idx="646">
                  <c:v>1006.075163</c:v>
                </c:pt>
                <c:pt idx="647">
                  <c:v>1006.076163</c:v>
                </c:pt>
                <c:pt idx="648">
                  <c:v>1014.063697</c:v>
                </c:pt>
                <c:pt idx="649">
                  <c:v>1014.064697</c:v>
                </c:pt>
                <c:pt idx="650">
                  <c:v>1014.065697</c:v>
                </c:pt>
                <c:pt idx="651">
                  <c:v>1015.077674</c:v>
                </c:pt>
                <c:pt idx="652">
                  <c:v>1015.078674</c:v>
                </c:pt>
                <c:pt idx="653">
                  <c:v>1015.079674</c:v>
                </c:pt>
                <c:pt idx="654">
                  <c:v>1024.0792000000001</c:v>
                </c:pt>
                <c:pt idx="655">
                  <c:v>1024.0802000000001</c:v>
                </c:pt>
                <c:pt idx="656">
                  <c:v>1024.0812000000001</c:v>
                </c:pt>
                <c:pt idx="657">
                  <c:v>1024.0872320000001</c:v>
                </c:pt>
                <c:pt idx="658">
                  <c:v>1024.0882320000001</c:v>
                </c:pt>
                <c:pt idx="659">
                  <c:v>1024.089232</c:v>
                </c:pt>
                <c:pt idx="660">
                  <c:v>1025.08628</c:v>
                </c:pt>
                <c:pt idx="661">
                  <c:v>1025.08728</c:v>
                </c:pt>
                <c:pt idx="662">
                  <c:v>1025.0882799999999</c:v>
                </c:pt>
                <c:pt idx="663">
                  <c:v>1025.094703</c:v>
                </c:pt>
                <c:pt idx="664">
                  <c:v>1025.095703</c:v>
                </c:pt>
                <c:pt idx="665">
                  <c:v>1025.0967029999999</c:v>
                </c:pt>
                <c:pt idx="666">
                  <c:v>1042.0986090000001</c:v>
                </c:pt>
                <c:pt idx="667">
                  <c:v>1042.0996090000001</c:v>
                </c:pt>
                <c:pt idx="668">
                  <c:v>1042.1006090000001</c:v>
                </c:pt>
                <c:pt idx="669">
                  <c:v>1042.105323</c:v>
                </c:pt>
                <c:pt idx="670">
                  <c:v>1042.106323</c:v>
                </c:pt>
                <c:pt idx="671">
                  <c:v>1042.107323</c:v>
                </c:pt>
                <c:pt idx="672">
                  <c:v>1043.1163100000001</c:v>
                </c:pt>
                <c:pt idx="673">
                  <c:v>1043.1173100000001</c:v>
                </c:pt>
                <c:pt idx="674">
                  <c:v>1043.1183100000001</c:v>
                </c:pt>
                <c:pt idx="675">
                  <c:v>1058.130836</c:v>
                </c:pt>
                <c:pt idx="676">
                  <c:v>1058.131836</c:v>
                </c:pt>
                <c:pt idx="677">
                  <c:v>1058.132836</c:v>
                </c:pt>
                <c:pt idx="678">
                  <c:v>1062.138404</c:v>
                </c:pt>
                <c:pt idx="679">
                  <c:v>1062.139404</c:v>
                </c:pt>
                <c:pt idx="680">
                  <c:v>1062.140404</c:v>
                </c:pt>
                <c:pt idx="681">
                  <c:v>1109.1672129999999</c:v>
                </c:pt>
                <c:pt idx="682">
                  <c:v>1109.1682129999999</c:v>
                </c:pt>
                <c:pt idx="683">
                  <c:v>1109.1692129999999</c:v>
                </c:pt>
                <c:pt idx="684">
                  <c:v>1117.6562450000001</c:v>
                </c:pt>
                <c:pt idx="685">
                  <c:v>1117.6572450000001</c:v>
                </c:pt>
                <c:pt idx="686">
                  <c:v>1117.6582450000001</c:v>
                </c:pt>
                <c:pt idx="687">
                  <c:v>1118.1486580000001</c:v>
                </c:pt>
                <c:pt idx="688">
                  <c:v>1118.149658</c:v>
                </c:pt>
                <c:pt idx="689">
                  <c:v>1118.150658</c:v>
                </c:pt>
                <c:pt idx="690">
                  <c:v>1118.1619640000001</c:v>
                </c:pt>
                <c:pt idx="691">
                  <c:v>1118.1629640000001</c:v>
                </c:pt>
                <c:pt idx="692">
                  <c:v>1118.1639640000001</c:v>
                </c:pt>
                <c:pt idx="693">
                  <c:v>1138.109596</c:v>
                </c:pt>
                <c:pt idx="694">
                  <c:v>1138.110596</c:v>
                </c:pt>
                <c:pt idx="695">
                  <c:v>1138.111596</c:v>
                </c:pt>
                <c:pt idx="696">
                  <c:v>1138.1194829999999</c:v>
                </c:pt>
                <c:pt idx="697">
                  <c:v>1138.1204829999999</c:v>
                </c:pt>
                <c:pt idx="698">
                  <c:v>1138.1214829999999</c:v>
                </c:pt>
                <c:pt idx="699">
                  <c:v>1139.1142340000001</c:v>
                </c:pt>
                <c:pt idx="700">
                  <c:v>1139.1152340000001</c:v>
                </c:pt>
                <c:pt idx="701">
                  <c:v>1139.1162340000001</c:v>
                </c:pt>
                <c:pt idx="702">
                  <c:v>1148.143043</c:v>
                </c:pt>
                <c:pt idx="703">
                  <c:v>1148.144043</c:v>
                </c:pt>
                <c:pt idx="704">
                  <c:v>1148.145043</c:v>
                </c:pt>
                <c:pt idx="705">
                  <c:v>1157.6333360000001</c:v>
                </c:pt>
                <c:pt idx="706">
                  <c:v>1157.6343360000001</c:v>
                </c:pt>
                <c:pt idx="707">
                  <c:v>1157.6353360000001</c:v>
                </c:pt>
                <c:pt idx="708">
                  <c:v>1169.1878429999999</c:v>
                </c:pt>
                <c:pt idx="709">
                  <c:v>1169.1888429999999</c:v>
                </c:pt>
                <c:pt idx="710">
                  <c:v>1169.1898429999999</c:v>
                </c:pt>
                <c:pt idx="711">
                  <c:v>1171.121803</c:v>
                </c:pt>
                <c:pt idx="712">
                  <c:v>1171.122803</c:v>
                </c:pt>
                <c:pt idx="713">
                  <c:v>1171.123803</c:v>
                </c:pt>
                <c:pt idx="714">
                  <c:v>1176.178443</c:v>
                </c:pt>
                <c:pt idx="715">
                  <c:v>1176.179443</c:v>
                </c:pt>
                <c:pt idx="716">
                  <c:v>1176.180443</c:v>
                </c:pt>
                <c:pt idx="717">
                  <c:v>1249.1514460000001</c:v>
                </c:pt>
                <c:pt idx="718">
                  <c:v>1249.1524460000001</c:v>
                </c:pt>
                <c:pt idx="719">
                  <c:v>1249.153446</c:v>
                </c:pt>
                <c:pt idx="720">
                  <c:v>1264.174293</c:v>
                </c:pt>
                <c:pt idx="721">
                  <c:v>1264.175293</c:v>
                </c:pt>
                <c:pt idx="722">
                  <c:v>1264.176293</c:v>
                </c:pt>
                <c:pt idx="723">
                  <c:v>1273.1551280000001</c:v>
                </c:pt>
                <c:pt idx="724">
                  <c:v>1273.1561280000001</c:v>
                </c:pt>
                <c:pt idx="725">
                  <c:v>1273.1571280000001</c:v>
                </c:pt>
                <c:pt idx="726">
                  <c:v>1273.169776</c:v>
                </c:pt>
                <c:pt idx="727">
                  <c:v>1273.1707759999999</c:v>
                </c:pt>
                <c:pt idx="728">
                  <c:v>1273.1717759999999</c:v>
                </c:pt>
                <c:pt idx="729">
                  <c:v>1274.1813730000001</c:v>
                </c:pt>
                <c:pt idx="730">
                  <c:v>1274.1823730000001</c:v>
                </c:pt>
                <c:pt idx="731">
                  <c:v>1274.1833730000001</c:v>
                </c:pt>
                <c:pt idx="732">
                  <c:v>1282.1727060000001</c:v>
                </c:pt>
                <c:pt idx="733">
                  <c:v>1282.173706</c:v>
                </c:pt>
                <c:pt idx="734">
                  <c:v>1282.174706</c:v>
                </c:pt>
                <c:pt idx="735">
                  <c:v>1282.1841180000001</c:v>
                </c:pt>
                <c:pt idx="736">
                  <c:v>1282.1851180000001</c:v>
                </c:pt>
                <c:pt idx="737">
                  <c:v>1282.1861180000001</c:v>
                </c:pt>
                <c:pt idx="738">
                  <c:v>1282.6729500000001</c:v>
                </c:pt>
                <c:pt idx="739">
                  <c:v>1282.6739500000001</c:v>
                </c:pt>
                <c:pt idx="740">
                  <c:v>1282.6749500000001</c:v>
                </c:pt>
                <c:pt idx="741">
                  <c:v>1282.682699</c:v>
                </c:pt>
                <c:pt idx="742">
                  <c:v>1282.6836989999999</c:v>
                </c:pt>
                <c:pt idx="743">
                  <c:v>1282.6846989999999</c:v>
                </c:pt>
                <c:pt idx="744">
                  <c:v>1283.1749030000001</c:v>
                </c:pt>
                <c:pt idx="745">
                  <c:v>1283.1759030000001</c:v>
                </c:pt>
                <c:pt idx="746">
                  <c:v>1283.176903</c:v>
                </c:pt>
                <c:pt idx="747">
                  <c:v>1283.187981</c:v>
                </c:pt>
                <c:pt idx="748">
                  <c:v>1283.188981</c:v>
                </c:pt>
                <c:pt idx="749">
                  <c:v>1283.189981</c:v>
                </c:pt>
                <c:pt idx="750">
                  <c:v>1284.1779550000001</c:v>
                </c:pt>
                <c:pt idx="751">
                  <c:v>1284.1789550000001</c:v>
                </c:pt>
                <c:pt idx="752">
                  <c:v>1284.1799550000001</c:v>
                </c:pt>
                <c:pt idx="753">
                  <c:v>1284.1935800000001</c:v>
                </c:pt>
                <c:pt idx="754">
                  <c:v>1284.1945800000001</c:v>
                </c:pt>
                <c:pt idx="755">
                  <c:v>1284.1955800000001</c:v>
                </c:pt>
                <c:pt idx="756">
                  <c:v>1291.1950449999999</c:v>
                </c:pt>
                <c:pt idx="757">
                  <c:v>1291.1960449999999</c:v>
                </c:pt>
                <c:pt idx="758">
                  <c:v>1291.1970449999999</c:v>
                </c:pt>
                <c:pt idx="759">
                  <c:v>1322.658668</c:v>
                </c:pt>
                <c:pt idx="760">
                  <c:v>1322.659668</c:v>
                </c:pt>
                <c:pt idx="761">
                  <c:v>1322.660668</c:v>
                </c:pt>
                <c:pt idx="762">
                  <c:v>1344.1438969999999</c:v>
                </c:pt>
                <c:pt idx="763">
                  <c:v>1344.1448969999999</c:v>
                </c:pt>
                <c:pt idx="764">
                  <c:v>1344.1458969999999</c:v>
                </c:pt>
                <c:pt idx="765">
                  <c:v>1353.1344980000001</c:v>
                </c:pt>
                <c:pt idx="766">
                  <c:v>1353.1354980000001</c:v>
                </c:pt>
                <c:pt idx="767">
                  <c:v>1353.1364980000001</c:v>
                </c:pt>
                <c:pt idx="768">
                  <c:v>1380.8620370000001</c:v>
                </c:pt>
                <c:pt idx="769">
                  <c:v>1380.8630370000001</c:v>
                </c:pt>
                <c:pt idx="770">
                  <c:v>1380.8640370000001</c:v>
                </c:pt>
                <c:pt idx="771">
                  <c:v>1381.1810070000001</c:v>
                </c:pt>
                <c:pt idx="772">
                  <c:v>1381.1820070000001</c:v>
                </c:pt>
                <c:pt idx="773">
                  <c:v>1381.1830070000001</c:v>
                </c:pt>
                <c:pt idx="774">
                  <c:v>1381.1981049999999</c:v>
                </c:pt>
                <c:pt idx="775">
                  <c:v>1381.1991049999999</c:v>
                </c:pt>
                <c:pt idx="776">
                  <c:v>1381.2001049999999</c:v>
                </c:pt>
                <c:pt idx="777">
                  <c:v>1381.514015</c:v>
                </c:pt>
                <c:pt idx="778">
                  <c:v>1381.5150149999999</c:v>
                </c:pt>
                <c:pt idx="779">
                  <c:v>1381.5160149999999</c:v>
                </c:pt>
                <c:pt idx="780">
                  <c:v>1381.5315680000001</c:v>
                </c:pt>
                <c:pt idx="781">
                  <c:v>1381.5325680000001</c:v>
                </c:pt>
                <c:pt idx="782">
                  <c:v>1381.5335680000001</c:v>
                </c:pt>
                <c:pt idx="783">
                  <c:v>1381.8475109999999</c:v>
                </c:pt>
                <c:pt idx="784">
                  <c:v>1381.8485109999999</c:v>
                </c:pt>
                <c:pt idx="785">
                  <c:v>1381.8495109999999</c:v>
                </c:pt>
                <c:pt idx="786">
                  <c:v>1381.869972</c:v>
                </c:pt>
                <c:pt idx="787">
                  <c:v>1381.8709719999999</c:v>
                </c:pt>
                <c:pt idx="788">
                  <c:v>1381.8719719999999</c:v>
                </c:pt>
                <c:pt idx="789">
                  <c:v>1382.199562</c:v>
                </c:pt>
                <c:pt idx="790">
                  <c:v>1382.200562</c:v>
                </c:pt>
                <c:pt idx="791">
                  <c:v>1382.201562</c:v>
                </c:pt>
                <c:pt idx="792">
                  <c:v>1401.1637949999999</c:v>
                </c:pt>
                <c:pt idx="793">
                  <c:v>1401.1647949999999</c:v>
                </c:pt>
                <c:pt idx="794">
                  <c:v>1401.1657949999999</c:v>
                </c:pt>
                <c:pt idx="795">
                  <c:v>1408.1725839999999</c:v>
                </c:pt>
                <c:pt idx="796">
                  <c:v>1408.1735839999999</c:v>
                </c:pt>
                <c:pt idx="797">
                  <c:v>1408.1745839999999</c:v>
                </c:pt>
                <c:pt idx="798">
                  <c:v>1408.5225600000001</c:v>
                </c:pt>
                <c:pt idx="799">
                  <c:v>1408.5235600000001</c:v>
                </c:pt>
                <c:pt idx="800">
                  <c:v>1408.5245600000001</c:v>
                </c:pt>
                <c:pt idx="801">
                  <c:v>1408.858375</c:v>
                </c:pt>
                <c:pt idx="802">
                  <c:v>1408.859375</c:v>
                </c:pt>
                <c:pt idx="803">
                  <c:v>1408.860375</c:v>
                </c:pt>
                <c:pt idx="804">
                  <c:v>1422.5389170000001</c:v>
                </c:pt>
                <c:pt idx="805">
                  <c:v>1422.5399170000001</c:v>
                </c:pt>
                <c:pt idx="806">
                  <c:v>1422.540917</c:v>
                </c:pt>
                <c:pt idx="807">
                  <c:v>1434.6904059999999</c:v>
                </c:pt>
                <c:pt idx="808">
                  <c:v>1434.6914059999999</c:v>
                </c:pt>
                <c:pt idx="809">
                  <c:v>1434.6924059999999</c:v>
                </c:pt>
                <c:pt idx="810">
                  <c:v>1434.7092050000001</c:v>
                </c:pt>
                <c:pt idx="811">
                  <c:v>1434.7102050000001</c:v>
                </c:pt>
                <c:pt idx="812">
                  <c:v>1434.7112050000001</c:v>
                </c:pt>
                <c:pt idx="813">
                  <c:v>1435.1907719999999</c:v>
                </c:pt>
                <c:pt idx="814">
                  <c:v>1435.1917719999999</c:v>
                </c:pt>
                <c:pt idx="815">
                  <c:v>1435.1927719999999</c:v>
                </c:pt>
                <c:pt idx="816">
                  <c:v>1435.205919</c:v>
                </c:pt>
                <c:pt idx="817">
                  <c:v>1435.206919</c:v>
                </c:pt>
                <c:pt idx="818">
                  <c:v>1435.2079189999999</c:v>
                </c:pt>
                <c:pt idx="819">
                  <c:v>1435.7005380000001</c:v>
                </c:pt>
                <c:pt idx="820">
                  <c:v>1435.701538</c:v>
                </c:pt>
                <c:pt idx="821">
                  <c:v>1435.702538</c:v>
                </c:pt>
                <c:pt idx="822">
                  <c:v>1435.710808</c:v>
                </c:pt>
                <c:pt idx="823">
                  <c:v>1435.711808</c:v>
                </c:pt>
                <c:pt idx="824">
                  <c:v>1435.712808</c:v>
                </c:pt>
                <c:pt idx="825">
                  <c:v>1436.2023690000001</c:v>
                </c:pt>
                <c:pt idx="826">
                  <c:v>1436.2033690000001</c:v>
                </c:pt>
                <c:pt idx="827">
                  <c:v>1436.204369</c:v>
                </c:pt>
                <c:pt idx="828">
                  <c:v>1445.5082770000001</c:v>
                </c:pt>
                <c:pt idx="829">
                  <c:v>1445.5092770000001</c:v>
                </c:pt>
                <c:pt idx="830">
                  <c:v>1445.5102770000001</c:v>
                </c:pt>
                <c:pt idx="831">
                  <c:v>1445.5266349999999</c:v>
                </c:pt>
                <c:pt idx="832">
                  <c:v>1445.5276349999999</c:v>
                </c:pt>
                <c:pt idx="833">
                  <c:v>1445.5286349999999</c:v>
                </c:pt>
                <c:pt idx="834">
                  <c:v>1445.8466559999999</c:v>
                </c:pt>
                <c:pt idx="835">
                  <c:v>1445.8476559999999</c:v>
                </c:pt>
                <c:pt idx="836">
                  <c:v>1445.8486559999999</c:v>
                </c:pt>
                <c:pt idx="837">
                  <c:v>1445.8607549999999</c:v>
                </c:pt>
                <c:pt idx="838">
                  <c:v>1445.8617549999999</c:v>
                </c:pt>
                <c:pt idx="839">
                  <c:v>1445.8627549999999</c:v>
                </c:pt>
                <c:pt idx="840">
                  <c:v>1446.1802740000001</c:v>
                </c:pt>
                <c:pt idx="841">
                  <c:v>1446.181274</c:v>
                </c:pt>
                <c:pt idx="842">
                  <c:v>1446.182274</c:v>
                </c:pt>
                <c:pt idx="843">
                  <c:v>1446.1960280000001</c:v>
                </c:pt>
                <c:pt idx="844">
                  <c:v>1446.197028</c:v>
                </c:pt>
                <c:pt idx="845">
                  <c:v>1446.198028</c:v>
                </c:pt>
                <c:pt idx="846">
                  <c:v>1446.516822</c:v>
                </c:pt>
                <c:pt idx="847">
                  <c:v>1446.517822</c:v>
                </c:pt>
                <c:pt idx="848">
                  <c:v>1446.518822</c:v>
                </c:pt>
                <c:pt idx="849">
                  <c:v>1446.5308</c:v>
                </c:pt>
                <c:pt idx="850">
                  <c:v>1446.5318</c:v>
                </c:pt>
                <c:pt idx="851">
                  <c:v>1446.5328</c:v>
                </c:pt>
                <c:pt idx="852">
                  <c:v>1446.8506850000001</c:v>
                </c:pt>
                <c:pt idx="853">
                  <c:v>1446.8516850000001</c:v>
                </c:pt>
                <c:pt idx="854">
                  <c:v>1446.8526850000001</c:v>
                </c:pt>
                <c:pt idx="855">
                  <c:v>1446.8696050000001</c:v>
                </c:pt>
                <c:pt idx="856">
                  <c:v>1446.8706050000001</c:v>
                </c:pt>
                <c:pt idx="857">
                  <c:v>1446.871605</c:v>
                </c:pt>
                <c:pt idx="858">
                  <c:v>1453.5102300000001</c:v>
                </c:pt>
                <c:pt idx="859">
                  <c:v>1453.5112300000001</c:v>
                </c:pt>
                <c:pt idx="860">
                  <c:v>1453.51223</c:v>
                </c:pt>
                <c:pt idx="861">
                  <c:v>1453.528916</c:v>
                </c:pt>
                <c:pt idx="862">
                  <c:v>1453.529916</c:v>
                </c:pt>
                <c:pt idx="863">
                  <c:v>1453.5309159999999</c:v>
                </c:pt>
                <c:pt idx="864">
                  <c:v>1453.8475109999999</c:v>
                </c:pt>
                <c:pt idx="865">
                  <c:v>1453.8485109999999</c:v>
                </c:pt>
                <c:pt idx="866">
                  <c:v>1453.8495109999999</c:v>
                </c:pt>
                <c:pt idx="867">
                  <c:v>1453.8668250000001</c:v>
                </c:pt>
                <c:pt idx="868">
                  <c:v>1453.867825</c:v>
                </c:pt>
                <c:pt idx="869">
                  <c:v>1453.868825</c:v>
                </c:pt>
                <c:pt idx="870">
                  <c:v>1454.1844249999999</c:v>
                </c:pt>
                <c:pt idx="871">
                  <c:v>1454.1854249999999</c:v>
                </c:pt>
                <c:pt idx="872">
                  <c:v>1454.1864249999999</c:v>
                </c:pt>
                <c:pt idx="873">
                  <c:v>1454.201155</c:v>
                </c:pt>
                <c:pt idx="874">
                  <c:v>1454.2021549999999</c:v>
                </c:pt>
                <c:pt idx="875">
                  <c:v>1454.2031549999999</c:v>
                </c:pt>
                <c:pt idx="876">
                  <c:v>1454.514625</c:v>
                </c:pt>
                <c:pt idx="877">
                  <c:v>1454.515625</c:v>
                </c:pt>
                <c:pt idx="878">
                  <c:v>1454.516625</c:v>
                </c:pt>
                <c:pt idx="879">
                  <c:v>1454.53449</c:v>
                </c:pt>
                <c:pt idx="880">
                  <c:v>1454.53549</c:v>
                </c:pt>
                <c:pt idx="881">
                  <c:v>1454.53649</c:v>
                </c:pt>
                <c:pt idx="882">
                  <c:v>1454.8501960000001</c:v>
                </c:pt>
                <c:pt idx="883">
                  <c:v>1454.8511960000001</c:v>
                </c:pt>
                <c:pt idx="884">
                  <c:v>1454.852196</c:v>
                </c:pt>
                <c:pt idx="885">
                  <c:v>1454.8620370000001</c:v>
                </c:pt>
                <c:pt idx="886">
                  <c:v>1454.8630370000001</c:v>
                </c:pt>
                <c:pt idx="887">
                  <c:v>1454.8640370000001</c:v>
                </c:pt>
                <c:pt idx="888">
                  <c:v>1466.2072519999999</c:v>
                </c:pt>
                <c:pt idx="889">
                  <c:v>1466.2082519999999</c:v>
                </c:pt>
                <c:pt idx="890">
                  <c:v>1466.2092519999999</c:v>
                </c:pt>
                <c:pt idx="891">
                  <c:v>1466.9404059999999</c:v>
                </c:pt>
                <c:pt idx="892">
                  <c:v>1466.9414059999999</c:v>
                </c:pt>
                <c:pt idx="893">
                  <c:v>1466.9424059999999</c:v>
                </c:pt>
                <c:pt idx="894">
                  <c:v>1484.526466</c:v>
                </c:pt>
                <c:pt idx="895">
                  <c:v>1484.527466</c:v>
                </c:pt>
                <c:pt idx="896">
                  <c:v>1484.528466</c:v>
                </c:pt>
                <c:pt idx="897">
                  <c:v>1484.5483160000001</c:v>
                </c:pt>
                <c:pt idx="898">
                  <c:v>1484.5493160000001</c:v>
                </c:pt>
                <c:pt idx="899">
                  <c:v>1484.5503160000001</c:v>
                </c:pt>
                <c:pt idx="900">
                  <c:v>1484.8578870000001</c:v>
                </c:pt>
                <c:pt idx="901">
                  <c:v>1484.8588870000001</c:v>
                </c:pt>
                <c:pt idx="902">
                  <c:v>1484.8598870000001</c:v>
                </c:pt>
                <c:pt idx="903">
                  <c:v>1484.875284</c:v>
                </c:pt>
                <c:pt idx="904">
                  <c:v>1484.8762839999999</c:v>
                </c:pt>
                <c:pt idx="905">
                  <c:v>1484.8772839999999</c:v>
                </c:pt>
                <c:pt idx="906">
                  <c:v>1485.193458</c:v>
                </c:pt>
                <c:pt idx="907">
                  <c:v>1485.1944579999999</c:v>
                </c:pt>
                <c:pt idx="908">
                  <c:v>1485.1954579999999</c:v>
                </c:pt>
                <c:pt idx="909">
                  <c:v>1485.2108660000001</c:v>
                </c:pt>
                <c:pt idx="910">
                  <c:v>1485.2118660000001</c:v>
                </c:pt>
                <c:pt idx="911">
                  <c:v>1485.2128660000001</c:v>
                </c:pt>
                <c:pt idx="912">
                  <c:v>1485.530006</c:v>
                </c:pt>
                <c:pt idx="913">
                  <c:v>1485.5310059999999</c:v>
                </c:pt>
                <c:pt idx="914">
                  <c:v>1485.5320059999999</c:v>
                </c:pt>
                <c:pt idx="915">
                  <c:v>1485.5443270000001</c:v>
                </c:pt>
                <c:pt idx="916">
                  <c:v>1485.545327</c:v>
                </c:pt>
                <c:pt idx="917">
                  <c:v>1485.546327</c:v>
                </c:pt>
                <c:pt idx="918">
                  <c:v>1485.865577</c:v>
                </c:pt>
                <c:pt idx="919">
                  <c:v>1485.866577</c:v>
                </c:pt>
                <c:pt idx="920">
                  <c:v>1485.867577</c:v>
                </c:pt>
                <c:pt idx="921">
                  <c:v>1485.8826670000001</c:v>
                </c:pt>
                <c:pt idx="922">
                  <c:v>1485.8836670000001</c:v>
                </c:pt>
                <c:pt idx="923">
                  <c:v>1485.884667</c:v>
                </c:pt>
                <c:pt idx="924">
                  <c:v>1490.320289</c:v>
                </c:pt>
                <c:pt idx="925">
                  <c:v>1490.321289</c:v>
                </c:pt>
                <c:pt idx="926">
                  <c:v>1490.322289</c:v>
                </c:pt>
                <c:pt idx="927">
                  <c:v>1490.529029</c:v>
                </c:pt>
                <c:pt idx="928">
                  <c:v>1490.530029</c:v>
                </c:pt>
                <c:pt idx="929">
                  <c:v>1490.531029</c:v>
                </c:pt>
                <c:pt idx="930">
                  <c:v>1490.5454589999999</c:v>
                </c:pt>
                <c:pt idx="931">
                  <c:v>1490.5464589999999</c:v>
                </c:pt>
                <c:pt idx="932">
                  <c:v>1490.5474589999999</c:v>
                </c:pt>
                <c:pt idx="933">
                  <c:v>1490.8632580000001</c:v>
                </c:pt>
                <c:pt idx="934">
                  <c:v>1490.8642580000001</c:v>
                </c:pt>
                <c:pt idx="935">
                  <c:v>1490.865258</c:v>
                </c:pt>
                <c:pt idx="936">
                  <c:v>1490.879805</c:v>
                </c:pt>
                <c:pt idx="937">
                  <c:v>1490.880805</c:v>
                </c:pt>
                <c:pt idx="938">
                  <c:v>1490.881805</c:v>
                </c:pt>
                <c:pt idx="939">
                  <c:v>1491.1988289999999</c:v>
                </c:pt>
                <c:pt idx="940">
                  <c:v>1491.1998289999999</c:v>
                </c:pt>
                <c:pt idx="941">
                  <c:v>1491.2008289999999</c:v>
                </c:pt>
                <c:pt idx="942">
                  <c:v>1491.214373</c:v>
                </c:pt>
                <c:pt idx="943">
                  <c:v>1491.215373</c:v>
                </c:pt>
                <c:pt idx="944">
                  <c:v>1491.216373</c:v>
                </c:pt>
                <c:pt idx="945">
                  <c:v>1491.5331800000001</c:v>
                </c:pt>
                <c:pt idx="946">
                  <c:v>1491.5341800000001</c:v>
                </c:pt>
                <c:pt idx="947">
                  <c:v>1491.5351800000001</c:v>
                </c:pt>
                <c:pt idx="948">
                  <c:v>1491.5490669999999</c:v>
                </c:pt>
                <c:pt idx="949">
                  <c:v>1491.5500669999999</c:v>
                </c:pt>
                <c:pt idx="950">
                  <c:v>1491.5510669999999</c:v>
                </c:pt>
                <c:pt idx="951">
                  <c:v>1491.8674080000001</c:v>
                </c:pt>
                <c:pt idx="952">
                  <c:v>1491.868408</c:v>
                </c:pt>
                <c:pt idx="953">
                  <c:v>1491.869408</c:v>
                </c:pt>
                <c:pt idx="954">
                  <c:v>1491.8836759999999</c:v>
                </c:pt>
                <c:pt idx="955">
                  <c:v>1491.8846759999999</c:v>
                </c:pt>
                <c:pt idx="956">
                  <c:v>1491.8856759999999</c:v>
                </c:pt>
                <c:pt idx="957">
                  <c:v>1492.095558</c:v>
                </c:pt>
                <c:pt idx="958">
                  <c:v>1492.096558</c:v>
                </c:pt>
                <c:pt idx="959">
                  <c:v>1492.0975579999999</c:v>
                </c:pt>
                <c:pt idx="960">
                  <c:v>1595.208351</c:v>
                </c:pt>
                <c:pt idx="961">
                  <c:v>1595.209351</c:v>
                </c:pt>
                <c:pt idx="962">
                  <c:v>1595.2103509999999</c:v>
                </c:pt>
                <c:pt idx="963">
                  <c:v>1595.2256460000001</c:v>
                </c:pt>
                <c:pt idx="964">
                  <c:v>1595.2266460000001</c:v>
                </c:pt>
                <c:pt idx="965">
                  <c:v>1595.227646</c:v>
                </c:pt>
                <c:pt idx="966">
                  <c:v>1595.713111</c:v>
                </c:pt>
                <c:pt idx="967">
                  <c:v>1595.714111</c:v>
                </c:pt>
                <c:pt idx="968">
                  <c:v>1595.715111</c:v>
                </c:pt>
                <c:pt idx="969">
                  <c:v>1595.732154</c:v>
                </c:pt>
                <c:pt idx="970">
                  <c:v>1595.733154</c:v>
                </c:pt>
                <c:pt idx="971">
                  <c:v>1595.734154</c:v>
                </c:pt>
                <c:pt idx="972">
                  <c:v>1602.204688</c:v>
                </c:pt>
                <c:pt idx="973">
                  <c:v>1602.205688</c:v>
                </c:pt>
                <c:pt idx="974">
                  <c:v>1602.206688</c:v>
                </c:pt>
                <c:pt idx="975">
                  <c:v>1602.227633</c:v>
                </c:pt>
                <c:pt idx="976">
                  <c:v>1602.2286329999999</c:v>
                </c:pt>
                <c:pt idx="977">
                  <c:v>1602.2296329999999</c:v>
                </c:pt>
                <c:pt idx="978">
                  <c:v>1603.2323980000001</c:v>
                </c:pt>
                <c:pt idx="979">
                  <c:v>1603.2333980000001</c:v>
                </c:pt>
                <c:pt idx="980">
                  <c:v>1603.2343980000001</c:v>
                </c:pt>
                <c:pt idx="981">
                  <c:v>1682.19065</c:v>
                </c:pt>
                <c:pt idx="982">
                  <c:v>1682.19165</c:v>
                </c:pt>
                <c:pt idx="983">
                  <c:v>1682.19265</c:v>
                </c:pt>
                <c:pt idx="984">
                  <c:v>1702.142677</c:v>
                </c:pt>
                <c:pt idx="985">
                  <c:v>1702.143677</c:v>
                </c:pt>
                <c:pt idx="986">
                  <c:v>1702.144677</c:v>
                </c:pt>
                <c:pt idx="987">
                  <c:v>1754.7248480000001</c:v>
                </c:pt>
                <c:pt idx="988">
                  <c:v>1754.725848</c:v>
                </c:pt>
                <c:pt idx="989">
                  <c:v>1754.726848</c:v>
                </c:pt>
                <c:pt idx="990">
                  <c:v>1754.7350839999999</c:v>
                </c:pt>
                <c:pt idx="991">
                  <c:v>1754.7360839999999</c:v>
                </c:pt>
                <c:pt idx="992">
                  <c:v>1754.7370839999999</c:v>
                </c:pt>
                <c:pt idx="993">
                  <c:v>1755.224952</c:v>
                </c:pt>
                <c:pt idx="994">
                  <c:v>1755.225952</c:v>
                </c:pt>
                <c:pt idx="995">
                  <c:v>1755.226952</c:v>
                </c:pt>
                <c:pt idx="996">
                  <c:v>1755.2436709999999</c:v>
                </c:pt>
                <c:pt idx="997">
                  <c:v>1755.2446709999999</c:v>
                </c:pt>
                <c:pt idx="998">
                  <c:v>1755.2456709999999</c:v>
                </c:pt>
                <c:pt idx="999">
                  <c:v>1755.751082</c:v>
                </c:pt>
                <c:pt idx="1000">
                  <c:v>1755.752082</c:v>
                </c:pt>
                <c:pt idx="1001">
                  <c:v>1755.7530819999999</c:v>
                </c:pt>
                <c:pt idx="1002">
                  <c:v>1756.212745</c:v>
                </c:pt>
                <c:pt idx="1003">
                  <c:v>1756.213745</c:v>
                </c:pt>
                <c:pt idx="1004">
                  <c:v>1756.214745</c:v>
                </c:pt>
                <c:pt idx="1005">
                  <c:v>1756.2358160000001</c:v>
                </c:pt>
                <c:pt idx="1006">
                  <c:v>1756.2368160000001</c:v>
                </c:pt>
                <c:pt idx="1007">
                  <c:v>1756.2378160000001</c:v>
                </c:pt>
                <c:pt idx="1008">
                  <c:v>1907.23838</c:v>
                </c:pt>
                <c:pt idx="1009">
                  <c:v>1907.23938</c:v>
                </c:pt>
                <c:pt idx="1010">
                  <c:v>1907.24038</c:v>
                </c:pt>
                <c:pt idx="1011">
                  <c:v>1907.2648570000001</c:v>
                </c:pt>
                <c:pt idx="1012">
                  <c:v>1907.2658570000001</c:v>
                </c:pt>
                <c:pt idx="1013">
                  <c:v>1907.2668570000001</c:v>
                </c:pt>
                <c:pt idx="1014">
                  <c:v>1907.73838</c:v>
                </c:pt>
                <c:pt idx="1015">
                  <c:v>1907.73938</c:v>
                </c:pt>
                <c:pt idx="1016">
                  <c:v>1907.74038</c:v>
                </c:pt>
                <c:pt idx="1017">
                  <c:v>1907.769888</c:v>
                </c:pt>
                <c:pt idx="1018">
                  <c:v>1907.770888</c:v>
                </c:pt>
                <c:pt idx="1019">
                  <c:v>1907.771888</c:v>
                </c:pt>
                <c:pt idx="1020">
                  <c:v>1908.2551040000001</c:v>
                </c:pt>
                <c:pt idx="1021">
                  <c:v>1908.2561040000001</c:v>
                </c:pt>
                <c:pt idx="1022">
                  <c:v>1908.257104</c:v>
                </c:pt>
                <c:pt idx="1023">
                  <c:v>1908.268043</c:v>
                </c:pt>
                <c:pt idx="1024">
                  <c:v>1908.269043</c:v>
                </c:pt>
                <c:pt idx="1025">
                  <c:v>1908.270043</c:v>
                </c:pt>
                <c:pt idx="1026">
                  <c:v>1908.2785410000001</c:v>
                </c:pt>
                <c:pt idx="1027">
                  <c:v>1908.2795410000001</c:v>
                </c:pt>
                <c:pt idx="1028">
                  <c:v>1908.2805410000001</c:v>
                </c:pt>
                <c:pt idx="1029">
                  <c:v>1908.7537609999999</c:v>
                </c:pt>
                <c:pt idx="1030">
                  <c:v>1908.7547609999999</c:v>
                </c:pt>
                <c:pt idx="1031">
                  <c:v>1908.7557609999999</c:v>
                </c:pt>
                <c:pt idx="1032">
                  <c:v>1909.2504650000001</c:v>
                </c:pt>
                <c:pt idx="1033">
                  <c:v>1909.2514650000001</c:v>
                </c:pt>
                <c:pt idx="1034">
                  <c:v>1909.252465</c:v>
                </c:pt>
                <c:pt idx="1035">
                  <c:v>1909.2670660000001</c:v>
                </c:pt>
                <c:pt idx="1036">
                  <c:v>1909.2680660000001</c:v>
                </c:pt>
                <c:pt idx="1037">
                  <c:v>1909.2690660000001</c:v>
                </c:pt>
                <c:pt idx="1038">
                  <c:v>1909.2869640000001</c:v>
                </c:pt>
                <c:pt idx="1039">
                  <c:v>1909.2879640000001</c:v>
                </c:pt>
              </c:numCache>
            </c:numRef>
          </c:xVal>
          <c:yVal>
            <c:numRef>
              <c:f>Plot!$B$2:$B$1041</c:f>
              <c:numCache>
                <c:formatCode>0.0</c:formatCode>
                <c:ptCount val="1040"/>
                <c:pt idx="0">
                  <c:v>-10</c:v>
                </c:pt>
                <c:pt idx="1">
                  <c:v>0.58708695654712184</c:v>
                </c:pt>
                <c:pt idx="2">
                  <c:v>-10</c:v>
                </c:pt>
                <c:pt idx="3">
                  <c:v>-10</c:v>
                </c:pt>
                <c:pt idx="4">
                  <c:v>19.67770854764365</c:v>
                </c:pt>
                <c:pt idx="5">
                  <c:v>-10</c:v>
                </c:pt>
                <c:pt idx="6">
                  <c:v>-10</c:v>
                </c:pt>
                <c:pt idx="7">
                  <c:v>9.0016495920123276</c:v>
                </c:pt>
                <c:pt idx="8">
                  <c:v>-10</c:v>
                </c:pt>
                <c:pt idx="9">
                  <c:v>-10</c:v>
                </c:pt>
                <c:pt idx="10">
                  <c:v>0.31609741167453248</c:v>
                </c:pt>
                <c:pt idx="11">
                  <c:v>-10</c:v>
                </c:pt>
                <c:pt idx="12">
                  <c:v>-10</c:v>
                </c:pt>
                <c:pt idx="13">
                  <c:v>0.23952239558340363</c:v>
                </c:pt>
                <c:pt idx="14">
                  <c:v>-10</c:v>
                </c:pt>
                <c:pt idx="15">
                  <c:v>-10</c:v>
                </c:pt>
                <c:pt idx="16">
                  <c:v>2.4966216546443074</c:v>
                </c:pt>
                <c:pt idx="17">
                  <c:v>-10</c:v>
                </c:pt>
                <c:pt idx="18">
                  <c:v>-10</c:v>
                </c:pt>
                <c:pt idx="19">
                  <c:v>0.27053458946853853</c:v>
                </c:pt>
                <c:pt idx="20">
                  <c:v>-10</c:v>
                </c:pt>
                <c:pt idx="21">
                  <c:v>-10</c:v>
                </c:pt>
                <c:pt idx="22">
                  <c:v>0.7815398826791059</c:v>
                </c:pt>
                <c:pt idx="23">
                  <c:v>-10</c:v>
                </c:pt>
                <c:pt idx="24">
                  <c:v>-10</c:v>
                </c:pt>
                <c:pt idx="25">
                  <c:v>0.2972049104407839</c:v>
                </c:pt>
                <c:pt idx="26">
                  <c:v>-10</c:v>
                </c:pt>
                <c:pt idx="27">
                  <c:v>-10</c:v>
                </c:pt>
                <c:pt idx="28">
                  <c:v>0.29659420899523115</c:v>
                </c:pt>
                <c:pt idx="29">
                  <c:v>-10</c:v>
                </c:pt>
                <c:pt idx="30">
                  <c:v>-10</c:v>
                </c:pt>
                <c:pt idx="31">
                  <c:v>0.29519576300969175</c:v>
                </c:pt>
                <c:pt idx="32">
                  <c:v>-10</c:v>
                </c:pt>
                <c:pt idx="33">
                  <c:v>-10</c:v>
                </c:pt>
                <c:pt idx="34">
                  <c:v>4.4436733130108177</c:v>
                </c:pt>
                <c:pt idx="35">
                  <c:v>-10</c:v>
                </c:pt>
                <c:pt idx="36">
                  <c:v>-10</c:v>
                </c:pt>
                <c:pt idx="37">
                  <c:v>0.29174491264054009</c:v>
                </c:pt>
                <c:pt idx="38">
                  <c:v>-10</c:v>
                </c:pt>
                <c:pt idx="39">
                  <c:v>-10</c:v>
                </c:pt>
                <c:pt idx="40">
                  <c:v>0.26686781345831817</c:v>
                </c:pt>
                <c:pt idx="41">
                  <c:v>-10</c:v>
                </c:pt>
                <c:pt idx="42">
                  <c:v>-10</c:v>
                </c:pt>
                <c:pt idx="43">
                  <c:v>13.743411416799429</c:v>
                </c:pt>
                <c:pt idx="44">
                  <c:v>-10</c:v>
                </c:pt>
                <c:pt idx="45">
                  <c:v>-10</c:v>
                </c:pt>
                <c:pt idx="46">
                  <c:v>0.34480303482257763</c:v>
                </c:pt>
                <c:pt idx="47">
                  <c:v>-10</c:v>
                </c:pt>
                <c:pt idx="48">
                  <c:v>-10</c:v>
                </c:pt>
                <c:pt idx="49">
                  <c:v>0.34187218096926097</c:v>
                </c:pt>
                <c:pt idx="50">
                  <c:v>-10</c:v>
                </c:pt>
                <c:pt idx="51">
                  <c:v>-10</c:v>
                </c:pt>
                <c:pt idx="52">
                  <c:v>2.2812861801463677</c:v>
                </c:pt>
                <c:pt idx="53">
                  <c:v>-10</c:v>
                </c:pt>
                <c:pt idx="54">
                  <c:v>-10</c:v>
                </c:pt>
                <c:pt idx="55">
                  <c:v>0.26130716038763335</c:v>
                </c:pt>
                <c:pt idx="56">
                  <c:v>-10</c:v>
                </c:pt>
                <c:pt idx="57">
                  <c:v>-10</c:v>
                </c:pt>
                <c:pt idx="58">
                  <c:v>0.26002711180435228</c:v>
                </c:pt>
                <c:pt idx="59">
                  <c:v>-10</c:v>
                </c:pt>
                <c:pt idx="60">
                  <c:v>-10</c:v>
                </c:pt>
                <c:pt idx="61">
                  <c:v>3.8784815702409756</c:v>
                </c:pt>
                <c:pt idx="62">
                  <c:v>-10</c:v>
                </c:pt>
                <c:pt idx="63">
                  <c:v>-10</c:v>
                </c:pt>
                <c:pt idx="64">
                  <c:v>0.38721738698868041</c:v>
                </c:pt>
                <c:pt idx="65">
                  <c:v>-10</c:v>
                </c:pt>
                <c:pt idx="66">
                  <c:v>-10</c:v>
                </c:pt>
                <c:pt idx="67">
                  <c:v>14.00732783579898</c:v>
                </c:pt>
                <c:pt idx="68">
                  <c:v>-10</c:v>
                </c:pt>
                <c:pt idx="69">
                  <c:v>-10</c:v>
                </c:pt>
                <c:pt idx="70">
                  <c:v>0.49743552321264956</c:v>
                </c:pt>
                <c:pt idx="71">
                  <c:v>-10</c:v>
                </c:pt>
                <c:pt idx="72">
                  <c:v>-10</c:v>
                </c:pt>
                <c:pt idx="73">
                  <c:v>0.29917041505473224</c:v>
                </c:pt>
                <c:pt idx="74">
                  <c:v>-10</c:v>
                </c:pt>
                <c:pt idx="75">
                  <c:v>-10</c:v>
                </c:pt>
                <c:pt idx="76">
                  <c:v>0.29251734484970759</c:v>
                </c:pt>
                <c:pt idx="77">
                  <c:v>-10</c:v>
                </c:pt>
                <c:pt idx="78">
                  <c:v>-10</c:v>
                </c:pt>
                <c:pt idx="79">
                  <c:v>2.0602769407567441</c:v>
                </c:pt>
                <c:pt idx="80">
                  <c:v>-10</c:v>
                </c:pt>
                <c:pt idx="81">
                  <c:v>-10</c:v>
                </c:pt>
                <c:pt idx="82">
                  <c:v>0.70418106665417057</c:v>
                </c:pt>
                <c:pt idx="83">
                  <c:v>-10</c:v>
                </c:pt>
                <c:pt idx="84">
                  <c:v>-10</c:v>
                </c:pt>
                <c:pt idx="85">
                  <c:v>0.26075784389104201</c:v>
                </c:pt>
                <c:pt idx="86">
                  <c:v>-10</c:v>
                </c:pt>
                <c:pt idx="87">
                  <c:v>-10</c:v>
                </c:pt>
                <c:pt idx="88">
                  <c:v>4.6667781144050871</c:v>
                </c:pt>
                <c:pt idx="89">
                  <c:v>-10</c:v>
                </c:pt>
                <c:pt idx="90">
                  <c:v>-10</c:v>
                </c:pt>
                <c:pt idx="91">
                  <c:v>6.7995149663950274</c:v>
                </c:pt>
                <c:pt idx="92">
                  <c:v>-10</c:v>
                </c:pt>
                <c:pt idx="93">
                  <c:v>-10</c:v>
                </c:pt>
                <c:pt idx="94">
                  <c:v>0.3019238380387701</c:v>
                </c:pt>
                <c:pt idx="95">
                  <c:v>-10</c:v>
                </c:pt>
                <c:pt idx="96">
                  <c:v>-10</c:v>
                </c:pt>
                <c:pt idx="97">
                  <c:v>0.3088985034851946</c:v>
                </c:pt>
                <c:pt idx="98">
                  <c:v>-10</c:v>
                </c:pt>
                <c:pt idx="99">
                  <c:v>-10</c:v>
                </c:pt>
                <c:pt idx="100">
                  <c:v>0.59601356403902961</c:v>
                </c:pt>
                <c:pt idx="101">
                  <c:v>-10</c:v>
                </c:pt>
                <c:pt idx="102">
                  <c:v>-10</c:v>
                </c:pt>
                <c:pt idx="103">
                  <c:v>10.142162470922031</c:v>
                </c:pt>
                <c:pt idx="104">
                  <c:v>-10</c:v>
                </c:pt>
                <c:pt idx="105">
                  <c:v>-10</c:v>
                </c:pt>
                <c:pt idx="106">
                  <c:v>1.1768460943829546</c:v>
                </c:pt>
                <c:pt idx="107">
                  <c:v>-10</c:v>
                </c:pt>
                <c:pt idx="108">
                  <c:v>-10</c:v>
                </c:pt>
                <c:pt idx="109">
                  <c:v>0.27071808337898751</c:v>
                </c:pt>
                <c:pt idx="110">
                  <c:v>-10</c:v>
                </c:pt>
                <c:pt idx="111">
                  <c:v>-10</c:v>
                </c:pt>
                <c:pt idx="112">
                  <c:v>0.30237137223458332</c:v>
                </c:pt>
                <c:pt idx="113">
                  <c:v>-10</c:v>
                </c:pt>
                <c:pt idx="114">
                  <c:v>-10</c:v>
                </c:pt>
                <c:pt idx="115">
                  <c:v>14.525006409351807</c:v>
                </c:pt>
                <c:pt idx="116">
                  <c:v>-10</c:v>
                </c:pt>
                <c:pt idx="117">
                  <c:v>-10</c:v>
                </c:pt>
                <c:pt idx="118">
                  <c:v>1.1657521846298848</c:v>
                </c:pt>
                <c:pt idx="119">
                  <c:v>-10</c:v>
                </c:pt>
                <c:pt idx="120">
                  <c:v>-10</c:v>
                </c:pt>
                <c:pt idx="121">
                  <c:v>2.5669529322182343</c:v>
                </c:pt>
                <c:pt idx="122">
                  <c:v>-10</c:v>
                </c:pt>
                <c:pt idx="123">
                  <c:v>-10</c:v>
                </c:pt>
                <c:pt idx="124">
                  <c:v>0.31388156878981144</c:v>
                </c:pt>
                <c:pt idx="125">
                  <c:v>-10</c:v>
                </c:pt>
                <c:pt idx="126">
                  <c:v>-10</c:v>
                </c:pt>
                <c:pt idx="127">
                  <c:v>16.29342948228771</c:v>
                </c:pt>
                <c:pt idx="128">
                  <c:v>-10</c:v>
                </c:pt>
                <c:pt idx="129">
                  <c:v>-10</c:v>
                </c:pt>
                <c:pt idx="130">
                  <c:v>1.7564679477261873</c:v>
                </c:pt>
                <c:pt idx="131">
                  <c:v>-10</c:v>
                </c:pt>
                <c:pt idx="132">
                  <c:v>-10</c:v>
                </c:pt>
                <c:pt idx="133">
                  <c:v>1.3121900577436909</c:v>
                </c:pt>
                <c:pt idx="134">
                  <c:v>-10</c:v>
                </c:pt>
                <c:pt idx="135">
                  <c:v>-10</c:v>
                </c:pt>
                <c:pt idx="136">
                  <c:v>5.8932704414666199</c:v>
                </c:pt>
                <c:pt idx="137">
                  <c:v>-10</c:v>
                </c:pt>
                <c:pt idx="138">
                  <c:v>-10</c:v>
                </c:pt>
                <c:pt idx="139">
                  <c:v>0.43261645741733623</c:v>
                </c:pt>
                <c:pt idx="140">
                  <c:v>-10</c:v>
                </c:pt>
                <c:pt idx="141">
                  <c:v>-10</c:v>
                </c:pt>
                <c:pt idx="142">
                  <c:v>0.30946765953616329</c:v>
                </c:pt>
                <c:pt idx="143">
                  <c:v>-10</c:v>
                </c:pt>
                <c:pt idx="144">
                  <c:v>-10</c:v>
                </c:pt>
                <c:pt idx="145">
                  <c:v>7.41016943579515</c:v>
                </c:pt>
                <c:pt idx="146">
                  <c:v>-10</c:v>
                </c:pt>
                <c:pt idx="147">
                  <c:v>-10</c:v>
                </c:pt>
                <c:pt idx="148">
                  <c:v>0.71522577484724714</c:v>
                </c:pt>
                <c:pt idx="149">
                  <c:v>-10</c:v>
                </c:pt>
                <c:pt idx="150">
                  <c:v>-10</c:v>
                </c:pt>
                <c:pt idx="151">
                  <c:v>1.7470812367848747</c:v>
                </c:pt>
                <c:pt idx="152">
                  <c:v>-10</c:v>
                </c:pt>
                <c:pt idx="153">
                  <c:v>-10</c:v>
                </c:pt>
                <c:pt idx="154">
                  <c:v>0.783366819868201</c:v>
                </c:pt>
                <c:pt idx="155">
                  <c:v>-10</c:v>
                </c:pt>
                <c:pt idx="156">
                  <c:v>-10</c:v>
                </c:pt>
                <c:pt idx="157">
                  <c:v>0.29463603007847494</c:v>
                </c:pt>
                <c:pt idx="158">
                  <c:v>-10</c:v>
                </c:pt>
                <c:pt idx="159">
                  <c:v>-10</c:v>
                </c:pt>
                <c:pt idx="160">
                  <c:v>4.2567111405291111</c:v>
                </c:pt>
                <c:pt idx="161">
                  <c:v>-10</c:v>
                </c:pt>
                <c:pt idx="162">
                  <c:v>-10</c:v>
                </c:pt>
                <c:pt idx="163">
                  <c:v>6.2299135321393067</c:v>
                </c:pt>
                <c:pt idx="164">
                  <c:v>-10</c:v>
                </c:pt>
                <c:pt idx="165">
                  <c:v>-10</c:v>
                </c:pt>
                <c:pt idx="166">
                  <c:v>0.45410045793919596</c:v>
                </c:pt>
                <c:pt idx="167">
                  <c:v>-10</c:v>
                </c:pt>
                <c:pt idx="168">
                  <c:v>-10</c:v>
                </c:pt>
                <c:pt idx="169">
                  <c:v>4.4630797458090106</c:v>
                </c:pt>
                <c:pt idx="170">
                  <c:v>-10</c:v>
                </c:pt>
                <c:pt idx="171">
                  <c:v>-10</c:v>
                </c:pt>
                <c:pt idx="172">
                  <c:v>15.311348037256476</c:v>
                </c:pt>
                <c:pt idx="173">
                  <c:v>-10</c:v>
                </c:pt>
                <c:pt idx="174">
                  <c:v>-10</c:v>
                </c:pt>
                <c:pt idx="175">
                  <c:v>1.118067548253272</c:v>
                </c:pt>
                <c:pt idx="176">
                  <c:v>-10</c:v>
                </c:pt>
                <c:pt idx="177">
                  <c:v>-10</c:v>
                </c:pt>
                <c:pt idx="178">
                  <c:v>0.26567495690850029</c:v>
                </c:pt>
                <c:pt idx="179">
                  <c:v>-10</c:v>
                </c:pt>
                <c:pt idx="180">
                  <c:v>-10</c:v>
                </c:pt>
                <c:pt idx="181">
                  <c:v>0.3093815773410491</c:v>
                </c:pt>
                <c:pt idx="182">
                  <c:v>-10</c:v>
                </c:pt>
                <c:pt idx="183">
                  <c:v>-10</c:v>
                </c:pt>
                <c:pt idx="184">
                  <c:v>23.59041335491602</c:v>
                </c:pt>
                <c:pt idx="185">
                  <c:v>-10</c:v>
                </c:pt>
                <c:pt idx="186">
                  <c:v>-10</c:v>
                </c:pt>
                <c:pt idx="187">
                  <c:v>0.54525890275443933</c:v>
                </c:pt>
                <c:pt idx="188">
                  <c:v>-10</c:v>
                </c:pt>
                <c:pt idx="189">
                  <c:v>-10</c:v>
                </c:pt>
                <c:pt idx="190">
                  <c:v>2.9977973273625738</c:v>
                </c:pt>
                <c:pt idx="191">
                  <c:v>-10</c:v>
                </c:pt>
                <c:pt idx="192">
                  <c:v>-10</c:v>
                </c:pt>
                <c:pt idx="193">
                  <c:v>1.455947589105056</c:v>
                </c:pt>
                <c:pt idx="194">
                  <c:v>-10</c:v>
                </c:pt>
                <c:pt idx="195">
                  <c:v>-10</c:v>
                </c:pt>
                <c:pt idx="196">
                  <c:v>0.63347187861617926</c:v>
                </c:pt>
                <c:pt idx="197">
                  <c:v>-10</c:v>
                </c:pt>
                <c:pt idx="198">
                  <c:v>-10</c:v>
                </c:pt>
                <c:pt idx="199">
                  <c:v>0.51541959023906037</c:v>
                </c:pt>
                <c:pt idx="200">
                  <c:v>-10</c:v>
                </c:pt>
                <c:pt idx="201">
                  <c:v>-10</c:v>
                </c:pt>
                <c:pt idx="202">
                  <c:v>0.45043803532243071</c:v>
                </c:pt>
                <c:pt idx="203">
                  <c:v>-10</c:v>
                </c:pt>
                <c:pt idx="204">
                  <c:v>-10</c:v>
                </c:pt>
                <c:pt idx="205">
                  <c:v>2.8397864744628709</c:v>
                </c:pt>
                <c:pt idx="206">
                  <c:v>-10</c:v>
                </c:pt>
                <c:pt idx="207">
                  <c:v>-10</c:v>
                </c:pt>
                <c:pt idx="208">
                  <c:v>1.2475626654247653</c:v>
                </c:pt>
                <c:pt idx="209">
                  <c:v>-10</c:v>
                </c:pt>
                <c:pt idx="210">
                  <c:v>-10</c:v>
                </c:pt>
                <c:pt idx="211">
                  <c:v>1.7076303077386141</c:v>
                </c:pt>
                <c:pt idx="212">
                  <c:v>-10</c:v>
                </c:pt>
                <c:pt idx="213">
                  <c:v>-10</c:v>
                </c:pt>
                <c:pt idx="214">
                  <c:v>0.32921848224188155</c:v>
                </c:pt>
                <c:pt idx="215">
                  <c:v>-10</c:v>
                </c:pt>
                <c:pt idx="216">
                  <c:v>-10</c:v>
                </c:pt>
                <c:pt idx="217">
                  <c:v>0.5051939694906713</c:v>
                </c:pt>
                <c:pt idx="218">
                  <c:v>-10</c:v>
                </c:pt>
                <c:pt idx="219">
                  <c:v>-10</c:v>
                </c:pt>
                <c:pt idx="220">
                  <c:v>0.48437539060256879</c:v>
                </c:pt>
                <c:pt idx="221">
                  <c:v>-10</c:v>
                </c:pt>
                <c:pt idx="222">
                  <c:v>-10</c:v>
                </c:pt>
                <c:pt idx="223">
                  <c:v>1.3540669253215223</c:v>
                </c:pt>
                <c:pt idx="224">
                  <c:v>-10</c:v>
                </c:pt>
                <c:pt idx="225">
                  <c:v>-10</c:v>
                </c:pt>
                <c:pt idx="226">
                  <c:v>0.90074128927785313</c:v>
                </c:pt>
                <c:pt idx="227">
                  <c:v>-10</c:v>
                </c:pt>
                <c:pt idx="228">
                  <c:v>-10</c:v>
                </c:pt>
                <c:pt idx="229">
                  <c:v>0.33048248114907192</c:v>
                </c:pt>
                <c:pt idx="230">
                  <c:v>-10</c:v>
                </c:pt>
                <c:pt idx="231">
                  <c:v>-10</c:v>
                </c:pt>
                <c:pt idx="232">
                  <c:v>0.32297130341681962</c:v>
                </c:pt>
                <c:pt idx="233">
                  <c:v>-10</c:v>
                </c:pt>
                <c:pt idx="234">
                  <c:v>-10</c:v>
                </c:pt>
                <c:pt idx="235">
                  <c:v>1.3413261720965852</c:v>
                </c:pt>
                <c:pt idx="236">
                  <c:v>-10</c:v>
                </c:pt>
                <c:pt idx="237">
                  <c:v>-10</c:v>
                </c:pt>
                <c:pt idx="238">
                  <c:v>0.93535063544145958</c:v>
                </c:pt>
                <c:pt idx="239">
                  <c:v>-10</c:v>
                </c:pt>
                <c:pt idx="240">
                  <c:v>-10</c:v>
                </c:pt>
                <c:pt idx="241">
                  <c:v>0.80611034747009935</c:v>
                </c:pt>
                <c:pt idx="242">
                  <c:v>-10</c:v>
                </c:pt>
                <c:pt idx="243">
                  <c:v>-10</c:v>
                </c:pt>
                <c:pt idx="244">
                  <c:v>2.0953768603035003</c:v>
                </c:pt>
                <c:pt idx="245">
                  <c:v>-10</c:v>
                </c:pt>
                <c:pt idx="246">
                  <c:v>-10</c:v>
                </c:pt>
                <c:pt idx="247">
                  <c:v>0.38674099699579201</c:v>
                </c:pt>
                <c:pt idx="248">
                  <c:v>-10</c:v>
                </c:pt>
                <c:pt idx="249">
                  <c:v>-10</c:v>
                </c:pt>
                <c:pt idx="250">
                  <c:v>1.7275586396326683</c:v>
                </c:pt>
                <c:pt idx="251">
                  <c:v>-10</c:v>
                </c:pt>
                <c:pt idx="252">
                  <c:v>-10</c:v>
                </c:pt>
                <c:pt idx="253">
                  <c:v>0.25602045591817602</c:v>
                </c:pt>
                <c:pt idx="254">
                  <c:v>-10</c:v>
                </c:pt>
                <c:pt idx="255">
                  <c:v>-10</c:v>
                </c:pt>
                <c:pt idx="256">
                  <c:v>7.1266141807907637</c:v>
                </c:pt>
                <c:pt idx="257">
                  <c:v>-10</c:v>
                </c:pt>
                <c:pt idx="258">
                  <c:v>-10</c:v>
                </c:pt>
                <c:pt idx="259">
                  <c:v>1.3485921003865706</c:v>
                </c:pt>
                <c:pt idx="260">
                  <c:v>-10</c:v>
                </c:pt>
                <c:pt idx="261">
                  <c:v>-10</c:v>
                </c:pt>
                <c:pt idx="262">
                  <c:v>0.61840269599627262</c:v>
                </c:pt>
                <c:pt idx="263">
                  <c:v>-10</c:v>
                </c:pt>
                <c:pt idx="264">
                  <c:v>-10</c:v>
                </c:pt>
                <c:pt idx="265">
                  <c:v>0.61469791232059456</c:v>
                </c:pt>
                <c:pt idx="266">
                  <c:v>-10</c:v>
                </c:pt>
                <c:pt idx="267">
                  <c:v>-10</c:v>
                </c:pt>
                <c:pt idx="268">
                  <c:v>0.7544526922873247</c:v>
                </c:pt>
                <c:pt idx="269">
                  <c:v>-10</c:v>
                </c:pt>
                <c:pt idx="270">
                  <c:v>-10</c:v>
                </c:pt>
                <c:pt idx="271">
                  <c:v>1.09236327948169</c:v>
                </c:pt>
                <c:pt idx="272">
                  <c:v>-10</c:v>
                </c:pt>
                <c:pt idx="273">
                  <c:v>-10</c:v>
                </c:pt>
                <c:pt idx="274">
                  <c:v>0.27080941295094302</c:v>
                </c:pt>
                <c:pt idx="275">
                  <c:v>-10</c:v>
                </c:pt>
                <c:pt idx="276">
                  <c:v>-10</c:v>
                </c:pt>
                <c:pt idx="277">
                  <c:v>1.7750601507714681</c:v>
                </c:pt>
                <c:pt idx="278">
                  <c:v>-10</c:v>
                </c:pt>
                <c:pt idx="279">
                  <c:v>-10</c:v>
                </c:pt>
                <c:pt idx="280">
                  <c:v>0.3192132761537011</c:v>
                </c:pt>
                <c:pt idx="281">
                  <c:v>-10</c:v>
                </c:pt>
                <c:pt idx="282">
                  <c:v>-10</c:v>
                </c:pt>
                <c:pt idx="283">
                  <c:v>0.76132073493318364</c:v>
                </c:pt>
                <c:pt idx="284">
                  <c:v>-10</c:v>
                </c:pt>
                <c:pt idx="285">
                  <c:v>-10</c:v>
                </c:pt>
                <c:pt idx="286">
                  <c:v>1.6924488480642466</c:v>
                </c:pt>
                <c:pt idx="287">
                  <c:v>-10</c:v>
                </c:pt>
                <c:pt idx="288">
                  <c:v>-10</c:v>
                </c:pt>
                <c:pt idx="289">
                  <c:v>0.2614272483353976</c:v>
                </c:pt>
                <c:pt idx="290">
                  <c:v>-10</c:v>
                </c:pt>
                <c:pt idx="291">
                  <c:v>-10</c:v>
                </c:pt>
                <c:pt idx="292">
                  <c:v>1.0135484395925285</c:v>
                </c:pt>
                <c:pt idx="293">
                  <c:v>-10</c:v>
                </c:pt>
                <c:pt idx="294">
                  <c:v>-10</c:v>
                </c:pt>
                <c:pt idx="295">
                  <c:v>0.37408640428502637</c:v>
                </c:pt>
                <c:pt idx="296">
                  <c:v>-10</c:v>
                </c:pt>
                <c:pt idx="297">
                  <c:v>-10</c:v>
                </c:pt>
                <c:pt idx="298">
                  <c:v>0.56684519178561843</c:v>
                </c:pt>
                <c:pt idx="299">
                  <c:v>-10</c:v>
                </c:pt>
                <c:pt idx="300">
                  <c:v>-10</c:v>
                </c:pt>
                <c:pt idx="301">
                  <c:v>0.2563508343553228</c:v>
                </c:pt>
                <c:pt idx="302">
                  <c:v>-10</c:v>
                </c:pt>
                <c:pt idx="303">
                  <c:v>-10</c:v>
                </c:pt>
                <c:pt idx="304">
                  <c:v>0.99496218306494244</c:v>
                </c:pt>
                <c:pt idx="305">
                  <c:v>-10</c:v>
                </c:pt>
                <c:pt idx="306">
                  <c:v>-10</c:v>
                </c:pt>
                <c:pt idx="307">
                  <c:v>1.3506762755643675</c:v>
                </c:pt>
                <c:pt idx="308">
                  <c:v>-10</c:v>
                </c:pt>
                <c:pt idx="309">
                  <c:v>-10</c:v>
                </c:pt>
                <c:pt idx="310">
                  <c:v>0.36205565151923647</c:v>
                </c:pt>
                <c:pt idx="311">
                  <c:v>-10</c:v>
                </c:pt>
                <c:pt idx="312">
                  <c:v>-10</c:v>
                </c:pt>
                <c:pt idx="313">
                  <c:v>4.0490658677569416</c:v>
                </c:pt>
                <c:pt idx="314">
                  <c:v>-10</c:v>
                </c:pt>
                <c:pt idx="315">
                  <c:v>-10</c:v>
                </c:pt>
                <c:pt idx="316">
                  <c:v>0.40572066925057376</c:v>
                </c:pt>
                <c:pt idx="317">
                  <c:v>-10</c:v>
                </c:pt>
                <c:pt idx="318">
                  <c:v>-10</c:v>
                </c:pt>
                <c:pt idx="319">
                  <c:v>0.35933376437221126</c:v>
                </c:pt>
                <c:pt idx="320">
                  <c:v>-10</c:v>
                </c:pt>
                <c:pt idx="321">
                  <c:v>-10</c:v>
                </c:pt>
                <c:pt idx="322">
                  <c:v>0.81980096377348288</c:v>
                </c:pt>
                <c:pt idx="323">
                  <c:v>-10</c:v>
                </c:pt>
                <c:pt idx="324">
                  <c:v>-10</c:v>
                </c:pt>
                <c:pt idx="325">
                  <c:v>1.0184020683282451</c:v>
                </c:pt>
                <c:pt idx="326">
                  <c:v>-10</c:v>
                </c:pt>
                <c:pt idx="327">
                  <c:v>-10</c:v>
                </c:pt>
                <c:pt idx="328">
                  <c:v>0.32271363944885484</c:v>
                </c:pt>
                <c:pt idx="329">
                  <c:v>-10</c:v>
                </c:pt>
                <c:pt idx="330">
                  <c:v>-10</c:v>
                </c:pt>
                <c:pt idx="331">
                  <c:v>4.920389086434616</c:v>
                </c:pt>
                <c:pt idx="332">
                  <c:v>-10</c:v>
                </c:pt>
                <c:pt idx="333">
                  <c:v>-10</c:v>
                </c:pt>
                <c:pt idx="334">
                  <c:v>1.3921087760926554</c:v>
                </c:pt>
                <c:pt idx="335">
                  <c:v>-10</c:v>
                </c:pt>
                <c:pt idx="336">
                  <c:v>-10</c:v>
                </c:pt>
                <c:pt idx="337">
                  <c:v>3.1605001374512254</c:v>
                </c:pt>
                <c:pt idx="338">
                  <c:v>-10</c:v>
                </c:pt>
                <c:pt idx="339">
                  <c:v>-10</c:v>
                </c:pt>
                <c:pt idx="340">
                  <c:v>0.51968128927011203</c:v>
                </c:pt>
                <c:pt idx="341">
                  <c:v>-10</c:v>
                </c:pt>
                <c:pt idx="342">
                  <c:v>-10</c:v>
                </c:pt>
                <c:pt idx="343">
                  <c:v>2.4229438362242721</c:v>
                </c:pt>
                <c:pt idx="344">
                  <c:v>-10</c:v>
                </c:pt>
                <c:pt idx="345">
                  <c:v>-10</c:v>
                </c:pt>
                <c:pt idx="346">
                  <c:v>5.2591053150286786</c:v>
                </c:pt>
                <c:pt idx="347">
                  <c:v>-10</c:v>
                </c:pt>
                <c:pt idx="348">
                  <c:v>-10</c:v>
                </c:pt>
                <c:pt idx="349">
                  <c:v>0.34624328026208234</c:v>
                </c:pt>
                <c:pt idx="350">
                  <c:v>-10</c:v>
                </c:pt>
                <c:pt idx="351">
                  <c:v>-10</c:v>
                </c:pt>
                <c:pt idx="352">
                  <c:v>0.3620252599045492</c:v>
                </c:pt>
                <c:pt idx="353">
                  <c:v>-10</c:v>
                </c:pt>
                <c:pt idx="354">
                  <c:v>-10</c:v>
                </c:pt>
                <c:pt idx="355">
                  <c:v>0.44161779848192839</c:v>
                </c:pt>
                <c:pt idx="356">
                  <c:v>-10</c:v>
                </c:pt>
                <c:pt idx="357">
                  <c:v>-10</c:v>
                </c:pt>
                <c:pt idx="358">
                  <c:v>5.8239348493503416</c:v>
                </c:pt>
                <c:pt idx="359">
                  <c:v>-10</c:v>
                </c:pt>
                <c:pt idx="360">
                  <c:v>-10</c:v>
                </c:pt>
                <c:pt idx="361">
                  <c:v>0.9128119962242085</c:v>
                </c:pt>
                <c:pt idx="362">
                  <c:v>-10</c:v>
                </c:pt>
                <c:pt idx="363">
                  <c:v>-10</c:v>
                </c:pt>
                <c:pt idx="364">
                  <c:v>0.3057397908407809</c:v>
                </c:pt>
                <c:pt idx="365">
                  <c:v>-10</c:v>
                </c:pt>
                <c:pt idx="366">
                  <c:v>-10</c:v>
                </c:pt>
                <c:pt idx="367">
                  <c:v>5.4755617300795958</c:v>
                </c:pt>
                <c:pt idx="368">
                  <c:v>-10</c:v>
                </c:pt>
                <c:pt idx="369">
                  <c:v>-10</c:v>
                </c:pt>
                <c:pt idx="370">
                  <c:v>0.81503862640530389</c:v>
                </c:pt>
                <c:pt idx="371">
                  <c:v>-10</c:v>
                </c:pt>
                <c:pt idx="372">
                  <c:v>-10</c:v>
                </c:pt>
                <c:pt idx="373">
                  <c:v>0.31198228771439102</c:v>
                </c:pt>
                <c:pt idx="374">
                  <c:v>-10</c:v>
                </c:pt>
                <c:pt idx="375">
                  <c:v>-10</c:v>
                </c:pt>
                <c:pt idx="376">
                  <c:v>0.49441392240475507</c:v>
                </c:pt>
                <c:pt idx="377">
                  <c:v>-10</c:v>
                </c:pt>
                <c:pt idx="378">
                  <c:v>-10</c:v>
                </c:pt>
                <c:pt idx="379">
                  <c:v>1.8806280318391864</c:v>
                </c:pt>
                <c:pt idx="380">
                  <c:v>-10</c:v>
                </c:pt>
                <c:pt idx="381">
                  <c:v>-10</c:v>
                </c:pt>
                <c:pt idx="382">
                  <c:v>0.36608035899301766</c:v>
                </c:pt>
                <c:pt idx="383">
                  <c:v>-10</c:v>
                </c:pt>
                <c:pt idx="384">
                  <c:v>-10</c:v>
                </c:pt>
                <c:pt idx="385">
                  <c:v>0.59627293956493022</c:v>
                </c:pt>
                <c:pt idx="386">
                  <c:v>-10</c:v>
                </c:pt>
                <c:pt idx="387">
                  <c:v>-10</c:v>
                </c:pt>
                <c:pt idx="388">
                  <c:v>1.0243727522276056</c:v>
                </c:pt>
                <c:pt idx="389">
                  <c:v>-10</c:v>
                </c:pt>
                <c:pt idx="390">
                  <c:v>-10</c:v>
                </c:pt>
                <c:pt idx="391">
                  <c:v>0.33871766508018786</c:v>
                </c:pt>
                <c:pt idx="392">
                  <c:v>-10</c:v>
                </c:pt>
                <c:pt idx="393">
                  <c:v>-10</c:v>
                </c:pt>
                <c:pt idx="394">
                  <c:v>0.98960892458873995</c:v>
                </c:pt>
                <c:pt idx="395">
                  <c:v>-10</c:v>
                </c:pt>
                <c:pt idx="396">
                  <c:v>-10</c:v>
                </c:pt>
                <c:pt idx="397">
                  <c:v>0.36394360307443624</c:v>
                </c:pt>
                <c:pt idx="398">
                  <c:v>-10</c:v>
                </c:pt>
                <c:pt idx="399">
                  <c:v>-10</c:v>
                </c:pt>
                <c:pt idx="400">
                  <c:v>4.6421741481597634</c:v>
                </c:pt>
                <c:pt idx="401">
                  <c:v>-10</c:v>
                </c:pt>
                <c:pt idx="402">
                  <c:v>-10</c:v>
                </c:pt>
                <c:pt idx="403">
                  <c:v>7.110769047334772</c:v>
                </c:pt>
                <c:pt idx="404">
                  <c:v>-10</c:v>
                </c:pt>
                <c:pt idx="405">
                  <c:v>-10</c:v>
                </c:pt>
                <c:pt idx="406">
                  <c:v>1.1115249499439475</c:v>
                </c:pt>
                <c:pt idx="407">
                  <c:v>-10</c:v>
                </c:pt>
                <c:pt idx="408">
                  <c:v>-10</c:v>
                </c:pt>
                <c:pt idx="409">
                  <c:v>1.5493900831528535</c:v>
                </c:pt>
                <c:pt idx="410">
                  <c:v>-10</c:v>
                </c:pt>
                <c:pt idx="411">
                  <c:v>-10</c:v>
                </c:pt>
                <c:pt idx="412">
                  <c:v>0.30821199874324745</c:v>
                </c:pt>
                <c:pt idx="413">
                  <c:v>-10</c:v>
                </c:pt>
                <c:pt idx="414">
                  <c:v>-10</c:v>
                </c:pt>
                <c:pt idx="415">
                  <c:v>0.31860978388186484</c:v>
                </c:pt>
                <c:pt idx="416">
                  <c:v>-10</c:v>
                </c:pt>
                <c:pt idx="417">
                  <c:v>-10</c:v>
                </c:pt>
                <c:pt idx="418">
                  <c:v>0.32052630088056139</c:v>
                </c:pt>
                <c:pt idx="419">
                  <c:v>-10</c:v>
                </c:pt>
                <c:pt idx="420">
                  <c:v>-10</c:v>
                </c:pt>
                <c:pt idx="421">
                  <c:v>0.43438669160892185</c:v>
                </c:pt>
                <c:pt idx="422">
                  <c:v>-10</c:v>
                </c:pt>
                <c:pt idx="423">
                  <c:v>-10</c:v>
                </c:pt>
                <c:pt idx="424">
                  <c:v>0.37155599959229824</c:v>
                </c:pt>
                <c:pt idx="425">
                  <c:v>-10</c:v>
                </c:pt>
                <c:pt idx="426">
                  <c:v>-10</c:v>
                </c:pt>
                <c:pt idx="427">
                  <c:v>0.3312125714015357</c:v>
                </c:pt>
                <c:pt idx="428">
                  <c:v>-10</c:v>
                </c:pt>
                <c:pt idx="429">
                  <c:v>-10</c:v>
                </c:pt>
                <c:pt idx="430">
                  <c:v>0.53020355395436702</c:v>
                </c:pt>
                <c:pt idx="431">
                  <c:v>-10</c:v>
                </c:pt>
                <c:pt idx="432">
                  <c:v>-10</c:v>
                </c:pt>
                <c:pt idx="433">
                  <c:v>7.4416286977821944</c:v>
                </c:pt>
                <c:pt idx="434">
                  <c:v>-10</c:v>
                </c:pt>
                <c:pt idx="435">
                  <c:v>-10</c:v>
                </c:pt>
                <c:pt idx="436">
                  <c:v>11.878452233679502</c:v>
                </c:pt>
                <c:pt idx="437">
                  <c:v>-10</c:v>
                </c:pt>
                <c:pt idx="438">
                  <c:v>-10</c:v>
                </c:pt>
                <c:pt idx="439">
                  <c:v>1.7284781894154846</c:v>
                </c:pt>
                <c:pt idx="440">
                  <c:v>-10</c:v>
                </c:pt>
                <c:pt idx="441">
                  <c:v>-10</c:v>
                </c:pt>
                <c:pt idx="442">
                  <c:v>2.5283025156285266</c:v>
                </c:pt>
                <c:pt idx="443">
                  <c:v>-10</c:v>
                </c:pt>
                <c:pt idx="444">
                  <c:v>-10</c:v>
                </c:pt>
                <c:pt idx="445">
                  <c:v>2.4578890813634566</c:v>
                </c:pt>
                <c:pt idx="446">
                  <c:v>-10</c:v>
                </c:pt>
                <c:pt idx="447">
                  <c:v>-10</c:v>
                </c:pt>
                <c:pt idx="448">
                  <c:v>3.7481541526267566</c:v>
                </c:pt>
                <c:pt idx="449">
                  <c:v>-10</c:v>
                </c:pt>
                <c:pt idx="450">
                  <c:v>-10</c:v>
                </c:pt>
                <c:pt idx="451">
                  <c:v>0.31684337777298399</c:v>
                </c:pt>
                <c:pt idx="452">
                  <c:v>-10</c:v>
                </c:pt>
                <c:pt idx="453">
                  <c:v>-10</c:v>
                </c:pt>
                <c:pt idx="454">
                  <c:v>0.31620230381495307</c:v>
                </c:pt>
                <c:pt idx="455">
                  <c:v>-10</c:v>
                </c:pt>
                <c:pt idx="456">
                  <c:v>-10</c:v>
                </c:pt>
                <c:pt idx="457">
                  <c:v>1.5933478995453636</c:v>
                </c:pt>
                <c:pt idx="458">
                  <c:v>-10</c:v>
                </c:pt>
                <c:pt idx="459">
                  <c:v>-10</c:v>
                </c:pt>
                <c:pt idx="460">
                  <c:v>1.3850732319058108</c:v>
                </c:pt>
                <c:pt idx="461">
                  <c:v>-10</c:v>
                </c:pt>
                <c:pt idx="462">
                  <c:v>-10</c:v>
                </c:pt>
                <c:pt idx="463">
                  <c:v>0.30429348427032699</c:v>
                </c:pt>
                <c:pt idx="464">
                  <c:v>-10</c:v>
                </c:pt>
                <c:pt idx="465">
                  <c:v>-10</c:v>
                </c:pt>
                <c:pt idx="466">
                  <c:v>1.9200341891277446</c:v>
                </c:pt>
                <c:pt idx="467">
                  <c:v>-10</c:v>
                </c:pt>
                <c:pt idx="468">
                  <c:v>-10</c:v>
                </c:pt>
                <c:pt idx="469">
                  <c:v>3.5406780929535087</c:v>
                </c:pt>
                <c:pt idx="470">
                  <c:v>-10</c:v>
                </c:pt>
                <c:pt idx="471">
                  <c:v>-10</c:v>
                </c:pt>
                <c:pt idx="472">
                  <c:v>0.43781017997375044</c:v>
                </c:pt>
                <c:pt idx="473">
                  <c:v>-10</c:v>
                </c:pt>
                <c:pt idx="474">
                  <c:v>-10</c:v>
                </c:pt>
                <c:pt idx="475">
                  <c:v>2.5407179028359863</c:v>
                </c:pt>
                <c:pt idx="476">
                  <c:v>-10</c:v>
                </c:pt>
                <c:pt idx="477">
                  <c:v>-10</c:v>
                </c:pt>
                <c:pt idx="478">
                  <c:v>1.0894367369969684</c:v>
                </c:pt>
                <c:pt idx="479">
                  <c:v>-10</c:v>
                </c:pt>
                <c:pt idx="480">
                  <c:v>-10</c:v>
                </c:pt>
                <c:pt idx="481">
                  <c:v>3.5176329433800508</c:v>
                </c:pt>
                <c:pt idx="482">
                  <c:v>-10</c:v>
                </c:pt>
                <c:pt idx="483">
                  <c:v>-10</c:v>
                </c:pt>
                <c:pt idx="484">
                  <c:v>5.9783719654594938</c:v>
                </c:pt>
                <c:pt idx="485">
                  <c:v>-10</c:v>
                </c:pt>
                <c:pt idx="486">
                  <c:v>-10</c:v>
                </c:pt>
                <c:pt idx="487">
                  <c:v>1.8731194787504648</c:v>
                </c:pt>
                <c:pt idx="488">
                  <c:v>-10</c:v>
                </c:pt>
                <c:pt idx="489">
                  <c:v>-10</c:v>
                </c:pt>
                <c:pt idx="490">
                  <c:v>0.37169330436112946</c:v>
                </c:pt>
                <c:pt idx="491">
                  <c:v>-10</c:v>
                </c:pt>
                <c:pt idx="492">
                  <c:v>-10</c:v>
                </c:pt>
                <c:pt idx="493">
                  <c:v>5.3284399749571518</c:v>
                </c:pt>
                <c:pt idx="494">
                  <c:v>-10</c:v>
                </c:pt>
                <c:pt idx="495">
                  <c:v>-10</c:v>
                </c:pt>
                <c:pt idx="496">
                  <c:v>8.4824935848393093</c:v>
                </c:pt>
                <c:pt idx="497">
                  <c:v>-10</c:v>
                </c:pt>
                <c:pt idx="498">
                  <c:v>-10</c:v>
                </c:pt>
                <c:pt idx="499">
                  <c:v>3.1820106422882195</c:v>
                </c:pt>
                <c:pt idx="500">
                  <c:v>-10</c:v>
                </c:pt>
                <c:pt idx="501">
                  <c:v>-10</c:v>
                </c:pt>
                <c:pt idx="502">
                  <c:v>0.58234272998339609</c:v>
                </c:pt>
                <c:pt idx="503">
                  <c:v>-10</c:v>
                </c:pt>
                <c:pt idx="504">
                  <c:v>-10</c:v>
                </c:pt>
                <c:pt idx="505">
                  <c:v>0.6782549620180226</c:v>
                </c:pt>
                <c:pt idx="506">
                  <c:v>-10</c:v>
                </c:pt>
                <c:pt idx="507">
                  <c:v>-10</c:v>
                </c:pt>
                <c:pt idx="508">
                  <c:v>0.77075750321345771</c:v>
                </c:pt>
                <c:pt idx="509">
                  <c:v>-10</c:v>
                </c:pt>
                <c:pt idx="510">
                  <c:v>-10</c:v>
                </c:pt>
                <c:pt idx="511">
                  <c:v>3.4012472788123285</c:v>
                </c:pt>
                <c:pt idx="512">
                  <c:v>-10</c:v>
                </c:pt>
                <c:pt idx="513">
                  <c:v>-10</c:v>
                </c:pt>
                <c:pt idx="514">
                  <c:v>0.86180938444498389</c:v>
                </c:pt>
                <c:pt idx="515">
                  <c:v>-10</c:v>
                </c:pt>
                <c:pt idx="516">
                  <c:v>-10</c:v>
                </c:pt>
                <c:pt idx="517">
                  <c:v>0.7303530205419515</c:v>
                </c:pt>
                <c:pt idx="518">
                  <c:v>-10</c:v>
                </c:pt>
                <c:pt idx="519">
                  <c:v>-10</c:v>
                </c:pt>
                <c:pt idx="520">
                  <c:v>0.79932205272681511</c:v>
                </c:pt>
                <c:pt idx="521">
                  <c:v>-10</c:v>
                </c:pt>
                <c:pt idx="522">
                  <c:v>-10</c:v>
                </c:pt>
                <c:pt idx="523">
                  <c:v>1.4058709397202445</c:v>
                </c:pt>
                <c:pt idx="524">
                  <c:v>-10</c:v>
                </c:pt>
                <c:pt idx="525">
                  <c:v>-10</c:v>
                </c:pt>
                <c:pt idx="526">
                  <c:v>1.6318657907389587</c:v>
                </c:pt>
                <c:pt idx="527">
                  <c:v>-10</c:v>
                </c:pt>
                <c:pt idx="528">
                  <c:v>-10</c:v>
                </c:pt>
                <c:pt idx="529">
                  <c:v>1.5848284269872317</c:v>
                </c:pt>
                <c:pt idx="530">
                  <c:v>-10</c:v>
                </c:pt>
                <c:pt idx="531">
                  <c:v>-10</c:v>
                </c:pt>
                <c:pt idx="532">
                  <c:v>0.42604777886191991</c:v>
                </c:pt>
                <c:pt idx="533">
                  <c:v>-10</c:v>
                </c:pt>
                <c:pt idx="534">
                  <c:v>-10</c:v>
                </c:pt>
                <c:pt idx="535">
                  <c:v>0.42998193613387703</c:v>
                </c:pt>
                <c:pt idx="536">
                  <c:v>-10</c:v>
                </c:pt>
                <c:pt idx="537">
                  <c:v>-10</c:v>
                </c:pt>
                <c:pt idx="538">
                  <c:v>0.76488390056121436</c:v>
                </c:pt>
                <c:pt idx="539">
                  <c:v>-10</c:v>
                </c:pt>
                <c:pt idx="540">
                  <c:v>-10</c:v>
                </c:pt>
                <c:pt idx="541">
                  <c:v>1.0901983458944566</c:v>
                </c:pt>
                <c:pt idx="542">
                  <c:v>-10</c:v>
                </c:pt>
                <c:pt idx="543">
                  <c:v>-10</c:v>
                </c:pt>
                <c:pt idx="544">
                  <c:v>1.469229553759261</c:v>
                </c:pt>
                <c:pt idx="545">
                  <c:v>-10</c:v>
                </c:pt>
                <c:pt idx="546">
                  <c:v>-10</c:v>
                </c:pt>
                <c:pt idx="547">
                  <c:v>1.1922178693666428</c:v>
                </c:pt>
                <c:pt idx="548">
                  <c:v>-10</c:v>
                </c:pt>
                <c:pt idx="549">
                  <c:v>-10</c:v>
                </c:pt>
                <c:pt idx="550">
                  <c:v>1.9473087015126795</c:v>
                </c:pt>
                <c:pt idx="551">
                  <c:v>-10</c:v>
                </c:pt>
                <c:pt idx="552">
                  <c:v>-10</c:v>
                </c:pt>
                <c:pt idx="553">
                  <c:v>0.4096099000369352</c:v>
                </c:pt>
                <c:pt idx="554">
                  <c:v>-10</c:v>
                </c:pt>
                <c:pt idx="555">
                  <c:v>-10</c:v>
                </c:pt>
                <c:pt idx="556">
                  <c:v>1.1244660433175442</c:v>
                </c:pt>
                <c:pt idx="557">
                  <c:v>-10</c:v>
                </c:pt>
                <c:pt idx="558">
                  <c:v>-10</c:v>
                </c:pt>
                <c:pt idx="559">
                  <c:v>2.4598708094835988</c:v>
                </c:pt>
                <c:pt idx="560">
                  <c:v>-10</c:v>
                </c:pt>
                <c:pt idx="561">
                  <c:v>-10</c:v>
                </c:pt>
                <c:pt idx="562">
                  <c:v>0.54592894903302081</c:v>
                </c:pt>
                <c:pt idx="563">
                  <c:v>-10</c:v>
                </c:pt>
                <c:pt idx="564">
                  <c:v>-10</c:v>
                </c:pt>
                <c:pt idx="565">
                  <c:v>0.52380218400762435</c:v>
                </c:pt>
                <c:pt idx="566">
                  <c:v>-10</c:v>
                </c:pt>
                <c:pt idx="567">
                  <c:v>-10</c:v>
                </c:pt>
                <c:pt idx="568">
                  <c:v>0.37653115467212439</c:v>
                </c:pt>
                <c:pt idx="569">
                  <c:v>-10</c:v>
                </c:pt>
                <c:pt idx="570">
                  <c:v>-10</c:v>
                </c:pt>
                <c:pt idx="571">
                  <c:v>0.29298271668838377</c:v>
                </c:pt>
                <c:pt idx="572">
                  <c:v>-10</c:v>
                </c:pt>
                <c:pt idx="573">
                  <c:v>-10</c:v>
                </c:pt>
                <c:pt idx="574">
                  <c:v>0.39236105411635397</c:v>
                </c:pt>
                <c:pt idx="575">
                  <c:v>-10</c:v>
                </c:pt>
                <c:pt idx="576">
                  <c:v>-10</c:v>
                </c:pt>
                <c:pt idx="577">
                  <c:v>1.1248237035297357</c:v>
                </c:pt>
                <c:pt idx="578">
                  <c:v>-10</c:v>
                </c:pt>
                <c:pt idx="579">
                  <c:v>-10</c:v>
                </c:pt>
                <c:pt idx="580">
                  <c:v>0.80795660081304232</c:v>
                </c:pt>
                <c:pt idx="581">
                  <c:v>-10</c:v>
                </c:pt>
                <c:pt idx="582">
                  <c:v>-10</c:v>
                </c:pt>
                <c:pt idx="583">
                  <c:v>0.86225884223325389</c:v>
                </c:pt>
                <c:pt idx="584">
                  <c:v>-10</c:v>
                </c:pt>
                <c:pt idx="585">
                  <c:v>-10</c:v>
                </c:pt>
                <c:pt idx="586">
                  <c:v>2.2924332933722389</c:v>
                </c:pt>
                <c:pt idx="587">
                  <c:v>-10</c:v>
                </c:pt>
                <c:pt idx="588">
                  <c:v>-10</c:v>
                </c:pt>
                <c:pt idx="589">
                  <c:v>0.42233327980269064</c:v>
                </c:pt>
                <c:pt idx="590">
                  <c:v>-10</c:v>
                </c:pt>
                <c:pt idx="591">
                  <c:v>-10</c:v>
                </c:pt>
                <c:pt idx="592">
                  <c:v>0.34910468612397411</c:v>
                </c:pt>
                <c:pt idx="593">
                  <c:v>-10</c:v>
                </c:pt>
                <c:pt idx="594">
                  <c:v>-10</c:v>
                </c:pt>
                <c:pt idx="595">
                  <c:v>0.41263771861389353</c:v>
                </c:pt>
                <c:pt idx="596">
                  <c:v>-10</c:v>
                </c:pt>
                <c:pt idx="597">
                  <c:v>-10</c:v>
                </c:pt>
                <c:pt idx="598">
                  <c:v>2.735034960685264</c:v>
                </c:pt>
                <c:pt idx="599">
                  <c:v>-10</c:v>
                </c:pt>
                <c:pt idx="600">
                  <c:v>-10</c:v>
                </c:pt>
                <c:pt idx="601">
                  <c:v>4.7133318197733605</c:v>
                </c:pt>
                <c:pt idx="602">
                  <c:v>-10</c:v>
                </c:pt>
                <c:pt idx="603">
                  <c:v>-10</c:v>
                </c:pt>
                <c:pt idx="604">
                  <c:v>1.8068146584126734</c:v>
                </c:pt>
                <c:pt idx="605">
                  <c:v>-10</c:v>
                </c:pt>
                <c:pt idx="606">
                  <c:v>-10</c:v>
                </c:pt>
                <c:pt idx="607">
                  <c:v>0.8058013062005237</c:v>
                </c:pt>
                <c:pt idx="608">
                  <c:v>-10</c:v>
                </c:pt>
                <c:pt idx="609">
                  <c:v>-10</c:v>
                </c:pt>
                <c:pt idx="610">
                  <c:v>0.30271939538228104</c:v>
                </c:pt>
                <c:pt idx="611">
                  <c:v>-10</c:v>
                </c:pt>
                <c:pt idx="612">
                  <c:v>-10</c:v>
                </c:pt>
                <c:pt idx="613">
                  <c:v>1.4720922814940229</c:v>
                </c:pt>
                <c:pt idx="614">
                  <c:v>-10</c:v>
                </c:pt>
                <c:pt idx="615">
                  <c:v>-10</c:v>
                </c:pt>
                <c:pt idx="616">
                  <c:v>1.7953410139345691</c:v>
                </c:pt>
                <c:pt idx="617">
                  <c:v>-10</c:v>
                </c:pt>
                <c:pt idx="618">
                  <c:v>-10</c:v>
                </c:pt>
                <c:pt idx="619">
                  <c:v>0.35351562116366453</c:v>
                </c:pt>
                <c:pt idx="620">
                  <c:v>-10</c:v>
                </c:pt>
                <c:pt idx="621">
                  <c:v>-10</c:v>
                </c:pt>
                <c:pt idx="622">
                  <c:v>4.7475347702586834</c:v>
                </c:pt>
                <c:pt idx="623">
                  <c:v>-10</c:v>
                </c:pt>
                <c:pt idx="624">
                  <c:v>-10</c:v>
                </c:pt>
                <c:pt idx="625">
                  <c:v>7.7059269126351433</c:v>
                </c:pt>
                <c:pt idx="626">
                  <c:v>-10</c:v>
                </c:pt>
                <c:pt idx="627">
                  <c:v>-10</c:v>
                </c:pt>
                <c:pt idx="628">
                  <c:v>1.7252251557931693</c:v>
                </c:pt>
                <c:pt idx="629">
                  <c:v>-10</c:v>
                </c:pt>
                <c:pt idx="630">
                  <c:v>-10</c:v>
                </c:pt>
                <c:pt idx="631">
                  <c:v>2.8850973633636321</c:v>
                </c:pt>
                <c:pt idx="632">
                  <c:v>-10</c:v>
                </c:pt>
                <c:pt idx="633">
                  <c:v>-10</c:v>
                </c:pt>
                <c:pt idx="634">
                  <c:v>0.59677773836320058</c:v>
                </c:pt>
                <c:pt idx="635">
                  <c:v>-10</c:v>
                </c:pt>
                <c:pt idx="636">
                  <c:v>-10</c:v>
                </c:pt>
                <c:pt idx="637">
                  <c:v>0.37194510204067782</c:v>
                </c:pt>
                <c:pt idx="638">
                  <c:v>-10</c:v>
                </c:pt>
                <c:pt idx="639">
                  <c:v>-10</c:v>
                </c:pt>
                <c:pt idx="640">
                  <c:v>0.48931420946023396</c:v>
                </c:pt>
                <c:pt idx="641">
                  <c:v>-10</c:v>
                </c:pt>
                <c:pt idx="642">
                  <c:v>-10</c:v>
                </c:pt>
                <c:pt idx="643">
                  <c:v>0.36613807249738889</c:v>
                </c:pt>
                <c:pt idx="644">
                  <c:v>-10</c:v>
                </c:pt>
                <c:pt idx="645">
                  <c:v>-10</c:v>
                </c:pt>
                <c:pt idx="646">
                  <c:v>0.68708847107341164</c:v>
                </c:pt>
                <c:pt idx="647">
                  <c:v>-10</c:v>
                </c:pt>
                <c:pt idx="648">
                  <c:v>-10</c:v>
                </c:pt>
                <c:pt idx="649">
                  <c:v>0.32211929904540115</c:v>
                </c:pt>
                <c:pt idx="650">
                  <c:v>-10</c:v>
                </c:pt>
                <c:pt idx="651">
                  <c:v>-10</c:v>
                </c:pt>
                <c:pt idx="652">
                  <c:v>0.44452047657681404</c:v>
                </c:pt>
                <c:pt idx="653">
                  <c:v>-10</c:v>
                </c:pt>
                <c:pt idx="654">
                  <c:v>-10</c:v>
                </c:pt>
                <c:pt idx="655">
                  <c:v>1.7240726182761112</c:v>
                </c:pt>
                <c:pt idx="656">
                  <c:v>-10</c:v>
                </c:pt>
                <c:pt idx="657">
                  <c:v>-10</c:v>
                </c:pt>
                <c:pt idx="658">
                  <c:v>2.955674881784478</c:v>
                </c:pt>
                <c:pt idx="659">
                  <c:v>-10</c:v>
                </c:pt>
                <c:pt idx="660">
                  <c:v>-10</c:v>
                </c:pt>
                <c:pt idx="661">
                  <c:v>0.41731634628132924</c:v>
                </c:pt>
                <c:pt idx="662">
                  <c:v>-10</c:v>
                </c:pt>
                <c:pt idx="663">
                  <c:v>-10</c:v>
                </c:pt>
                <c:pt idx="664">
                  <c:v>0.65895991229090478</c:v>
                </c:pt>
                <c:pt idx="665">
                  <c:v>-10</c:v>
                </c:pt>
                <c:pt idx="666">
                  <c:v>-10</c:v>
                </c:pt>
                <c:pt idx="667">
                  <c:v>0.74133578027089786</c:v>
                </c:pt>
                <c:pt idx="668">
                  <c:v>-10</c:v>
                </c:pt>
                <c:pt idx="669">
                  <c:v>-10</c:v>
                </c:pt>
                <c:pt idx="670">
                  <c:v>0.53513833078458561</c:v>
                </c:pt>
                <c:pt idx="671">
                  <c:v>-10</c:v>
                </c:pt>
                <c:pt idx="672">
                  <c:v>-10</c:v>
                </c:pt>
                <c:pt idx="673">
                  <c:v>0.33898710556006628</c:v>
                </c:pt>
                <c:pt idx="674">
                  <c:v>-10</c:v>
                </c:pt>
                <c:pt idx="675">
                  <c:v>-10</c:v>
                </c:pt>
                <c:pt idx="676">
                  <c:v>0.36476529415022479</c:v>
                </c:pt>
                <c:pt idx="677">
                  <c:v>-10</c:v>
                </c:pt>
                <c:pt idx="678">
                  <c:v>-10</c:v>
                </c:pt>
                <c:pt idx="679">
                  <c:v>0.4028269672837469</c:v>
                </c:pt>
                <c:pt idx="680">
                  <c:v>-10</c:v>
                </c:pt>
                <c:pt idx="681">
                  <c:v>-10</c:v>
                </c:pt>
                <c:pt idx="682">
                  <c:v>0.33100313478090021</c:v>
                </c:pt>
                <c:pt idx="683">
                  <c:v>-10</c:v>
                </c:pt>
                <c:pt idx="684">
                  <c:v>-10</c:v>
                </c:pt>
                <c:pt idx="685">
                  <c:v>1.8213678502499946</c:v>
                </c:pt>
                <c:pt idx="686">
                  <c:v>-10</c:v>
                </c:pt>
                <c:pt idx="687">
                  <c:v>-10</c:v>
                </c:pt>
                <c:pt idx="688">
                  <c:v>0.52172407187099767</c:v>
                </c:pt>
                <c:pt idx="689">
                  <c:v>-10</c:v>
                </c:pt>
                <c:pt idx="690">
                  <c:v>-10</c:v>
                </c:pt>
                <c:pt idx="691">
                  <c:v>0.46370457112234104</c:v>
                </c:pt>
                <c:pt idx="692">
                  <c:v>-10</c:v>
                </c:pt>
                <c:pt idx="693">
                  <c:v>-10</c:v>
                </c:pt>
                <c:pt idx="694">
                  <c:v>0.52146870016812563</c:v>
                </c:pt>
                <c:pt idx="695">
                  <c:v>-10</c:v>
                </c:pt>
                <c:pt idx="696">
                  <c:v>-10</c:v>
                </c:pt>
                <c:pt idx="697">
                  <c:v>0.9904713052801446</c:v>
                </c:pt>
                <c:pt idx="698">
                  <c:v>-10</c:v>
                </c:pt>
                <c:pt idx="699">
                  <c:v>-10</c:v>
                </c:pt>
                <c:pt idx="700">
                  <c:v>0.48106942475882153</c:v>
                </c:pt>
                <c:pt idx="701">
                  <c:v>-10</c:v>
                </c:pt>
                <c:pt idx="702">
                  <c:v>-10</c:v>
                </c:pt>
                <c:pt idx="703">
                  <c:v>0.37769643909331901</c:v>
                </c:pt>
                <c:pt idx="704">
                  <c:v>-10</c:v>
                </c:pt>
                <c:pt idx="705">
                  <c:v>-10</c:v>
                </c:pt>
                <c:pt idx="706">
                  <c:v>0.6262611366083003</c:v>
                </c:pt>
                <c:pt idx="707">
                  <c:v>-10</c:v>
                </c:pt>
                <c:pt idx="708">
                  <c:v>-10</c:v>
                </c:pt>
                <c:pt idx="709">
                  <c:v>0.41222720449932726</c:v>
                </c:pt>
                <c:pt idx="710">
                  <c:v>-10</c:v>
                </c:pt>
                <c:pt idx="711">
                  <c:v>-10</c:v>
                </c:pt>
                <c:pt idx="712">
                  <c:v>0.53500728198923631</c:v>
                </c:pt>
                <c:pt idx="713">
                  <c:v>-10</c:v>
                </c:pt>
                <c:pt idx="714">
                  <c:v>-10</c:v>
                </c:pt>
                <c:pt idx="715">
                  <c:v>0.33291825349789023</c:v>
                </c:pt>
                <c:pt idx="716">
                  <c:v>-10</c:v>
                </c:pt>
                <c:pt idx="717">
                  <c:v>-10</c:v>
                </c:pt>
                <c:pt idx="718">
                  <c:v>0.89643750234947861</c:v>
                </c:pt>
                <c:pt idx="719">
                  <c:v>-10</c:v>
                </c:pt>
                <c:pt idx="720">
                  <c:v>-10</c:v>
                </c:pt>
                <c:pt idx="721">
                  <c:v>0.47134844808080917</c:v>
                </c:pt>
                <c:pt idx="722">
                  <c:v>-10</c:v>
                </c:pt>
                <c:pt idx="723">
                  <c:v>-10</c:v>
                </c:pt>
                <c:pt idx="724">
                  <c:v>0.84630349094094326</c:v>
                </c:pt>
                <c:pt idx="725">
                  <c:v>-10</c:v>
                </c:pt>
                <c:pt idx="726">
                  <c:v>-10</c:v>
                </c:pt>
                <c:pt idx="727">
                  <c:v>0.72495767225820518</c:v>
                </c:pt>
                <c:pt idx="728">
                  <c:v>-10</c:v>
                </c:pt>
                <c:pt idx="729">
                  <c:v>-10</c:v>
                </c:pt>
                <c:pt idx="730">
                  <c:v>0.42752412747663443</c:v>
                </c:pt>
                <c:pt idx="731">
                  <c:v>-10</c:v>
                </c:pt>
                <c:pt idx="732">
                  <c:v>-10</c:v>
                </c:pt>
                <c:pt idx="733">
                  <c:v>2.7090884147751519</c:v>
                </c:pt>
                <c:pt idx="734">
                  <c:v>-10</c:v>
                </c:pt>
                <c:pt idx="735">
                  <c:v>-10</c:v>
                </c:pt>
                <c:pt idx="736">
                  <c:v>4.6867549850124783</c:v>
                </c:pt>
                <c:pt idx="737">
                  <c:v>-10</c:v>
                </c:pt>
                <c:pt idx="738">
                  <c:v>-10</c:v>
                </c:pt>
                <c:pt idx="739">
                  <c:v>1.3740499754935602</c:v>
                </c:pt>
                <c:pt idx="740">
                  <c:v>-10</c:v>
                </c:pt>
                <c:pt idx="741">
                  <c:v>-10</c:v>
                </c:pt>
                <c:pt idx="742">
                  <c:v>2.1318803777015916</c:v>
                </c:pt>
                <c:pt idx="743">
                  <c:v>-10</c:v>
                </c:pt>
                <c:pt idx="744">
                  <c:v>-10</c:v>
                </c:pt>
                <c:pt idx="745">
                  <c:v>1.5357865213470279</c:v>
                </c:pt>
                <c:pt idx="746">
                  <c:v>-10</c:v>
                </c:pt>
                <c:pt idx="747">
                  <c:v>-10</c:v>
                </c:pt>
                <c:pt idx="748">
                  <c:v>2.8354020074441175</c:v>
                </c:pt>
                <c:pt idx="749">
                  <c:v>-10</c:v>
                </c:pt>
                <c:pt idx="750">
                  <c:v>-10</c:v>
                </c:pt>
                <c:pt idx="751">
                  <c:v>0.47552744409753761</c:v>
                </c:pt>
                <c:pt idx="752">
                  <c:v>-10</c:v>
                </c:pt>
                <c:pt idx="753">
                  <c:v>-10</c:v>
                </c:pt>
                <c:pt idx="754">
                  <c:v>0.41444666152201104</c:v>
                </c:pt>
                <c:pt idx="755">
                  <c:v>-10</c:v>
                </c:pt>
                <c:pt idx="756">
                  <c:v>-10</c:v>
                </c:pt>
                <c:pt idx="757">
                  <c:v>0.34254121674098092</c:v>
                </c:pt>
                <c:pt idx="758">
                  <c:v>-10</c:v>
                </c:pt>
                <c:pt idx="759">
                  <c:v>-10</c:v>
                </c:pt>
                <c:pt idx="760">
                  <c:v>0.36154988041852248</c:v>
                </c:pt>
                <c:pt idx="761">
                  <c:v>-10</c:v>
                </c:pt>
                <c:pt idx="762">
                  <c:v>-10</c:v>
                </c:pt>
                <c:pt idx="763">
                  <c:v>0.38849374311494134</c:v>
                </c:pt>
                <c:pt idx="764">
                  <c:v>-10</c:v>
                </c:pt>
                <c:pt idx="765">
                  <c:v>-10</c:v>
                </c:pt>
                <c:pt idx="766">
                  <c:v>0.56069472553503796</c:v>
                </c:pt>
                <c:pt idx="767">
                  <c:v>-10</c:v>
                </c:pt>
                <c:pt idx="768">
                  <c:v>-10</c:v>
                </c:pt>
                <c:pt idx="769">
                  <c:v>1.7677575748933132</c:v>
                </c:pt>
                <c:pt idx="770">
                  <c:v>-10</c:v>
                </c:pt>
                <c:pt idx="771">
                  <c:v>-10</c:v>
                </c:pt>
                <c:pt idx="772">
                  <c:v>1.7813616792018774</c:v>
                </c:pt>
                <c:pt idx="773">
                  <c:v>-10</c:v>
                </c:pt>
                <c:pt idx="774">
                  <c:v>-10</c:v>
                </c:pt>
                <c:pt idx="775">
                  <c:v>3.0152171724386276</c:v>
                </c:pt>
                <c:pt idx="776">
                  <c:v>-10</c:v>
                </c:pt>
                <c:pt idx="777">
                  <c:v>-10</c:v>
                </c:pt>
                <c:pt idx="778">
                  <c:v>1.6029189410738842</c:v>
                </c:pt>
                <c:pt idx="779">
                  <c:v>-10</c:v>
                </c:pt>
                <c:pt idx="780">
                  <c:v>-10</c:v>
                </c:pt>
                <c:pt idx="781">
                  <c:v>2.5589374045896256</c:v>
                </c:pt>
                <c:pt idx="782">
                  <c:v>-10</c:v>
                </c:pt>
                <c:pt idx="783">
                  <c:v>-10</c:v>
                </c:pt>
                <c:pt idx="784">
                  <c:v>0.78944115235416945</c:v>
                </c:pt>
                <c:pt idx="785">
                  <c:v>-10</c:v>
                </c:pt>
                <c:pt idx="786">
                  <c:v>-10</c:v>
                </c:pt>
                <c:pt idx="787">
                  <c:v>0.76855922672023036</c:v>
                </c:pt>
                <c:pt idx="788">
                  <c:v>-10</c:v>
                </c:pt>
                <c:pt idx="789">
                  <c:v>-10</c:v>
                </c:pt>
                <c:pt idx="790">
                  <c:v>0.56744948061957445</c:v>
                </c:pt>
                <c:pt idx="791">
                  <c:v>-10</c:v>
                </c:pt>
                <c:pt idx="792">
                  <c:v>-10</c:v>
                </c:pt>
                <c:pt idx="793">
                  <c:v>0.37499449083215847</c:v>
                </c:pt>
                <c:pt idx="794">
                  <c:v>-10</c:v>
                </c:pt>
                <c:pt idx="795">
                  <c:v>-10</c:v>
                </c:pt>
                <c:pt idx="796">
                  <c:v>0.42093765139299427</c:v>
                </c:pt>
                <c:pt idx="797">
                  <c:v>-10</c:v>
                </c:pt>
                <c:pt idx="798">
                  <c:v>-10</c:v>
                </c:pt>
                <c:pt idx="799">
                  <c:v>0.34709015569035589</c:v>
                </c:pt>
                <c:pt idx="800">
                  <c:v>-10</c:v>
                </c:pt>
                <c:pt idx="801">
                  <c:v>-10</c:v>
                </c:pt>
                <c:pt idx="802">
                  <c:v>0.8358780343422153</c:v>
                </c:pt>
                <c:pt idx="803">
                  <c:v>-10</c:v>
                </c:pt>
                <c:pt idx="804">
                  <c:v>-10</c:v>
                </c:pt>
                <c:pt idx="805">
                  <c:v>0.56880317585984175</c:v>
                </c:pt>
                <c:pt idx="806">
                  <c:v>-10</c:v>
                </c:pt>
                <c:pt idx="807">
                  <c:v>-10</c:v>
                </c:pt>
                <c:pt idx="808">
                  <c:v>1.1054815897798231</c:v>
                </c:pt>
                <c:pt idx="809">
                  <c:v>-10</c:v>
                </c:pt>
                <c:pt idx="810">
                  <c:v>-10</c:v>
                </c:pt>
                <c:pt idx="811">
                  <c:v>0.89860216277512173</c:v>
                </c:pt>
                <c:pt idx="812">
                  <c:v>-10</c:v>
                </c:pt>
                <c:pt idx="813">
                  <c:v>-10</c:v>
                </c:pt>
                <c:pt idx="814">
                  <c:v>1.3101569102970783</c:v>
                </c:pt>
                <c:pt idx="815">
                  <c:v>-10</c:v>
                </c:pt>
                <c:pt idx="816">
                  <c:v>-10</c:v>
                </c:pt>
                <c:pt idx="817">
                  <c:v>1.9491416616283059</c:v>
                </c:pt>
                <c:pt idx="818">
                  <c:v>-10</c:v>
                </c:pt>
                <c:pt idx="819">
                  <c:v>-10</c:v>
                </c:pt>
                <c:pt idx="820">
                  <c:v>0.53810346355214245</c:v>
                </c:pt>
                <c:pt idx="821">
                  <c:v>-10</c:v>
                </c:pt>
                <c:pt idx="822">
                  <c:v>-10</c:v>
                </c:pt>
                <c:pt idx="823">
                  <c:v>1.6035572356604904</c:v>
                </c:pt>
                <c:pt idx="824">
                  <c:v>-10</c:v>
                </c:pt>
                <c:pt idx="825">
                  <c:v>-10</c:v>
                </c:pt>
                <c:pt idx="826">
                  <c:v>0.60132955219504602</c:v>
                </c:pt>
                <c:pt idx="827">
                  <c:v>-10</c:v>
                </c:pt>
                <c:pt idx="828">
                  <c:v>-10</c:v>
                </c:pt>
                <c:pt idx="829">
                  <c:v>2.2199244919450569</c:v>
                </c:pt>
                <c:pt idx="830">
                  <c:v>-10</c:v>
                </c:pt>
                <c:pt idx="831">
                  <c:v>-10</c:v>
                </c:pt>
                <c:pt idx="832">
                  <c:v>3.7682944846579081</c:v>
                </c:pt>
                <c:pt idx="833">
                  <c:v>-10</c:v>
                </c:pt>
                <c:pt idx="834">
                  <c:v>-10</c:v>
                </c:pt>
                <c:pt idx="835">
                  <c:v>4.7910299158648861</c:v>
                </c:pt>
                <c:pt idx="836">
                  <c:v>-10</c:v>
                </c:pt>
                <c:pt idx="837">
                  <c:v>-10</c:v>
                </c:pt>
                <c:pt idx="838">
                  <c:v>5.5867415460085637</c:v>
                </c:pt>
                <c:pt idx="839">
                  <c:v>-10</c:v>
                </c:pt>
                <c:pt idx="840">
                  <c:v>-10</c:v>
                </c:pt>
                <c:pt idx="841">
                  <c:v>4.9281936645476279</c:v>
                </c:pt>
                <c:pt idx="842">
                  <c:v>-10</c:v>
                </c:pt>
                <c:pt idx="843">
                  <c:v>-10</c:v>
                </c:pt>
                <c:pt idx="844">
                  <c:v>5.744949902378873</c:v>
                </c:pt>
                <c:pt idx="845">
                  <c:v>-10</c:v>
                </c:pt>
                <c:pt idx="846">
                  <c:v>-10</c:v>
                </c:pt>
                <c:pt idx="847">
                  <c:v>3.6110441136253564</c:v>
                </c:pt>
                <c:pt idx="848">
                  <c:v>-10</c:v>
                </c:pt>
                <c:pt idx="849">
                  <c:v>-10</c:v>
                </c:pt>
                <c:pt idx="850">
                  <c:v>5.0819597620757548</c:v>
                </c:pt>
                <c:pt idx="851">
                  <c:v>-10</c:v>
                </c:pt>
                <c:pt idx="852">
                  <c:v>-10</c:v>
                </c:pt>
                <c:pt idx="853">
                  <c:v>1.4147946704194609</c:v>
                </c:pt>
                <c:pt idx="854">
                  <c:v>-10</c:v>
                </c:pt>
                <c:pt idx="855">
                  <c:v>-10</c:v>
                </c:pt>
                <c:pt idx="856">
                  <c:v>0.99889793155091833</c:v>
                </c:pt>
                <c:pt idx="857">
                  <c:v>-10</c:v>
                </c:pt>
                <c:pt idx="858">
                  <c:v>-10</c:v>
                </c:pt>
                <c:pt idx="859">
                  <c:v>1.2138621431535623</c:v>
                </c:pt>
                <c:pt idx="860">
                  <c:v>-10</c:v>
                </c:pt>
                <c:pt idx="861">
                  <c:v>-10</c:v>
                </c:pt>
                <c:pt idx="862">
                  <c:v>1.9742486769095458</c:v>
                </c:pt>
                <c:pt idx="863">
                  <c:v>-10</c:v>
                </c:pt>
                <c:pt idx="864">
                  <c:v>-10</c:v>
                </c:pt>
                <c:pt idx="865">
                  <c:v>2.5053562352689589</c:v>
                </c:pt>
                <c:pt idx="866">
                  <c:v>-10</c:v>
                </c:pt>
                <c:pt idx="867">
                  <c:v>-10</c:v>
                </c:pt>
                <c:pt idx="868">
                  <c:v>3.2970795342756549</c:v>
                </c:pt>
                <c:pt idx="869">
                  <c:v>-10</c:v>
                </c:pt>
                <c:pt idx="870">
                  <c:v>-10</c:v>
                </c:pt>
                <c:pt idx="871">
                  <c:v>2.3627884334257807</c:v>
                </c:pt>
                <c:pt idx="872">
                  <c:v>-10</c:v>
                </c:pt>
                <c:pt idx="873">
                  <c:v>-10</c:v>
                </c:pt>
                <c:pt idx="874">
                  <c:v>4.0096278422529315</c:v>
                </c:pt>
                <c:pt idx="875">
                  <c:v>-10</c:v>
                </c:pt>
                <c:pt idx="876">
                  <c:v>-10</c:v>
                </c:pt>
                <c:pt idx="877">
                  <c:v>1.2653384610652965</c:v>
                </c:pt>
                <c:pt idx="878">
                  <c:v>-10</c:v>
                </c:pt>
                <c:pt idx="879">
                  <c:v>-10</c:v>
                </c:pt>
                <c:pt idx="880">
                  <c:v>2.5810213787564038</c:v>
                </c:pt>
                <c:pt idx="881">
                  <c:v>-10</c:v>
                </c:pt>
                <c:pt idx="882">
                  <c:v>-10</c:v>
                </c:pt>
                <c:pt idx="883">
                  <c:v>0.66275695963656367</c:v>
                </c:pt>
                <c:pt idx="884">
                  <c:v>-10</c:v>
                </c:pt>
                <c:pt idx="885">
                  <c:v>-10</c:v>
                </c:pt>
                <c:pt idx="886">
                  <c:v>0.65670738170337539</c:v>
                </c:pt>
                <c:pt idx="887">
                  <c:v>-10</c:v>
                </c:pt>
                <c:pt idx="888">
                  <c:v>-10</c:v>
                </c:pt>
                <c:pt idx="889">
                  <c:v>0.31089789732831741</c:v>
                </c:pt>
                <c:pt idx="890">
                  <c:v>-10</c:v>
                </c:pt>
                <c:pt idx="891">
                  <c:v>-10</c:v>
                </c:pt>
                <c:pt idx="892">
                  <c:v>0.32081453220353723</c:v>
                </c:pt>
                <c:pt idx="893">
                  <c:v>-10</c:v>
                </c:pt>
                <c:pt idx="894">
                  <c:v>-10</c:v>
                </c:pt>
                <c:pt idx="895">
                  <c:v>1.054446838533778</c:v>
                </c:pt>
                <c:pt idx="896">
                  <c:v>-10</c:v>
                </c:pt>
                <c:pt idx="897">
                  <c:v>-10</c:v>
                </c:pt>
                <c:pt idx="898">
                  <c:v>0.4189724772472635</c:v>
                </c:pt>
                <c:pt idx="899">
                  <c:v>-10</c:v>
                </c:pt>
                <c:pt idx="900">
                  <c:v>-10</c:v>
                </c:pt>
                <c:pt idx="901">
                  <c:v>2.4682925398581785</c:v>
                </c:pt>
                <c:pt idx="902">
                  <c:v>-10</c:v>
                </c:pt>
                <c:pt idx="903">
                  <c:v>-10</c:v>
                </c:pt>
                <c:pt idx="904">
                  <c:v>3.4253840260353554</c:v>
                </c:pt>
                <c:pt idx="905">
                  <c:v>-10</c:v>
                </c:pt>
                <c:pt idx="906">
                  <c:v>-10</c:v>
                </c:pt>
                <c:pt idx="907">
                  <c:v>1.8577877725605971</c:v>
                </c:pt>
                <c:pt idx="908">
                  <c:v>-10</c:v>
                </c:pt>
                <c:pt idx="909">
                  <c:v>-10</c:v>
                </c:pt>
                <c:pt idx="910">
                  <c:v>4.8780341975352384</c:v>
                </c:pt>
                <c:pt idx="911">
                  <c:v>-10</c:v>
                </c:pt>
                <c:pt idx="912">
                  <c:v>-10</c:v>
                </c:pt>
                <c:pt idx="913">
                  <c:v>1.8410983673074335</c:v>
                </c:pt>
                <c:pt idx="914">
                  <c:v>-10</c:v>
                </c:pt>
                <c:pt idx="915">
                  <c:v>-10</c:v>
                </c:pt>
                <c:pt idx="916">
                  <c:v>2.1949039485439972</c:v>
                </c:pt>
                <c:pt idx="917">
                  <c:v>-10</c:v>
                </c:pt>
                <c:pt idx="918">
                  <c:v>-10</c:v>
                </c:pt>
                <c:pt idx="919">
                  <c:v>1.5898220825565765</c:v>
                </c:pt>
                <c:pt idx="920">
                  <c:v>-10</c:v>
                </c:pt>
                <c:pt idx="921">
                  <c:v>-10</c:v>
                </c:pt>
                <c:pt idx="922">
                  <c:v>0.59827860848374426</c:v>
                </c:pt>
                <c:pt idx="923">
                  <c:v>-10</c:v>
                </c:pt>
                <c:pt idx="924">
                  <c:v>-10</c:v>
                </c:pt>
                <c:pt idx="925">
                  <c:v>0.47268476986189495</c:v>
                </c:pt>
                <c:pt idx="926">
                  <c:v>-10</c:v>
                </c:pt>
                <c:pt idx="927">
                  <c:v>-10</c:v>
                </c:pt>
                <c:pt idx="928">
                  <c:v>27.859467634277312</c:v>
                </c:pt>
                <c:pt idx="929">
                  <c:v>-10</c:v>
                </c:pt>
                <c:pt idx="930">
                  <c:v>-10</c:v>
                </c:pt>
                <c:pt idx="931">
                  <c:v>40.601501702449639</c:v>
                </c:pt>
                <c:pt idx="932">
                  <c:v>-10</c:v>
                </c:pt>
                <c:pt idx="933">
                  <c:v>-10</c:v>
                </c:pt>
                <c:pt idx="934">
                  <c:v>58.049897259240147</c:v>
                </c:pt>
                <c:pt idx="935">
                  <c:v>-10</c:v>
                </c:pt>
                <c:pt idx="936">
                  <c:v>-10</c:v>
                </c:pt>
                <c:pt idx="937">
                  <c:v>92.674581381189654</c:v>
                </c:pt>
                <c:pt idx="938">
                  <c:v>-10</c:v>
                </c:pt>
                <c:pt idx="939">
                  <c:v>-10</c:v>
                </c:pt>
                <c:pt idx="940">
                  <c:v>60.613965893509103</c:v>
                </c:pt>
                <c:pt idx="941">
                  <c:v>-10</c:v>
                </c:pt>
                <c:pt idx="942">
                  <c:v>-10</c:v>
                </c:pt>
                <c:pt idx="943">
                  <c:v>100</c:v>
                </c:pt>
                <c:pt idx="944">
                  <c:v>-10</c:v>
                </c:pt>
                <c:pt idx="945">
                  <c:v>-10</c:v>
                </c:pt>
                <c:pt idx="946">
                  <c:v>44.008524958254135</c:v>
                </c:pt>
                <c:pt idx="947">
                  <c:v>-10</c:v>
                </c:pt>
                <c:pt idx="948">
                  <c:v>-10</c:v>
                </c:pt>
                <c:pt idx="949">
                  <c:v>66.253798616162342</c:v>
                </c:pt>
                <c:pt idx="950">
                  <c:v>-10</c:v>
                </c:pt>
                <c:pt idx="951">
                  <c:v>-10</c:v>
                </c:pt>
                <c:pt idx="952">
                  <c:v>17.646327274092904</c:v>
                </c:pt>
                <c:pt idx="953">
                  <c:v>-10</c:v>
                </c:pt>
                <c:pt idx="954">
                  <c:v>-10</c:v>
                </c:pt>
                <c:pt idx="955">
                  <c:v>26.125993768278761</c:v>
                </c:pt>
                <c:pt idx="956">
                  <c:v>-10</c:v>
                </c:pt>
                <c:pt idx="957">
                  <c:v>-10</c:v>
                </c:pt>
                <c:pt idx="958">
                  <c:v>0.45666051499111893</c:v>
                </c:pt>
                <c:pt idx="959">
                  <c:v>-10</c:v>
                </c:pt>
                <c:pt idx="960">
                  <c:v>-10</c:v>
                </c:pt>
                <c:pt idx="961">
                  <c:v>0.6910707601816527</c:v>
                </c:pt>
                <c:pt idx="962">
                  <c:v>-10</c:v>
                </c:pt>
                <c:pt idx="963">
                  <c:v>-10</c:v>
                </c:pt>
                <c:pt idx="964">
                  <c:v>1.1394479383929421</c:v>
                </c:pt>
                <c:pt idx="965">
                  <c:v>-10</c:v>
                </c:pt>
                <c:pt idx="966">
                  <c:v>-10</c:v>
                </c:pt>
                <c:pt idx="967">
                  <c:v>0.51999192557414797</c:v>
                </c:pt>
                <c:pt idx="968">
                  <c:v>-10</c:v>
                </c:pt>
                <c:pt idx="969">
                  <c:v>-10</c:v>
                </c:pt>
                <c:pt idx="970">
                  <c:v>0.617108773478518</c:v>
                </c:pt>
                <c:pt idx="971">
                  <c:v>-10</c:v>
                </c:pt>
                <c:pt idx="972">
                  <c:v>-10</c:v>
                </c:pt>
                <c:pt idx="973">
                  <c:v>1.2900269163814944</c:v>
                </c:pt>
                <c:pt idx="974">
                  <c:v>-10</c:v>
                </c:pt>
                <c:pt idx="975">
                  <c:v>-10</c:v>
                </c:pt>
                <c:pt idx="976">
                  <c:v>2.0315263892128823</c:v>
                </c:pt>
                <c:pt idx="977">
                  <c:v>-10</c:v>
                </c:pt>
                <c:pt idx="978">
                  <c:v>-10</c:v>
                </c:pt>
                <c:pt idx="979">
                  <c:v>1.0432753585299712</c:v>
                </c:pt>
                <c:pt idx="980">
                  <c:v>-10</c:v>
                </c:pt>
                <c:pt idx="981">
                  <c:v>-10</c:v>
                </c:pt>
                <c:pt idx="982">
                  <c:v>0.53474192174122293</c:v>
                </c:pt>
                <c:pt idx="983">
                  <c:v>-10</c:v>
                </c:pt>
                <c:pt idx="984">
                  <c:v>-10</c:v>
                </c:pt>
                <c:pt idx="985">
                  <c:v>0.33728220092362232</c:v>
                </c:pt>
                <c:pt idx="986">
                  <c:v>-10</c:v>
                </c:pt>
                <c:pt idx="987">
                  <c:v>-10</c:v>
                </c:pt>
                <c:pt idx="988">
                  <c:v>0.88343931820352783</c:v>
                </c:pt>
                <c:pt idx="989">
                  <c:v>-10</c:v>
                </c:pt>
                <c:pt idx="990">
                  <c:v>-10</c:v>
                </c:pt>
                <c:pt idx="991">
                  <c:v>0.75644157418477664</c:v>
                </c:pt>
                <c:pt idx="992">
                  <c:v>-10</c:v>
                </c:pt>
                <c:pt idx="993">
                  <c:v>-10</c:v>
                </c:pt>
                <c:pt idx="994">
                  <c:v>1.3585557037735394</c:v>
                </c:pt>
                <c:pt idx="995">
                  <c:v>-10</c:v>
                </c:pt>
                <c:pt idx="996">
                  <c:v>-10</c:v>
                </c:pt>
                <c:pt idx="997">
                  <c:v>1.6620192371728608</c:v>
                </c:pt>
                <c:pt idx="998">
                  <c:v>-10</c:v>
                </c:pt>
                <c:pt idx="999">
                  <c:v>-10</c:v>
                </c:pt>
                <c:pt idx="1000">
                  <c:v>1.4739365119130214</c:v>
                </c:pt>
                <c:pt idx="1001">
                  <c:v>-10</c:v>
                </c:pt>
                <c:pt idx="1002">
                  <c:v>-10</c:v>
                </c:pt>
                <c:pt idx="1003">
                  <c:v>0.4577702635597804</c:v>
                </c:pt>
                <c:pt idx="1004">
                  <c:v>-10</c:v>
                </c:pt>
                <c:pt idx="1005">
                  <c:v>-10</c:v>
                </c:pt>
                <c:pt idx="1006">
                  <c:v>0.6422901727620155</c:v>
                </c:pt>
                <c:pt idx="1007">
                  <c:v>-10</c:v>
                </c:pt>
                <c:pt idx="1008">
                  <c:v>-10</c:v>
                </c:pt>
                <c:pt idx="1009">
                  <c:v>1.1019922656513115</c:v>
                </c:pt>
                <c:pt idx="1010">
                  <c:v>-10</c:v>
                </c:pt>
                <c:pt idx="1011">
                  <c:v>-10</c:v>
                </c:pt>
                <c:pt idx="1012">
                  <c:v>1.4216529212729323</c:v>
                </c:pt>
                <c:pt idx="1013">
                  <c:v>-10</c:v>
                </c:pt>
                <c:pt idx="1014">
                  <c:v>-10</c:v>
                </c:pt>
                <c:pt idx="1015">
                  <c:v>1.4166843717370148</c:v>
                </c:pt>
                <c:pt idx="1016">
                  <c:v>-10</c:v>
                </c:pt>
                <c:pt idx="1017">
                  <c:v>-10</c:v>
                </c:pt>
                <c:pt idx="1018">
                  <c:v>1.5900891524523051</c:v>
                </c:pt>
                <c:pt idx="1019">
                  <c:v>-10</c:v>
                </c:pt>
                <c:pt idx="1020">
                  <c:v>-10</c:v>
                </c:pt>
                <c:pt idx="1021">
                  <c:v>1.0125698162280528</c:v>
                </c:pt>
                <c:pt idx="1022">
                  <c:v>-10</c:v>
                </c:pt>
                <c:pt idx="1023">
                  <c:v>-10</c:v>
                </c:pt>
                <c:pt idx="1024">
                  <c:v>1.2081845673711622</c:v>
                </c:pt>
                <c:pt idx="1025">
                  <c:v>-10</c:v>
                </c:pt>
                <c:pt idx="1026">
                  <c:v>-10</c:v>
                </c:pt>
                <c:pt idx="1027">
                  <c:v>0.72593376840041635</c:v>
                </c:pt>
                <c:pt idx="1028">
                  <c:v>-10</c:v>
                </c:pt>
                <c:pt idx="1029">
                  <c:v>-10</c:v>
                </c:pt>
                <c:pt idx="1030">
                  <c:v>0.4615911714748332</c:v>
                </c:pt>
                <c:pt idx="1031">
                  <c:v>-10</c:v>
                </c:pt>
                <c:pt idx="1032">
                  <c:v>-10</c:v>
                </c:pt>
                <c:pt idx="1033">
                  <c:v>0.34332804819537233</c:v>
                </c:pt>
                <c:pt idx="1034">
                  <c:v>-10</c:v>
                </c:pt>
                <c:pt idx="1035">
                  <c:v>-10</c:v>
                </c:pt>
                <c:pt idx="1036">
                  <c:v>0.53781466871399797</c:v>
                </c:pt>
                <c:pt idx="1037">
                  <c:v>-10</c:v>
                </c:pt>
                <c:pt idx="1038">
                  <c:v>-10</c:v>
                </c:pt>
                <c:pt idx="1039">
                  <c:v>0.33379944413460139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C6-4E50-8EB3-40DC9649A45E}"/>
            </c:ext>
          </c:extLst>
        </c:ser>
        <c:ser>
          <c:idx val="1"/>
          <c:order val="1"/>
          <c:tx>
            <c:v>5' Ladder</c:v>
          </c:tx>
          <c:spPr>
            <a:ln w="1270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00FF"/>
                        </a:solidFill>
                      </a:defRPr>
                    </a:pPr>
                    <a:r>
                      <a:rPr lang="en-US">
                        <a:solidFill>
                          <a:srgbClr val="0000FF"/>
                        </a:solidFill>
                      </a:rPr>
                      <a:t>c1 1-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1C-0BC6-4E50-8EB3-40DC9649A45E}"/>
                </c:ext>
              </c:extLst>
            </c:dLbl>
            <c:dLbl>
              <c:idx val="4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00FF"/>
                        </a:solidFill>
                      </a:defRPr>
                    </a:pPr>
                    <a:r>
                      <a:rPr lang="en-US">
                        <a:solidFill>
                          <a:srgbClr val="0000FF"/>
                        </a:solidFill>
                      </a:rPr>
                      <a:t>d1 1-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1F-0BC6-4E50-8EB3-40DC9649A45E}"/>
                </c:ext>
              </c:extLst>
            </c:dLbl>
            <c:dLbl>
              <c:idx val="1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00FF"/>
                        </a:solidFill>
                      </a:defRPr>
                    </a:pPr>
                    <a:r>
                      <a:rPr lang="en-US">
                        <a:solidFill>
                          <a:srgbClr val="0000FF"/>
                        </a:solidFill>
                      </a:rPr>
                      <a:t>a-B2 1-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25-0BC6-4E50-8EB3-40DC9649A45E}"/>
                </c:ext>
              </c:extLst>
            </c:dLbl>
            <c:dLbl>
              <c:idx val="16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00FF"/>
                        </a:solidFill>
                      </a:defRPr>
                    </a:pPr>
                    <a:r>
                      <a:rPr lang="en-US">
                        <a:solidFill>
                          <a:srgbClr val="0000FF"/>
                        </a:solidFill>
                      </a:rPr>
                      <a:t>b2 1-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2B-0BC6-4E50-8EB3-40DC9649A45E}"/>
                </c:ext>
              </c:extLst>
            </c:dLbl>
            <c:dLbl>
              <c:idx val="2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00FF"/>
                        </a:solidFill>
                      </a:defRPr>
                    </a:pPr>
                    <a:r>
                      <a:rPr lang="en-US">
                        <a:solidFill>
                          <a:srgbClr val="0000FF"/>
                        </a:solidFill>
                      </a:rPr>
                      <a:t>c2 1-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31-0BC6-4E50-8EB3-40DC9649A45E}"/>
                </c:ext>
              </c:extLst>
            </c:dLbl>
            <c:dLbl>
              <c:idx val="28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00FF"/>
                        </a:solidFill>
                      </a:defRPr>
                    </a:pPr>
                    <a:r>
                      <a:rPr lang="en-US">
                        <a:solidFill>
                          <a:srgbClr val="0000FF"/>
                        </a:solidFill>
                      </a:rPr>
                      <a:t>d2 1-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37-0BC6-4E50-8EB3-40DC9649A45E}"/>
                </c:ext>
              </c:extLst>
            </c:dLbl>
            <c:dLbl>
              <c:idx val="3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00FF"/>
                        </a:solidFill>
                      </a:defRPr>
                    </a:pPr>
                    <a:r>
                      <a:rPr lang="en-US">
                        <a:solidFill>
                          <a:srgbClr val="0000FF"/>
                        </a:solidFill>
                      </a:rPr>
                      <a:t>a-B3 1-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3A-0BC6-4E50-8EB3-40DC9649A45E}"/>
                </c:ext>
              </c:extLst>
            </c:dLbl>
            <c:dLbl>
              <c:idx val="34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00FF"/>
                        </a:solidFill>
                      </a:defRPr>
                    </a:pPr>
                    <a:r>
                      <a:rPr lang="en-US">
                        <a:solidFill>
                          <a:srgbClr val="0000FF"/>
                        </a:solidFill>
                      </a:rPr>
                      <a:t>a3 1-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3D-0BC6-4E50-8EB3-40DC9649A45E}"/>
                </c:ext>
              </c:extLst>
            </c:dLbl>
            <c:dLbl>
              <c:idx val="4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00FF"/>
                        </a:solidFill>
                      </a:defRPr>
                    </a:pPr>
                    <a:r>
                      <a:rPr lang="en-US">
                        <a:solidFill>
                          <a:srgbClr val="0000FF"/>
                        </a:solidFill>
                      </a:rPr>
                      <a:t>b3 1-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43-0BC6-4E50-8EB3-40DC9649A45E}"/>
                </c:ext>
              </c:extLst>
            </c:dLbl>
            <c:dLbl>
              <c:idx val="46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00FF"/>
                        </a:solidFill>
                      </a:defRPr>
                    </a:pPr>
                    <a:r>
                      <a:rPr lang="en-US">
                        <a:solidFill>
                          <a:srgbClr val="0000FF"/>
                        </a:solidFill>
                      </a:rPr>
                      <a:t>c3 1-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49-0BC6-4E50-8EB3-40DC9649A45E}"/>
                </c:ext>
              </c:extLst>
            </c:dLbl>
            <c:dLbl>
              <c:idx val="49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00FF"/>
                        </a:solidFill>
                      </a:defRPr>
                    </a:pPr>
                    <a:r>
                      <a:rPr lang="en-US">
                        <a:solidFill>
                          <a:srgbClr val="0000FF"/>
                        </a:solidFill>
                      </a:rPr>
                      <a:t>c7 2-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4C-0BC6-4E50-8EB3-40DC9649A45E}"/>
                </c:ext>
              </c:extLst>
            </c:dLbl>
            <c:dLbl>
              <c:idx val="5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00FF"/>
                        </a:solidFill>
                      </a:defRPr>
                    </a:pPr>
                    <a:r>
                      <a:rPr lang="en-US">
                        <a:solidFill>
                          <a:srgbClr val="0000FF"/>
                        </a:solidFill>
                      </a:rPr>
                      <a:t>c8 2-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4F-0BC6-4E50-8EB3-40DC9649A45E}"/>
                </c:ext>
              </c:extLst>
            </c:dLbl>
            <c:dLbl>
              <c:idx val="55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00FF"/>
                        </a:solidFill>
                      </a:defRPr>
                    </a:pPr>
                    <a:r>
                      <a:rPr lang="en-US">
                        <a:solidFill>
                          <a:srgbClr val="0000FF"/>
                        </a:solidFill>
                      </a:rPr>
                      <a:t>c13 3-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52-0BC6-4E50-8EB3-40DC9649A45E}"/>
                </c:ext>
              </c:extLst>
            </c:dLbl>
            <c:dLbl>
              <c:idx val="58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00FF"/>
                        </a:solidFill>
                      </a:defRPr>
                    </a:pPr>
                    <a:r>
                      <a:rPr lang="en-US">
                        <a:solidFill>
                          <a:srgbClr val="0000FF"/>
                        </a:solidFill>
                      </a:rPr>
                      <a:t>c9 2-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55-0BC6-4E50-8EB3-40DC9649A45E}"/>
                </c:ext>
              </c:extLst>
            </c:dLbl>
            <c:dLbl>
              <c:idx val="64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00FF"/>
                        </a:solidFill>
                      </a:defRPr>
                    </a:pPr>
                    <a:r>
                      <a:rPr lang="en-US">
                        <a:solidFill>
                          <a:srgbClr val="0000FF"/>
                        </a:solidFill>
                      </a:rPr>
                      <a:t>M minus A 3-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5B-0BC6-4E50-8EB3-40DC9649A45E}"/>
                </c:ext>
              </c:extLst>
            </c:dLbl>
            <c:dLbl>
              <c:idx val="7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00FF"/>
                        </a:solidFill>
                      </a:defRPr>
                    </a:pPr>
                    <a:r>
                      <a:rPr lang="en-US">
                        <a:solidFill>
                          <a:srgbClr val="0000FF"/>
                        </a:solidFill>
                      </a:rPr>
                      <a:t>M minus C 3-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61-0BC6-4E50-8EB3-40DC9649A45E}"/>
                </c:ext>
              </c:extLst>
            </c:dLbl>
            <c:dLbl>
              <c:idx val="73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00FF"/>
                        </a:solidFill>
                      </a:defRPr>
                    </a:pPr>
                    <a:r>
                      <a:rPr lang="en-US">
                        <a:solidFill>
                          <a:srgbClr val="0000FF"/>
                        </a:solidFill>
                      </a:rPr>
                      <a:t>c14 3-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64-0BC6-4E50-8EB3-40DC9649A45E}"/>
                </c:ext>
              </c:extLst>
            </c:dLbl>
            <c:dLbl>
              <c:idx val="8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00FF"/>
                        </a:solidFill>
                      </a:defRPr>
                    </a:pPr>
                    <a:r>
                      <a:rPr lang="en-US">
                        <a:solidFill>
                          <a:srgbClr val="0000FF"/>
                        </a:solidFill>
                      </a:rPr>
                      <a:t>M 3-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6D-0BC6-4E50-8EB3-40DC9649A45E}"/>
                </c:ext>
              </c:extLst>
            </c:dLbl>
            <c:dLbl>
              <c:idx val="88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00FF"/>
                        </a:solidFill>
                      </a:defRPr>
                    </a:pPr>
                    <a:r>
                      <a:rPr lang="en-US">
                        <a:solidFill>
                          <a:srgbClr val="0000FF"/>
                        </a:solidFill>
                      </a:rPr>
                      <a:t>c5 1-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73-0BC6-4E50-8EB3-40DC9649A45E}"/>
                </c:ext>
              </c:extLst>
            </c:dLbl>
            <c:dLbl>
              <c:idx val="9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00FF"/>
                        </a:solidFill>
                      </a:defRPr>
                    </a:pPr>
                    <a:r>
                      <a:rPr lang="en-US">
                        <a:solidFill>
                          <a:srgbClr val="0000FF"/>
                        </a:solidFill>
                      </a:rPr>
                      <a:t>c11 2-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76-0BC6-4E50-8EB3-40DC9649A45E}"/>
                </c:ext>
              </c:extLst>
            </c:dLbl>
            <c:dLbl>
              <c:idx val="10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00FF"/>
                        </a:solidFill>
                      </a:defRPr>
                    </a:pPr>
                    <a:r>
                      <a:rPr lang="en-US">
                        <a:solidFill>
                          <a:srgbClr val="0000FF"/>
                        </a:solidFill>
                      </a:rPr>
                      <a:t>c12 2-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7F-0BC6-4E50-8EB3-40DC9649A4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Plot!$C$2:$C$102</c:f>
              <c:numCache>
                <c:formatCode>0.000</c:formatCode>
                <c:ptCount val="101"/>
                <c:pt idx="0">
                  <c:v>328.04424353337902</c:v>
                </c:pt>
                <c:pt idx="1">
                  <c:v>328.04524353337899</c:v>
                </c:pt>
                <c:pt idx="2">
                  <c:v>328.04624353337897</c:v>
                </c:pt>
                <c:pt idx="3">
                  <c:v>346.05480353337902</c:v>
                </c:pt>
                <c:pt idx="4">
                  <c:v>346.05580353337899</c:v>
                </c:pt>
                <c:pt idx="5">
                  <c:v>346.05680353337897</c:v>
                </c:pt>
                <c:pt idx="6">
                  <c:v>442.07593353337899</c:v>
                </c:pt>
                <c:pt idx="7">
                  <c:v>442.07693353337896</c:v>
                </c:pt>
                <c:pt idx="8">
                  <c:v>442.07793353337894</c:v>
                </c:pt>
                <c:pt idx="9">
                  <c:v>442.07593353337899</c:v>
                </c:pt>
                <c:pt idx="10">
                  <c:v>442.07693353337896</c:v>
                </c:pt>
                <c:pt idx="11">
                  <c:v>442.07793353337894</c:v>
                </c:pt>
                <c:pt idx="12">
                  <c:v>595.14099353337906</c:v>
                </c:pt>
                <c:pt idx="13">
                  <c:v>595.14199353337904</c:v>
                </c:pt>
                <c:pt idx="14">
                  <c:v>595.14299353337901</c:v>
                </c:pt>
                <c:pt idx="15">
                  <c:v>595.14099353337906</c:v>
                </c:pt>
                <c:pt idx="16">
                  <c:v>595.14199353337904</c:v>
                </c:pt>
                <c:pt idx="17">
                  <c:v>595.14299353337901</c:v>
                </c:pt>
                <c:pt idx="18">
                  <c:v>657.09676353337909</c:v>
                </c:pt>
                <c:pt idx="19">
                  <c:v>657.09776353337907</c:v>
                </c:pt>
                <c:pt idx="20">
                  <c:v>657.09876353337904</c:v>
                </c:pt>
                <c:pt idx="21">
                  <c:v>657.09676353337909</c:v>
                </c:pt>
                <c:pt idx="22">
                  <c:v>657.09776353337907</c:v>
                </c:pt>
                <c:pt idx="23">
                  <c:v>657.09876353337904</c:v>
                </c:pt>
                <c:pt idx="24">
                  <c:v>675.10732353337903</c:v>
                </c:pt>
                <c:pt idx="25">
                  <c:v>675.10832353337901</c:v>
                </c:pt>
                <c:pt idx="26">
                  <c:v>675.10932353337898</c:v>
                </c:pt>
                <c:pt idx="27">
                  <c:v>675.10732353337903</c:v>
                </c:pt>
                <c:pt idx="28">
                  <c:v>675.10832353337901</c:v>
                </c:pt>
                <c:pt idx="29">
                  <c:v>675.10932353337898</c:v>
                </c:pt>
                <c:pt idx="30">
                  <c:v>771.128453533379</c:v>
                </c:pt>
                <c:pt idx="31">
                  <c:v>771.12945353337898</c:v>
                </c:pt>
                <c:pt idx="32">
                  <c:v>771.13045353337895</c:v>
                </c:pt>
                <c:pt idx="33">
                  <c:v>882.17172353337901</c:v>
                </c:pt>
                <c:pt idx="34">
                  <c:v>882.17272353337898</c:v>
                </c:pt>
                <c:pt idx="35">
                  <c:v>882.17372353337896</c:v>
                </c:pt>
                <c:pt idx="36">
                  <c:v>900.18228353337906</c:v>
                </c:pt>
                <c:pt idx="37">
                  <c:v>900.18328353337904</c:v>
                </c:pt>
                <c:pt idx="38">
                  <c:v>900.18428353337902</c:v>
                </c:pt>
                <c:pt idx="39">
                  <c:v>900.18228353337906</c:v>
                </c:pt>
                <c:pt idx="40">
                  <c:v>900.18328353337904</c:v>
                </c:pt>
                <c:pt idx="41">
                  <c:v>900.18428353337902</c:v>
                </c:pt>
                <c:pt idx="42">
                  <c:v>962.13805353337909</c:v>
                </c:pt>
                <c:pt idx="43">
                  <c:v>962.13905353337907</c:v>
                </c:pt>
                <c:pt idx="44">
                  <c:v>962.14005353337905</c:v>
                </c:pt>
                <c:pt idx="45">
                  <c:v>962.13805353337909</c:v>
                </c:pt>
                <c:pt idx="46">
                  <c:v>962.13905353337907</c:v>
                </c:pt>
                <c:pt idx="47">
                  <c:v>962.14005353337905</c:v>
                </c:pt>
                <c:pt idx="48">
                  <c:v>1117.652743533379</c:v>
                </c:pt>
                <c:pt idx="49">
                  <c:v>1117.6537435333789</c:v>
                </c:pt>
                <c:pt idx="50">
                  <c:v>1117.6547435333789</c:v>
                </c:pt>
                <c:pt idx="51">
                  <c:v>1282.179003533379</c:v>
                </c:pt>
                <c:pt idx="52">
                  <c:v>1282.180003533379</c:v>
                </c:pt>
                <c:pt idx="53">
                  <c:v>1282.181003533379</c:v>
                </c:pt>
                <c:pt idx="54">
                  <c:v>1380.8555768667122</c:v>
                </c:pt>
                <c:pt idx="55">
                  <c:v>1380.8565768667122</c:v>
                </c:pt>
                <c:pt idx="56">
                  <c:v>1380.8575768667122</c:v>
                </c:pt>
                <c:pt idx="57">
                  <c:v>1434.6996485333789</c:v>
                </c:pt>
                <c:pt idx="58">
                  <c:v>1434.7006485333789</c:v>
                </c:pt>
                <c:pt idx="59">
                  <c:v>1434.7016485333788</c:v>
                </c:pt>
                <c:pt idx="60">
                  <c:v>1445.521583533379</c:v>
                </c:pt>
                <c:pt idx="61">
                  <c:v>1445.522583533379</c:v>
                </c:pt>
                <c:pt idx="62">
                  <c:v>1445.523583533379</c:v>
                </c:pt>
                <c:pt idx="63">
                  <c:v>1445.521583533379</c:v>
                </c:pt>
                <c:pt idx="64">
                  <c:v>1445.522583533379</c:v>
                </c:pt>
                <c:pt idx="65">
                  <c:v>1445.523583533379</c:v>
                </c:pt>
                <c:pt idx="66">
                  <c:v>1453.5253302000456</c:v>
                </c:pt>
                <c:pt idx="67">
                  <c:v>1453.5263302000455</c:v>
                </c:pt>
                <c:pt idx="68">
                  <c:v>1453.5273302000455</c:v>
                </c:pt>
                <c:pt idx="69">
                  <c:v>1453.5253302000456</c:v>
                </c:pt>
                <c:pt idx="70">
                  <c:v>1453.5263302000455</c:v>
                </c:pt>
                <c:pt idx="71">
                  <c:v>1453.5273302000455</c:v>
                </c:pt>
                <c:pt idx="72">
                  <c:v>1484.5362268667122</c:v>
                </c:pt>
                <c:pt idx="73">
                  <c:v>1484.5372268667122</c:v>
                </c:pt>
                <c:pt idx="74">
                  <c:v>1484.5382268667122</c:v>
                </c:pt>
                <c:pt idx="75">
                  <c:v>1484.5362268667122</c:v>
                </c:pt>
                <c:pt idx="76">
                  <c:v>1484.5372268667122</c:v>
                </c:pt>
                <c:pt idx="77">
                  <c:v>1484.5382268667122</c:v>
                </c:pt>
                <c:pt idx="78">
                  <c:v>1490.5397502000458</c:v>
                </c:pt>
                <c:pt idx="79">
                  <c:v>1490.5407502000457</c:v>
                </c:pt>
                <c:pt idx="80">
                  <c:v>1490.5417502000457</c:v>
                </c:pt>
                <c:pt idx="81">
                  <c:v>1490.5397502000458</c:v>
                </c:pt>
                <c:pt idx="82">
                  <c:v>1490.5407502000457</c:v>
                </c:pt>
                <c:pt idx="83">
                  <c:v>1490.5417502000457</c:v>
                </c:pt>
                <c:pt idx="84">
                  <c:v>1602.2199535333789</c:v>
                </c:pt>
                <c:pt idx="85">
                  <c:v>1602.2209535333789</c:v>
                </c:pt>
                <c:pt idx="86">
                  <c:v>1602.2219535333788</c:v>
                </c:pt>
                <c:pt idx="87">
                  <c:v>1602.2199535333789</c:v>
                </c:pt>
                <c:pt idx="88">
                  <c:v>1602.2209535333789</c:v>
                </c:pt>
                <c:pt idx="89">
                  <c:v>1602.2219535333788</c:v>
                </c:pt>
                <c:pt idx="90">
                  <c:v>1754.7405985333789</c:v>
                </c:pt>
                <c:pt idx="91">
                  <c:v>1754.7415985333789</c:v>
                </c:pt>
                <c:pt idx="92">
                  <c:v>1754.7425985333789</c:v>
                </c:pt>
                <c:pt idx="93">
                  <c:v>1754.7405985333789</c:v>
                </c:pt>
                <c:pt idx="94">
                  <c:v>1754.7415985333789</c:v>
                </c:pt>
                <c:pt idx="95">
                  <c:v>1754.7425985333789</c:v>
                </c:pt>
                <c:pt idx="96">
                  <c:v>1907.261243533379</c:v>
                </c:pt>
                <c:pt idx="97">
                  <c:v>1907.262243533379</c:v>
                </c:pt>
                <c:pt idx="98">
                  <c:v>1907.263243533379</c:v>
                </c:pt>
                <c:pt idx="99">
                  <c:v>1907.261243533379</c:v>
                </c:pt>
                <c:pt idx="100">
                  <c:v>1907.262243533379</c:v>
                </c:pt>
              </c:numCache>
            </c:numRef>
          </c:xVal>
          <c:yVal>
            <c:numRef>
              <c:f>Plot!$D$2:$D$102</c:f>
              <c:numCache>
                <c:formatCode>0.0</c:formatCode>
                <c:ptCount val="101"/>
                <c:pt idx="0">
                  <c:v>-10</c:v>
                </c:pt>
                <c:pt idx="1">
                  <c:v>16.29342948228771</c:v>
                </c:pt>
                <c:pt idx="2">
                  <c:v>-10</c:v>
                </c:pt>
                <c:pt idx="3">
                  <c:v>-10</c:v>
                </c:pt>
                <c:pt idx="4">
                  <c:v>7.41016943579515</c:v>
                </c:pt>
                <c:pt idx="5">
                  <c:v>-10</c:v>
                </c:pt>
                <c:pt idx="6">
                  <c:v>-10</c:v>
                </c:pt>
                <c:pt idx="7">
                  <c:v>1.2475626654247653</c:v>
                </c:pt>
                <c:pt idx="8">
                  <c:v>-10</c:v>
                </c:pt>
                <c:pt idx="9">
                  <c:v>-10</c:v>
                </c:pt>
                <c:pt idx="10">
                  <c:v>1.7076303077386141</c:v>
                </c:pt>
                <c:pt idx="11">
                  <c:v>-10</c:v>
                </c:pt>
                <c:pt idx="12">
                  <c:v>-10</c:v>
                </c:pt>
                <c:pt idx="13">
                  <c:v>0.81980096377348288</c:v>
                </c:pt>
                <c:pt idx="14">
                  <c:v>-10</c:v>
                </c:pt>
                <c:pt idx="15">
                  <c:v>-10</c:v>
                </c:pt>
                <c:pt idx="16">
                  <c:v>1.0184020683282451</c:v>
                </c:pt>
                <c:pt idx="17">
                  <c:v>-10</c:v>
                </c:pt>
                <c:pt idx="18">
                  <c:v>-10</c:v>
                </c:pt>
                <c:pt idx="19">
                  <c:v>7.4416286977821944</c:v>
                </c:pt>
                <c:pt idx="20">
                  <c:v>-10</c:v>
                </c:pt>
                <c:pt idx="21">
                  <c:v>-10</c:v>
                </c:pt>
                <c:pt idx="22">
                  <c:v>11.878452233679502</c:v>
                </c:pt>
                <c:pt idx="23">
                  <c:v>-10</c:v>
                </c:pt>
                <c:pt idx="24">
                  <c:v>-10</c:v>
                </c:pt>
                <c:pt idx="25">
                  <c:v>2.4578890813634566</c:v>
                </c:pt>
                <c:pt idx="26">
                  <c:v>-10</c:v>
                </c:pt>
                <c:pt idx="27">
                  <c:v>-10</c:v>
                </c:pt>
                <c:pt idx="28">
                  <c:v>3.7481541526267566</c:v>
                </c:pt>
                <c:pt idx="29">
                  <c:v>-10</c:v>
                </c:pt>
                <c:pt idx="30">
                  <c:v>-10</c:v>
                </c:pt>
                <c:pt idx="31">
                  <c:v>3.4012472788123285</c:v>
                </c:pt>
                <c:pt idx="32">
                  <c:v>-10</c:v>
                </c:pt>
                <c:pt idx="33">
                  <c:v>-10</c:v>
                </c:pt>
                <c:pt idx="34">
                  <c:v>2.4598708094835988</c:v>
                </c:pt>
                <c:pt idx="35">
                  <c:v>-10</c:v>
                </c:pt>
                <c:pt idx="36">
                  <c:v>-10</c:v>
                </c:pt>
                <c:pt idx="37">
                  <c:v>0.39236105411635397</c:v>
                </c:pt>
                <c:pt idx="38">
                  <c:v>-10</c:v>
                </c:pt>
                <c:pt idx="39">
                  <c:v>-10</c:v>
                </c:pt>
                <c:pt idx="40">
                  <c:v>1.1248237035297357</c:v>
                </c:pt>
                <c:pt idx="41">
                  <c:v>-10</c:v>
                </c:pt>
                <c:pt idx="42">
                  <c:v>-10</c:v>
                </c:pt>
                <c:pt idx="43">
                  <c:v>4.7475347702586834</c:v>
                </c:pt>
                <c:pt idx="44">
                  <c:v>-10</c:v>
                </c:pt>
                <c:pt idx="45">
                  <c:v>-10</c:v>
                </c:pt>
                <c:pt idx="46">
                  <c:v>7.7059269126351433</c:v>
                </c:pt>
                <c:pt idx="47">
                  <c:v>-10</c:v>
                </c:pt>
                <c:pt idx="48">
                  <c:v>-10</c:v>
                </c:pt>
                <c:pt idx="49">
                  <c:v>1.8213678502499946</c:v>
                </c:pt>
                <c:pt idx="50">
                  <c:v>-10</c:v>
                </c:pt>
                <c:pt idx="51">
                  <c:v>-10</c:v>
                </c:pt>
                <c:pt idx="52">
                  <c:v>4.6867549850124783</c:v>
                </c:pt>
                <c:pt idx="53">
                  <c:v>-10</c:v>
                </c:pt>
                <c:pt idx="54">
                  <c:v>-10</c:v>
                </c:pt>
                <c:pt idx="55">
                  <c:v>1.7677575748933132</c:v>
                </c:pt>
                <c:pt idx="56">
                  <c:v>-10</c:v>
                </c:pt>
                <c:pt idx="57">
                  <c:v>-10</c:v>
                </c:pt>
                <c:pt idx="58">
                  <c:v>0.89860216277512173</c:v>
                </c:pt>
                <c:pt idx="59">
                  <c:v>-10</c:v>
                </c:pt>
                <c:pt idx="60">
                  <c:v>-10</c:v>
                </c:pt>
                <c:pt idx="61">
                  <c:v>2.2199244919450569</c:v>
                </c:pt>
                <c:pt idx="62">
                  <c:v>-10</c:v>
                </c:pt>
                <c:pt idx="63">
                  <c:v>-10</c:v>
                </c:pt>
                <c:pt idx="64">
                  <c:v>3.7682944846579081</c:v>
                </c:pt>
                <c:pt idx="65">
                  <c:v>-10</c:v>
                </c:pt>
                <c:pt idx="66">
                  <c:v>-10</c:v>
                </c:pt>
                <c:pt idx="67">
                  <c:v>1.2138621431535623</c:v>
                </c:pt>
                <c:pt idx="68">
                  <c:v>-10</c:v>
                </c:pt>
                <c:pt idx="69">
                  <c:v>-10</c:v>
                </c:pt>
                <c:pt idx="70">
                  <c:v>1.9742486769095458</c:v>
                </c:pt>
                <c:pt idx="71">
                  <c:v>-10</c:v>
                </c:pt>
                <c:pt idx="72">
                  <c:v>-10</c:v>
                </c:pt>
                <c:pt idx="73">
                  <c:v>1.054446838533778</c:v>
                </c:pt>
                <c:pt idx="74">
                  <c:v>-10</c:v>
                </c:pt>
                <c:pt idx="75">
                  <c:v>-10</c:v>
                </c:pt>
                <c:pt idx="76">
                  <c:v>0.4189724772472635</c:v>
                </c:pt>
                <c:pt idx="77">
                  <c:v>-10</c:v>
                </c:pt>
                <c:pt idx="78">
                  <c:v>-10</c:v>
                </c:pt>
                <c:pt idx="79">
                  <c:v>27.859467634277312</c:v>
                </c:pt>
                <c:pt idx="80">
                  <c:v>-10</c:v>
                </c:pt>
                <c:pt idx="81">
                  <c:v>-10</c:v>
                </c:pt>
                <c:pt idx="82">
                  <c:v>40.601501702449639</c:v>
                </c:pt>
                <c:pt idx="83">
                  <c:v>-10</c:v>
                </c:pt>
                <c:pt idx="84">
                  <c:v>-10</c:v>
                </c:pt>
                <c:pt idx="85">
                  <c:v>1.2900269163814944</c:v>
                </c:pt>
                <c:pt idx="86">
                  <c:v>-10</c:v>
                </c:pt>
                <c:pt idx="87">
                  <c:v>-10</c:v>
                </c:pt>
                <c:pt idx="88">
                  <c:v>2.0315263892128823</c:v>
                </c:pt>
                <c:pt idx="89">
                  <c:v>-10</c:v>
                </c:pt>
                <c:pt idx="90">
                  <c:v>-10</c:v>
                </c:pt>
                <c:pt idx="91">
                  <c:v>0.88343931820352783</c:v>
                </c:pt>
                <c:pt idx="92">
                  <c:v>-10</c:v>
                </c:pt>
                <c:pt idx="93">
                  <c:v>-10</c:v>
                </c:pt>
                <c:pt idx="94">
                  <c:v>0.75644157418477664</c:v>
                </c:pt>
                <c:pt idx="95">
                  <c:v>-10</c:v>
                </c:pt>
                <c:pt idx="96">
                  <c:v>-10</c:v>
                </c:pt>
                <c:pt idx="97">
                  <c:v>1.1019922656513115</c:v>
                </c:pt>
                <c:pt idx="98">
                  <c:v>-10</c:v>
                </c:pt>
                <c:pt idx="99">
                  <c:v>-10</c:v>
                </c:pt>
                <c:pt idx="100">
                  <c:v>1.4216529212729323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41A-0BC6-4E50-8EB3-40DC9649A45E}"/>
            </c:ext>
          </c:extLst>
        </c:ser>
        <c:ser>
          <c:idx val="2"/>
          <c:order val="2"/>
          <c:tx>
            <c:v>3' Ladder</c:v>
          </c:tx>
          <c:spPr>
            <a:ln w="12700" cap="rnd" cmpd="sng" algn="ctr">
              <a:solidFill>
                <a:srgbClr val="0096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9600"/>
                        </a:solidFill>
                      </a:defRPr>
                    </a:pPr>
                    <a:r>
                      <a:rPr lang="en-US">
                        <a:solidFill>
                          <a:srgbClr val="009600"/>
                        </a:solidFill>
                      </a:rPr>
                      <a:t>z1 1-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82-0BC6-4E50-8EB3-40DC9649A45E}"/>
                </c:ext>
              </c:extLst>
            </c:dLbl>
            <c:dLbl>
              <c:idx val="4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9600"/>
                        </a:solidFill>
                      </a:defRPr>
                    </a:pPr>
                    <a:r>
                      <a:rPr lang="en-US">
                        <a:solidFill>
                          <a:srgbClr val="009600"/>
                        </a:solidFill>
                      </a:rPr>
                      <a:t>x1 1-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85-0BC6-4E50-8EB3-40DC9649A45E}"/>
                </c:ext>
              </c:extLst>
            </c:dLbl>
            <c:dLbl>
              <c:idx val="7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9600"/>
                        </a:solidFill>
                      </a:defRPr>
                    </a:pPr>
                    <a:r>
                      <a:rPr lang="en-US">
                        <a:solidFill>
                          <a:srgbClr val="009600"/>
                        </a:solidFill>
                      </a:rPr>
                      <a:t>w1 1-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88-0BC6-4E50-8EB3-40DC9649A45E}"/>
                </c:ext>
              </c:extLst>
            </c:dLbl>
            <c:dLbl>
              <c:idx val="1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9600"/>
                        </a:solidFill>
                      </a:defRPr>
                    </a:pPr>
                    <a:r>
                      <a:rPr lang="en-US">
                        <a:solidFill>
                          <a:srgbClr val="009600"/>
                        </a:solidFill>
                      </a:rPr>
                      <a:t>z2 1-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8B-0BC6-4E50-8EB3-40DC9649A45E}"/>
                </c:ext>
              </c:extLst>
            </c:dLbl>
            <c:dLbl>
              <c:idx val="13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9600"/>
                        </a:solidFill>
                      </a:defRPr>
                    </a:pPr>
                    <a:r>
                      <a:rPr lang="en-US">
                        <a:solidFill>
                          <a:srgbClr val="009600"/>
                        </a:solidFill>
                      </a:rPr>
                      <a:t>x2 1-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8E-0BC6-4E50-8EB3-40DC9649A45E}"/>
                </c:ext>
              </c:extLst>
            </c:dLbl>
            <c:dLbl>
              <c:idx val="19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9600"/>
                        </a:solidFill>
                      </a:defRPr>
                    </a:pPr>
                    <a:r>
                      <a:rPr lang="en-US">
                        <a:solidFill>
                          <a:srgbClr val="009600"/>
                        </a:solidFill>
                      </a:rPr>
                      <a:t>w2 1-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94-0BC6-4E50-8EB3-40DC9649A45E}"/>
                </c:ext>
              </c:extLst>
            </c:dLbl>
            <c:dLbl>
              <c:idx val="2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9600"/>
                        </a:solidFill>
                      </a:defRPr>
                    </a:pPr>
                    <a:r>
                      <a:rPr lang="en-US">
                        <a:solidFill>
                          <a:srgbClr val="009600"/>
                        </a:solidFill>
                      </a:rPr>
                      <a:t>w3 1-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97-0BC6-4E50-8EB3-40DC9649A45E}"/>
                </c:ext>
              </c:extLst>
            </c:dLbl>
            <c:dLbl>
              <c:idx val="28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9600"/>
                        </a:solidFill>
                      </a:defRPr>
                    </a:pPr>
                    <a:r>
                      <a:rPr lang="en-US">
                        <a:solidFill>
                          <a:srgbClr val="009600"/>
                        </a:solidFill>
                      </a:rPr>
                      <a:t>z4 1-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9D-0BC6-4E50-8EB3-40DC9649A45E}"/>
                </c:ext>
              </c:extLst>
            </c:dLbl>
            <c:dLbl>
              <c:idx val="3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9600"/>
                        </a:solidFill>
                      </a:defRPr>
                    </a:pPr>
                    <a:r>
                      <a:rPr lang="en-US">
                        <a:solidFill>
                          <a:srgbClr val="009600"/>
                        </a:solidFill>
                      </a:rPr>
                      <a:t>x4 1-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A0-0BC6-4E50-8EB3-40DC9649A45E}"/>
                </c:ext>
              </c:extLst>
            </c:dLbl>
            <c:dLbl>
              <c:idx val="34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600">
                        <a:solidFill>
                          <a:srgbClr val="009600"/>
                        </a:solidFill>
                      </a:defRPr>
                    </a:pPr>
                    <a:r>
                      <a:rPr lang="en-US">
                        <a:solidFill>
                          <a:srgbClr val="009600"/>
                        </a:solidFill>
                      </a:rPr>
                      <a:t>w5 1-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4A3-0BC6-4E50-8EB3-40DC9649A4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0096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Plot!$G$2:$G$36</c:f>
              <c:numCache>
                <c:formatCode>0.000</c:formatCode>
                <c:ptCount val="35"/>
                <c:pt idx="0">
                  <c:v>310.03368353337902</c:v>
                </c:pt>
                <c:pt idx="1">
                  <c:v>310.034683533379</c:v>
                </c:pt>
                <c:pt idx="2">
                  <c:v>310.03568353337897</c:v>
                </c:pt>
                <c:pt idx="3">
                  <c:v>390.00001353337899</c:v>
                </c:pt>
                <c:pt idx="4">
                  <c:v>390.00101353337897</c:v>
                </c:pt>
                <c:pt idx="5">
                  <c:v>390.00201353337894</c:v>
                </c:pt>
                <c:pt idx="6">
                  <c:v>408.01057353337899</c:v>
                </c:pt>
                <c:pt idx="7">
                  <c:v>408.01157353337896</c:v>
                </c:pt>
                <c:pt idx="8">
                  <c:v>408.01257353337894</c:v>
                </c:pt>
                <c:pt idx="9">
                  <c:v>639.08620353337903</c:v>
                </c:pt>
                <c:pt idx="10">
                  <c:v>639.08720353337901</c:v>
                </c:pt>
                <c:pt idx="11">
                  <c:v>639.08820353337899</c:v>
                </c:pt>
                <c:pt idx="12">
                  <c:v>719.05253353337901</c:v>
                </c:pt>
                <c:pt idx="13">
                  <c:v>719.05353353337898</c:v>
                </c:pt>
                <c:pt idx="14">
                  <c:v>719.05453353337896</c:v>
                </c:pt>
                <c:pt idx="15">
                  <c:v>737.06309353337906</c:v>
                </c:pt>
                <c:pt idx="16">
                  <c:v>737.06409353337904</c:v>
                </c:pt>
                <c:pt idx="17">
                  <c:v>737.06509353337901</c:v>
                </c:pt>
                <c:pt idx="18">
                  <c:v>737.06309353337906</c:v>
                </c:pt>
                <c:pt idx="19">
                  <c:v>737.06409353337904</c:v>
                </c:pt>
                <c:pt idx="20">
                  <c:v>737.06509353337901</c:v>
                </c:pt>
                <c:pt idx="21">
                  <c:v>1042.104383533379</c:v>
                </c:pt>
                <c:pt idx="22">
                  <c:v>1042.1053835333789</c:v>
                </c:pt>
                <c:pt idx="23">
                  <c:v>1042.1063835333789</c:v>
                </c:pt>
                <c:pt idx="24">
                  <c:v>1042.104383533379</c:v>
                </c:pt>
                <c:pt idx="25">
                  <c:v>1042.1053835333789</c:v>
                </c:pt>
                <c:pt idx="26">
                  <c:v>1042.1063835333789</c:v>
                </c:pt>
                <c:pt idx="27">
                  <c:v>1264.1684335333789</c:v>
                </c:pt>
                <c:pt idx="28">
                  <c:v>1264.1694335333789</c:v>
                </c:pt>
                <c:pt idx="29">
                  <c:v>1264.1704335333789</c:v>
                </c:pt>
                <c:pt idx="30">
                  <c:v>1344.1347735333788</c:v>
                </c:pt>
                <c:pt idx="31">
                  <c:v>1344.1357735333788</c:v>
                </c:pt>
                <c:pt idx="32">
                  <c:v>1344.1367735333788</c:v>
                </c:pt>
                <c:pt idx="33">
                  <c:v>1682.1862835333789</c:v>
                </c:pt>
                <c:pt idx="34">
                  <c:v>1682.1872835333788</c:v>
                </c:pt>
              </c:numCache>
            </c:numRef>
          </c:xVal>
          <c:yVal>
            <c:numRef>
              <c:f>Plot!$H$2:$H$36</c:f>
              <c:numCache>
                <c:formatCode>0.0</c:formatCode>
                <c:ptCount val="35"/>
                <c:pt idx="0">
                  <c:v>-10</c:v>
                </c:pt>
                <c:pt idx="1">
                  <c:v>10.142162470922031</c:v>
                </c:pt>
                <c:pt idx="2">
                  <c:v>-10</c:v>
                </c:pt>
                <c:pt idx="3">
                  <c:v>-10</c:v>
                </c:pt>
                <c:pt idx="4">
                  <c:v>4.4630797458090106</c:v>
                </c:pt>
                <c:pt idx="5">
                  <c:v>-10</c:v>
                </c:pt>
                <c:pt idx="6">
                  <c:v>-10</c:v>
                </c:pt>
                <c:pt idx="7">
                  <c:v>23.59041335491602</c:v>
                </c:pt>
                <c:pt idx="8">
                  <c:v>-10</c:v>
                </c:pt>
                <c:pt idx="9">
                  <c:v>-10</c:v>
                </c:pt>
                <c:pt idx="10">
                  <c:v>7.110769047334772</c:v>
                </c:pt>
                <c:pt idx="11">
                  <c:v>-10</c:v>
                </c:pt>
                <c:pt idx="12">
                  <c:v>-10</c:v>
                </c:pt>
                <c:pt idx="13">
                  <c:v>5.9783719654594938</c:v>
                </c:pt>
                <c:pt idx="14">
                  <c:v>-10</c:v>
                </c:pt>
                <c:pt idx="15">
                  <c:v>-10</c:v>
                </c:pt>
                <c:pt idx="16">
                  <c:v>5.3284399749571518</c:v>
                </c:pt>
                <c:pt idx="17">
                  <c:v>-10</c:v>
                </c:pt>
                <c:pt idx="18">
                  <c:v>-10</c:v>
                </c:pt>
                <c:pt idx="19">
                  <c:v>8.4824935848393093</c:v>
                </c:pt>
                <c:pt idx="20">
                  <c:v>-10</c:v>
                </c:pt>
                <c:pt idx="21">
                  <c:v>-10</c:v>
                </c:pt>
                <c:pt idx="22">
                  <c:v>0.74133578027089786</c:v>
                </c:pt>
                <c:pt idx="23">
                  <c:v>-10</c:v>
                </c:pt>
                <c:pt idx="24">
                  <c:v>-10</c:v>
                </c:pt>
                <c:pt idx="25">
                  <c:v>0.53513833078458561</c:v>
                </c:pt>
                <c:pt idx="26">
                  <c:v>-10</c:v>
                </c:pt>
                <c:pt idx="27">
                  <c:v>-10</c:v>
                </c:pt>
                <c:pt idx="28">
                  <c:v>0.47134844808080917</c:v>
                </c:pt>
                <c:pt idx="29">
                  <c:v>-10</c:v>
                </c:pt>
                <c:pt idx="30">
                  <c:v>-10</c:v>
                </c:pt>
                <c:pt idx="31">
                  <c:v>0.38849374311494134</c:v>
                </c:pt>
                <c:pt idx="32">
                  <c:v>-10</c:v>
                </c:pt>
                <c:pt idx="33">
                  <c:v>-10</c:v>
                </c:pt>
                <c:pt idx="34">
                  <c:v>0.53474192174122293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480-0BC6-4E50-8EB3-40DC9649A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312832"/>
        <c:axId val="1000313248"/>
      </c:scatterChart>
      <c:valAx>
        <c:axId val="1000312832"/>
        <c:scaling>
          <c:orientation val="minMax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m/z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635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000313248"/>
        <c:crosses val="autoZero"/>
        <c:crossBetween val="midCat"/>
      </c:valAx>
      <c:valAx>
        <c:axId val="1000313248"/>
        <c:scaling>
          <c:orientation val="minMax"/>
          <c:max val="10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Relative Intensity (%)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635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000312832"/>
        <c:crosses val="autoZero"/>
        <c:crossBetween val="midCat"/>
      </c:valAx>
    </c:plotArea>
    <c:legend>
      <c:legendPos val="r"/>
      <c:overlay val="1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AE2DC84-5375-4E78-BFDB-F5ECB6D59C58}">
  <sheetPr/>
  <sheetViews>
    <sheetView zoomScale="11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23</xdr:row>
          <xdr:rowOff>114300</xdr:rowOff>
        </xdr:from>
        <xdr:to>
          <xdr:col>0</xdr:col>
          <xdr:colOff>2409825</xdr:colOff>
          <xdr:row>28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Match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7545" cy="628479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0.81679</cdr:x>
      <cdr:y>0.01009</cdr:y>
    </cdr:from>
    <cdr:to>
      <cdr:x>1</cdr:x>
      <cdr:y>0.31292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B4B7725-629B-4A0B-B5EB-E666B8F66B68}"/>
            </a:ext>
          </a:extLst>
        </cdr:cNvPr>
        <cdr:cNvSpPr txBox="1"/>
      </cdr:nvSpPr>
      <cdr:spPr>
        <a:xfrm xmlns:a="http://schemas.openxmlformats.org/drawingml/2006/main">
          <a:off x="5715000" y="50800"/>
          <a:ext cx="127000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pPr indent="0"/>
          <a:r>
            <a:rPr lang="en-US" sz="800"/>
            <a:t>20220525_WRMnew_B.raw FTMS - c ESI d Full ms2 1490.8749@hcd30.00 [156.0000-2000.0000] </a:t>
          </a:r>
        </a:p>
        <a:p xmlns:a="http://schemas.openxmlformats.org/drawingml/2006/main">
          <a:r>
            <a:rPr lang="en-US" sz="800"/>
            <a:t>Scan #: 39256-39398</a:t>
          </a:r>
        </a:p>
        <a:p xmlns:a="http://schemas.openxmlformats.org/drawingml/2006/main">
          <a:r>
            <a:rPr lang="en-US" sz="800"/>
            <a:t>NL: 5.24E4</a:t>
          </a:r>
        </a:p>
        <a:p xmlns:a="http://schemas.openxmlformats.org/drawingml/2006/main">
          <a:r>
            <a:rPr lang="en-US" sz="800"/>
            <a:t>RT: 191.98-192.64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D847F-C5BA-457C-9143-98142259D212}">
  <sheetPr codeName="Sheet7"/>
  <dimension ref="A1:BB106"/>
  <sheetViews>
    <sheetView tabSelected="1" topLeftCell="Q22" zoomScale="112" zoomScaleNormal="112" workbookViewId="0">
      <selection activeCell="U35" sqref="U35"/>
    </sheetView>
  </sheetViews>
  <sheetFormatPr defaultColWidth="9.28515625" defaultRowHeight="15" x14ac:dyDescent="0.25"/>
  <cols>
    <col min="1" max="1" width="66.7109375" style="1" customWidth="1"/>
    <col min="2" max="3" width="9.28515625" style="1" customWidth="1"/>
    <col min="4" max="4" width="9.28515625" style="29" customWidth="1"/>
    <col min="5" max="22" width="9.28515625" style="1" customWidth="1"/>
    <col min="23" max="23" width="9.28515625" style="1"/>
    <col min="24" max="24" width="18.85546875" style="1" bestFit="1" customWidth="1"/>
    <col min="25" max="25" width="24.5703125" style="1" bestFit="1" customWidth="1"/>
    <col min="26" max="33" width="9.28515625" style="1"/>
    <col min="34" max="34" width="10.140625" style="1" customWidth="1"/>
    <col min="35" max="16384" width="9.28515625" style="1"/>
  </cols>
  <sheetData>
    <row r="1" spans="1:54" ht="59.25" customHeight="1" x14ac:dyDescent="0.25">
      <c r="A1" s="64" t="s">
        <v>221</v>
      </c>
      <c r="B1" s="23"/>
      <c r="C1" s="23"/>
      <c r="D1" s="63" t="s">
        <v>35</v>
      </c>
      <c r="E1" s="25"/>
      <c r="F1" s="23"/>
      <c r="G1" s="23"/>
      <c r="H1" s="23"/>
      <c r="I1" s="23"/>
      <c r="J1" s="23"/>
      <c r="K1" s="23"/>
      <c r="L1" s="23"/>
      <c r="M1" s="1">
        <f>COLUMN()</f>
        <v>13</v>
      </c>
      <c r="N1" s="1">
        <f>COLUMN()</f>
        <v>14</v>
      </c>
      <c r="O1" s="1">
        <f>COLUMN()</f>
        <v>15</v>
      </c>
      <c r="P1" s="1">
        <f>COLUMN()</f>
        <v>16</v>
      </c>
      <c r="Q1" s="1">
        <f>COLUMN()</f>
        <v>17</v>
      </c>
      <c r="R1" s="1">
        <f>COLUMN()</f>
        <v>18</v>
      </c>
      <c r="S1" s="24" t="str">
        <f ca="1">CONCATENATE(M5,M4," ",N5,N4," ",O5,O4," ",P5,P4," ",Q5,Q4)</f>
        <v>C136 H174 N50 O97 P14</v>
      </c>
      <c r="T1" s="1" t="s">
        <v>124</v>
      </c>
      <c r="U1" s="23"/>
      <c r="V1" s="23"/>
      <c r="X1" s="1" t="s">
        <v>51</v>
      </c>
      <c r="AK1" s="1" t="b">
        <v>1</v>
      </c>
      <c r="AM1" s="1">
        <v>1239.13756516278</v>
      </c>
      <c r="AN1" s="1">
        <f>AM1-2*AF33</f>
        <v>1237.1230122295381</v>
      </c>
      <c r="AO1" s="1">
        <f>AN1/2</f>
        <v>618.56150611476903</v>
      </c>
      <c r="AV1" s="1" t="s">
        <v>105</v>
      </c>
    </row>
    <row r="2" spans="1:54" x14ac:dyDescent="0.25">
      <c r="A2" s="64"/>
      <c r="C2" s="23"/>
      <c r="D2" s="63"/>
      <c r="E2" s="23"/>
      <c r="F2" s="23"/>
      <c r="G2" s="23"/>
      <c r="H2" s="23"/>
      <c r="I2" s="23"/>
      <c r="J2" s="23"/>
      <c r="K2" s="23"/>
      <c r="L2" s="2" t="s">
        <v>33</v>
      </c>
      <c r="M2" s="23">
        <f ca="1">M$4*Y33</f>
        <v>1632</v>
      </c>
      <c r="N2" s="23">
        <f t="shared" ref="M2:R3" ca="1" si="0">N$4*Z33</f>
        <v>175.36155560801998</v>
      </c>
      <c r="O2" s="23">
        <f t="shared" ca="1" si="0"/>
        <v>700.1537002215</v>
      </c>
      <c r="P2" s="23">
        <f t="shared" ca="1" si="0"/>
        <v>1551.5067180982901</v>
      </c>
      <c r="Q2" s="23">
        <f t="shared" ca="1" si="0"/>
        <v>433.63266797787998</v>
      </c>
      <c r="R2" s="23">
        <f t="shared" ca="1" si="0"/>
        <v>0</v>
      </c>
      <c r="S2" s="24"/>
      <c r="T2" s="1" t="str">
        <f>LEFT(S7,LEN(S7)-1)</f>
        <v>AACVVCAACVVCAA</v>
      </c>
      <c r="U2" s="23"/>
      <c r="V2" s="23"/>
      <c r="X2" s="1" t="s">
        <v>19</v>
      </c>
      <c r="Y2" s="1" t="s">
        <v>1</v>
      </c>
      <c r="AA2" s="1" t="s">
        <v>2</v>
      </c>
      <c r="AB2" s="1" t="s">
        <v>3</v>
      </c>
      <c r="AC2" s="1" t="s">
        <v>4</v>
      </c>
      <c r="AD2" s="1" t="s">
        <v>5</v>
      </c>
      <c r="AE2" s="1" t="s">
        <v>6</v>
      </c>
      <c r="AF2" s="1" t="s">
        <v>16</v>
      </c>
      <c r="AG2" s="1" t="s">
        <v>30</v>
      </c>
      <c r="AH2" s="1" t="s">
        <v>31</v>
      </c>
      <c r="AK2" s="1" t="b">
        <v>0</v>
      </c>
      <c r="AY2" s="1" t="s">
        <v>2</v>
      </c>
      <c r="AZ2" s="1" t="s">
        <v>3</v>
      </c>
      <c r="BA2" s="1" t="s">
        <v>4</v>
      </c>
      <c r="BB2" s="1" t="s">
        <v>5</v>
      </c>
    </row>
    <row r="3" spans="1:54" x14ac:dyDescent="0.25">
      <c r="A3" s="64"/>
      <c r="B3" s="23">
        <f>LEN(A7)</f>
        <v>59</v>
      </c>
      <c r="C3" s="23"/>
      <c r="D3" s="63"/>
      <c r="E3" s="23"/>
      <c r="F3" s="23"/>
      <c r="G3" s="23"/>
      <c r="H3" s="23"/>
      <c r="I3" s="23"/>
      <c r="J3" s="23"/>
      <c r="K3" s="23"/>
      <c r="L3" s="2" t="s">
        <v>34</v>
      </c>
      <c r="M3" s="23">
        <f t="shared" ca="1" si="0"/>
        <v>1633.4959999999999</v>
      </c>
      <c r="N3" s="23">
        <f t="shared" ca="1" si="0"/>
        <v>175.38156000000001</v>
      </c>
      <c r="O3" s="23">
        <f t="shared" ca="1" si="0"/>
        <v>700.33699999999999</v>
      </c>
      <c r="P3" s="23">
        <f t="shared" ca="1" si="0"/>
        <v>1551.9418000000001</v>
      </c>
      <c r="Q3" s="23">
        <f t="shared" ca="1" si="0"/>
        <v>433.63266800000002</v>
      </c>
      <c r="R3" s="23">
        <f t="shared" ca="1" si="0"/>
        <v>0</v>
      </c>
      <c r="S3" s="25"/>
      <c r="T3" s="24"/>
      <c r="U3" s="23"/>
      <c r="V3" s="23"/>
      <c r="X3" s="4" t="s">
        <v>0</v>
      </c>
      <c r="Y3" s="4" t="s">
        <v>118</v>
      </c>
      <c r="Z3" s="4"/>
      <c r="AA3" s="4">
        <v>5</v>
      </c>
      <c r="AB3" s="4">
        <v>4</v>
      </c>
      <c r="AC3" s="4">
        <v>5</v>
      </c>
      <c r="AD3" s="4">
        <v>0</v>
      </c>
      <c r="AE3" s="4">
        <v>0</v>
      </c>
      <c r="AF3" s="4">
        <v>0</v>
      </c>
      <c r="AG3" s="1">
        <f>B$3-LEN(SUBSTITUTE(A$7,X3,""))</f>
        <v>6</v>
      </c>
      <c r="AH3" s="1">
        <f>FIND(X3,A$7)</f>
        <v>3</v>
      </c>
      <c r="AV3" s="1" t="s">
        <v>0</v>
      </c>
      <c r="AW3" s="1" t="s">
        <v>9</v>
      </c>
      <c r="AY3" s="1">
        <v>10</v>
      </c>
      <c r="AZ3" s="1">
        <v>13</v>
      </c>
      <c r="BA3" s="1">
        <v>5</v>
      </c>
      <c r="BB3" s="1">
        <v>4</v>
      </c>
    </row>
    <row r="4" spans="1:54" x14ac:dyDescent="0.25">
      <c r="A4" s="1" t="s">
        <v>124</v>
      </c>
      <c r="B4" s="18">
        <f>B3-LEN(SUBSTITUTE(A7,"-",""))</f>
        <v>15</v>
      </c>
      <c r="C4" s="23"/>
      <c r="D4" s="63"/>
      <c r="E4" s="23"/>
      <c r="F4" s="23"/>
      <c r="G4" s="23"/>
      <c r="H4" s="23"/>
      <c r="I4" s="23"/>
      <c r="J4" s="23"/>
      <c r="K4" s="23"/>
      <c r="L4" s="23" t="s">
        <v>32</v>
      </c>
      <c r="M4" s="23">
        <f ca="1">SUM(M6:M105)</f>
        <v>136</v>
      </c>
      <c r="N4" s="23">
        <f t="shared" ref="N4:R4" ca="1" si="1">SUM(N6:N105)</f>
        <v>174</v>
      </c>
      <c r="O4" s="23">
        <f t="shared" ca="1" si="1"/>
        <v>50</v>
      </c>
      <c r="P4" s="23">
        <f t="shared" ca="1" si="1"/>
        <v>97</v>
      </c>
      <c r="Q4" s="23">
        <f t="shared" ca="1" si="1"/>
        <v>14</v>
      </c>
      <c r="R4" s="23">
        <f t="shared" ca="1" si="1"/>
        <v>0</v>
      </c>
      <c r="S4" s="23"/>
      <c r="T4" s="24"/>
      <c r="U4" s="23"/>
      <c r="V4" s="23"/>
      <c r="X4" s="4" t="s">
        <v>7</v>
      </c>
      <c r="Y4" s="4" t="s">
        <v>117</v>
      </c>
      <c r="Z4" s="4"/>
      <c r="AA4" s="4">
        <v>5</v>
      </c>
      <c r="AB4" s="4">
        <v>4</v>
      </c>
      <c r="AC4" s="4">
        <v>5</v>
      </c>
      <c r="AD4" s="4">
        <v>1</v>
      </c>
      <c r="AE4" s="4">
        <v>0</v>
      </c>
      <c r="AF4" s="4">
        <v>0</v>
      </c>
      <c r="AG4" s="1">
        <f>B$3-LEN(SUBSTITUTE(A$7,X4,""))</f>
        <v>0</v>
      </c>
      <c r="AH4" s="1" t="e">
        <f>FIND(X4,A$7)</f>
        <v>#VALUE!</v>
      </c>
      <c r="AK4" s="34">
        <v>0</v>
      </c>
      <c r="AV4" s="1" t="s">
        <v>7</v>
      </c>
      <c r="AW4" s="1" t="s">
        <v>10</v>
      </c>
      <c r="AY4" s="1">
        <v>10</v>
      </c>
      <c r="AZ4" s="1">
        <v>13</v>
      </c>
      <c r="BA4" s="1">
        <v>5</v>
      </c>
      <c r="BB4" s="1">
        <v>5</v>
      </c>
    </row>
    <row r="5" spans="1:54" x14ac:dyDescent="0.25">
      <c r="A5" s="4" t="s">
        <v>345</v>
      </c>
      <c r="B5" s="23" t="s">
        <v>21</v>
      </c>
      <c r="C5" s="23"/>
      <c r="D5" s="63"/>
      <c r="E5" s="23"/>
      <c r="F5" s="23"/>
      <c r="G5" s="23"/>
      <c r="H5" s="23"/>
      <c r="I5" s="23"/>
      <c r="J5" s="23"/>
      <c r="K5" s="23"/>
      <c r="L5" s="23"/>
      <c r="M5" s="1" t="s">
        <v>2</v>
      </c>
      <c r="N5" s="1" t="s">
        <v>3</v>
      </c>
      <c r="O5" s="1" t="s">
        <v>4</v>
      </c>
      <c r="P5" s="1" t="s">
        <v>5</v>
      </c>
      <c r="Q5" s="1" t="s">
        <v>6</v>
      </c>
      <c r="R5" s="1" t="s">
        <v>16</v>
      </c>
      <c r="S5" s="23"/>
      <c r="T5" s="24"/>
      <c r="U5" s="23"/>
      <c r="V5" s="23"/>
      <c r="X5" s="4" t="s">
        <v>8</v>
      </c>
      <c r="Y5" s="4" t="s">
        <v>142</v>
      </c>
      <c r="Z5" s="4"/>
      <c r="AA5" s="4">
        <v>5</v>
      </c>
      <c r="AB5" s="4">
        <v>5</v>
      </c>
      <c r="AC5" s="4">
        <v>2</v>
      </c>
      <c r="AD5" s="4">
        <v>2</v>
      </c>
      <c r="AE5" s="4">
        <v>0</v>
      </c>
      <c r="AF5" s="4">
        <v>0</v>
      </c>
      <c r="AG5" s="1">
        <f>B$3-LEN(SUBSTITUTE(A$7,X5,""))</f>
        <v>4</v>
      </c>
      <c r="AH5" s="1">
        <f>FIND(X5,A$7)</f>
        <v>15</v>
      </c>
      <c r="AK5" s="35">
        <v>0.25</v>
      </c>
      <c r="AV5" s="1" t="s">
        <v>2</v>
      </c>
      <c r="AW5" s="1" t="s">
        <v>11</v>
      </c>
      <c r="AY5" s="1">
        <v>9</v>
      </c>
      <c r="AZ5" s="1">
        <v>13</v>
      </c>
      <c r="BA5" s="1">
        <v>3</v>
      </c>
      <c r="BB5" s="1">
        <v>5</v>
      </c>
    </row>
    <row r="6" spans="1:54" x14ac:dyDescent="0.25">
      <c r="A6" s="53"/>
      <c r="B6" s="23">
        <v>0</v>
      </c>
      <c r="C6" s="1">
        <v>5</v>
      </c>
      <c r="F6" s="23">
        <v>5</v>
      </c>
      <c r="G6" s="23"/>
      <c r="H6" s="23"/>
      <c r="I6" s="23">
        <f>IF(F6="","",MATCH(F6,$X:$X,0))</f>
        <v>24</v>
      </c>
      <c r="J6" s="23" t="str">
        <f t="shared" ref="J6:K21" si="2">IF(G6="","",MATCH(G6,$X:$X,0))</f>
        <v/>
      </c>
      <c r="K6" s="23" t="str">
        <f t="shared" si="2"/>
        <v/>
      </c>
      <c r="L6" s="23"/>
      <c r="M6" s="23" cm="1">
        <f t="array" aca="1" ref="M6" ca="1">INDIRECT(ADDRESS($I6,COLUMN(AA$1)))</f>
        <v>0</v>
      </c>
      <c r="N6" s="23" cm="1">
        <f t="array" aca="1" ref="N6" ca="1">INDIRECT(ADDRESS($I6,COLUMN(AB$1)))</f>
        <v>1</v>
      </c>
      <c r="O6" s="23" cm="1">
        <f t="array" aca="1" ref="O6" ca="1">INDIRECT(ADDRESS($I6,COLUMN(AC$1)))</f>
        <v>0</v>
      </c>
      <c r="P6" s="23" cm="1">
        <f t="array" aca="1" ref="P6" ca="1">INDIRECT(ADDRESS($I6,COLUMN(AD$1)))</f>
        <v>1</v>
      </c>
      <c r="Q6" s="23" cm="1">
        <f t="array" aca="1" ref="Q6" ca="1">INDIRECT(ADDRESS($I6,COLUMN(AE$1)))</f>
        <v>0</v>
      </c>
      <c r="R6" s="23" cm="1">
        <f t="array" aca="1" ref="R6" ca="1">INDIRECT(ADDRESS($I6,COLUMN(AF$1)))</f>
        <v>0</v>
      </c>
      <c r="S6" s="23"/>
      <c r="T6" s="24"/>
      <c r="U6" s="23"/>
      <c r="V6" s="23"/>
      <c r="X6" s="4" t="s">
        <v>2</v>
      </c>
      <c r="Y6" s="4" t="s">
        <v>143</v>
      </c>
      <c r="Z6" s="4"/>
      <c r="AA6" s="4">
        <v>4</v>
      </c>
      <c r="AB6" s="4">
        <v>4</v>
      </c>
      <c r="AC6" s="4">
        <v>3</v>
      </c>
      <c r="AD6" s="4">
        <v>1</v>
      </c>
      <c r="AE6" s="4">
        <v>0</v>
      </c>
      <c r="AF6" s="4">
        <v>0</v>
      </c>
      <c r="AG6" s="1">
        <f>B$3-LEN(SUBSTITUTE(A$7,X6,""))</f>
        <v>4</v>
      </c>
      <c r="AH6" s="1">
        <f>FIND(X6,A$7)</f>
        <v>11</v>
      </c>
      <c r="AK6" s="36">
        <f>AK5*2</f>
        <v>0.5</v>
      </c>
      <c r="AV6" s="1" t="s">
        <v>8</v>
      </c>
      <c r="AW6" s="1" t="s">
        <v>23</v>
      </c>
      <c r="AY6" s="1">
        <v>10</v>
      </c>
      <c r="AZ6" s="1">
        <v>14</v>
      </c>
      <c r="BA6" s="1">
        <v>2</v>
      </c>
      <c r="BB6" s="1">
        <v>6</v>
      </c>
    </row>
    <row r="7" spans="1:54" x14ac:dyDescent="0.25">
      <c r="A7" s="54" t="str">
        <f>A39</f>
        <v>5-Arp-Arp-Crp-Vrp-Vrp-Crp-Arp-Arp-Crp-Vrp-Vrp-Crp-Arp-Arp-3</v>
      </c>
      <c r="B7" s="1">
        <v>1</v>
      </c>
      <c r="C7" s="1" t="str">
        <f>IF(B7&lt;=B$4,MID(A$7,(B7-1)*4+3,3),"")</f>
        <v>Arp</v>
      </c>
      <c r="F7" s="23" t="str">
        <f>IF(B7&lt;B$4,LEFT(C7,1),IF(B7=B$4,3,""))</f>
        <v>A</v>
      </c>
      <c r="G7" s="23" t="str">
        <f>IF(B7&lt;B$4,MID(C7,2,1),"")</f>
        <v>r</v>
      </c>
      <c r="H7" s="23" t="str">
        <f>IF(B7&lt;B$4,MID(C7,3,1),"")</f>
        <v>p</v>
      </c>
      <c r="I7" s="23">
        <f t="shared" ref="I7:K70" si="3">IF(F7="","",MATCH(F7,$X:$X,0))</f>
        <v>3</v>
      </c>
      <c r="J7" s="23">
        <f t="shared" si="2"/>
        <v>11</v>
      </c>
      <c r="K7" s="23">
        <f>IF(H7="","",MATCH(H7,$X:$X,0))</f>
        <v>18</v>
      </c>
      <c r="L7" s="23"/>
      <c r="M7" s="23" cm="1">
        <f t="array" aca="1" ref="M7" ca="1">IF($I7="",0,INDIRECT(ADDRESS($I7,COLUMN(AA$1))))+IF($J7="",0,INDIRECT(ADDRESS($J7,COLUMN(AA$1)))+AA$14)+IF($K7="",0,INDIRECT(ADDRESS($K7,COLUMN(AA$1))))</f>
        <v>10</v>
      </c>
      <c r="N7" s="23" cm="1">
        <f t="array" aca="1" ref="N7" ca="1">IF($I7="",0,INDIRECT(ADDRESS($I7,COLUMN(AB$1))))+IF($J7="",0,INDIRECT(ADDRESS($J7,COLUMN(AB$1)))+AB$14)+IF($K7="",0,INDIRECT(ADDRESS($K7,COLUMN(AB$1))))</f>
        <v>12</v>
      </c>
      <c r="O7" s="23" cm="1">
        <f t="array" aca="1" ref="O7" ca="1">IF($I7="",0,INDIRECT(ADDRESS($I7,COLUMN(AC$1))))+IF($J7="",0,INDIRECT(ADDRESS($J7,COLUMN(AC$1)))+AC$14)+IF($K7="",0,INDIRECT(ADDRESS($K7,COLUMN(AC$1))))</f>
        <v>5</v>
      </c>
      <c r="P7" s="23" cm="1">
        <f t="array" aca="1" ref="P7" ca="1">IF($I7="",0,INDIRECT(ADDRESS($I7,COLUMN(AD$1))))+IF($J7="",0,INDIRECT(ADDRESS($J7,COLUMN(AD$1)))+AD$14)+IF($K7="",0,INDIRECT(ADDRESS($K7,COLUMN(AD$1))))</f>
        <v>6</v>
      </c>
      <c r="Q7" s="23" cm="1">
        <f t="array" aca="1" ref="Q7" ca="1">IF($I7="",0,INDIRECT(ADDRESS($I7,COLUMN(AE$1))))+IF($J7="",0,INDIRECT(ADDRESS($J7,COLUMN(AE$1)))+AE$14)+IF($K7="",0,INDIRECT(ADDRESS($K7,COLUMN(AE$1))))</f>
        <v>1</v>
      </c>
      <c r="R7" s="23" cm="1">
        <f t="array" aca="1" ref="R7" ca="1">IF($I7="",0,INDIRECT(ADDRESS($I7,COLUMN(AF$1))))+IF($J7="",0,INDIRECT(ADDRESS($J7,COLUMN(AF$1)))+AF$14)+IF($K7="",0,INDIRECT(ADDRESS($K7,COLUMN(AF$1))))</f>
        <v>0</v>
      </c>
      <c r="S7" s="1" t="str">
        <f>CONCATENATE(F7,S8)</f>
        <v>AACVVCAACVVCAA3</v>
      </c>
      <c r="T7" s="27"/>
      <c r="AG7" s="1">
        <f>B$3-LEN(SUBSTITUTE(A$7,X7,""))</f>
        <v>0</v>
      </c>
      <c r="AH7" s="1">
        <f>FIND(X7,A$7)</f>
        <v>1</v>
      </c>
      <c r="AK7" s="37">
        <f t="shared" ref="AK7:AK12" si="4">AK6*2</f>
        <v>1</v>
      </c>
    </row>
    <row r="8" spans="1:54" x14ac:dyDescent="0.25">
      <c r="A8" s="1" t="s">
        <v>33</v>
      </c>
      <c r="B8" s="23">
        <v>2</v>
      </c>
      <c r="C8" s="1" t="str">
        <f t="shared" ref="C8:C71" si="5">IF(B8&lt;=B$4,MID(A$7,(B8-1)*4+3,3),"")</f>
        <v>Arp</v>
      </c>
      <c r="F8" s="23" t="str">
        <f t="shared" ref="F8:F71" si="6">IF(B8&lt;B$4,LEFT(C8,1),IF(B8=B$4,3,""))</f>
        <v>A</v>
      </c>
      <c r="G8" s="23" t="str">
        <f t="shared" ref="G8:G71" si="7">IF(B8&lt;B$4,MID(C8,2,1),"")</f>
        <v>r</v>
      </c>
      <c r="H8" s="23" t="str">
        <f t="shared" ref="H8:H71" si="8">IF(B8&lt;B$4,MID(C8,3,1),"")</f>
        <v>p</v>
      </c>
      <c r="I8" s="23">
        <f t="shared" si="3"/>
        <v>3</v>
      </c>
      <c r="J8" s="23">
        <f t="shared" si="2"/>
        <v>11</v>
      </c>
      <c r="K8" s="23">
        <f t="shared" si="2"/>
        <v>18</v>
      </c>
      <c r="L8" s="23"/>
      <c r="M8" s="23" cm="1">
        <f t="array" aca="1" ref="M8" ca="1">IF($I8="",0,INDIRECT(ADDRESS($I8,COLUMN(AA$1))))+IF($J8="",0,INDIRECT(ADDRESS($J8,COLUMN(AA$1)))+AA$14)+IF($K8="",0,INDIRECT(ADDRESS($K8,COLUMN(AA$1))))</f>
        <v>10</v>
      </c>
      <c r="N8" s="23" cm="1">
        <f t="array" aca="1" ref="N8" ca="1">IF($I8="",0,INDIRECT(ADDRESS($I8,COLUMN(AB$1))))+IF($J8="",0,INDIRECT(ADDRESS($J8,COLUMN(AB$1)))+AB$14)+IF($K8="",0,INDIRECT(ADDRESS($K8,COLUMN(AB$1))))</f>
        <v>12</v>
      </c>
      <c r="O8" s="23" cm="1">
        <f t="array" aca="1" ref="O8" ca="1">IF($I8="",0,INDIRECT(ADDRESS($I8,COLUMN(AC$1))))+IF($J8="",0,INDIRECT(ADDRESS($J8,COLUMN(AC$1)))+AC$14)+IF($K8="",0,INDIRECT(ADDRESS($K8,COLUMN(AC$1))))</f>
        <v>5</v>
      </c>
      <c r="P8" s="23" cm="1">
        <f t="array" aca="1" ref="P8" ca="1">IF($I8="",0,INDIRECT(ADDRESS($I8,COLUMN(AD$1))))+IF($J8="",0,INDIRECT(ADDRESS($J8,COLUMN(AD$1)))+AD$14)+IF($K8="",0,INDIRECT(ADDRESS($K8,COLUMN(AD$1))))</f>
        <v>6</v>
      </c>
      <c r="Q8" s="23" cm="1">
        <f t="array" aca="1" ref="Q8" ca="1">IF($I8="",0,INDIRECT(ADDRESS($I8,COLUMN(AE$1))))+IF($J8="",0,INDIRECT(ADDRESS($J8,COLUMN(AE$1)))+AE$14)+IF($K8="",0,INDIRECT(ADDRESS($K8,COLUMN(AE$1))))</f>
        <v>1</v>
      </c>
      <c r="R8" s="23" cm="1">
        <f t="array" aca="1" ref="R8" ca="1">IF($I8="",0,INDIRECT(ADDRESS($I8,COLUMN(AF$1))))+IF($J8="",0,INDIRECT(ADDRESS($J8,COLUMN(AF$1)))+AF$14)+IF($K8="",0,INDIRECT(ADDRESS($K8,COLUMN(AF$1))))</f>
        <v>0</v>
      </c>
      <c r="S8" s="1" t="str">
        <f t="shared" ref="S8:S71" si="9">CONCATENATE(F8,S9)</f>
        <v>ACVVCAACVVCAA3</v>
      </c>
      <c r="T8" s="27"/>
      <c r="X8" s="1" t="s">
        <v>122</v>
      </c>
      <c r="AK8" s="38">
        <f t="shared" si="4"/>
        <v>2</v>
      </c>
      <c r="AV8" s="1" t="s">
        <v>106</v>
      </c>
    </row>
    <row r="9" spans="1:54" x14ac:dyDescent="0.25">
      <c r="A9" s="3">
        <f ca="1">SUM(M2:R2)+SUM(D6:D105)</f>
        <v>4474.6440772216602</v>
      </c>
      <c r="B9" s="1">
        <v>3</v>
      </c>
      <c r="C9" s="1" t="str">
        <f t="shared" si="5"/>
        <v>Crp</v>
      </c>
      <c r="F9" s="23" t="str">
        <f t="shared" si="6"/>
        <v>C</v>
      </c>
      <c r="G9" s="23" t="str">
        <f t="shared" si="7"/>
        <v>r</v>
      </c>
      <c r="H9" s="23" t="str">
        <f t="shared" si="8"/>
        <v>p</v>
      </c>
      <c r="I9" s="23">
        <f t="shared" si="3"/>
        <v>6</v>
      </c>
      <c r="J9" s="23">
        <f t="shared" si="2"/>
        <v>11</v>
      </c>
      <c r="K9" s="23">
        <f t="shared" si="2"/>
        <v>18</v>
      </c>
      <c r="L9" s="23"/>
      <c r="M9" s="23" cm="1">
        <f t="array" aca="1" ref="M9" ca="1">IF($I9="",0,INDIRECT(ADDRESS($I9,COLUMN(AA$1))))+IF($J9="",0,INDIRECT(ADDRESS($J9,COLUMN(AA$1)))+AA$14)+IF($K9="",0,INDIRECT(ADDRESS($K9,COLUMN(AA$1))))</f>
        <v>9</v>
      </c>
      <c r="N9" s="23" cm="1">
        <f t="array" aca="1" ref="N9" ca="1">IF($I9="",0,INDIRECT(ADDRESS($I9,COLUMN(AB$1))))+IF($J9="",0,INDIRECT(ADDRESS($J9,COLUMN(AB$1)))+AB$14)+IF($K9="",0,INDIRECT(ADDRESS($K9,COLUMN(AB$1))))</f>
        <v>12</v>
      </c>
      <c r="O9" s="23" cm="1">
        <f t="array" aca="1" ref="O9" ca="1">IF($I9="",0,INDIRECT(ADDRESS($I9,COLUMN(AC$1))))+IF($J9="",0,INDIRECT(ADDRESS($J9,COLUMN(AC$1)))+AC$14)+IF($K9="",0,INDIRECT(ADDRESS($K9,COLUMN(AC$1))))</f>
        <v>3</v>
      </c>
      <c r="P9" s="23" cm="1">
        <f t="array" aca="1" ref="P9" ca="1">IF($I9="",0,INDIRECT(ADDRESS($I9,COLUMN(AD$1))))+IF($J9="",0,INDIRECT(ADDRESS($J9,COLUMN(AD$1)))+AD$14)+IF($K9="",0,INDIRECT(ADDRESS($K9,COLUMN(AD$1))))</f>
        <v>7</v>
      </c>
      <c r="Q9" s="23" cm="1">
        <f t="array" aca="1" ref="Q9" ca="1">IF($I9="",0,INDIRECT(ADDRESS($I9,COLUMN(AE$1))))+IF($J9="",0,INDIRECT(ADDRESS($J9,COLUMN(AE$1)))+AE$14)+IF($K9="",0,INDIRECT(ADDRESS($K9,COLUMN(AE$1))))</f>
        <v>1</v>
      </c>
      <c r="R9" s="23" cm="1">
        <f t="array" aca="1" ref="R9" ca="1">IF($I9="",0,INDIRECT(ADDRESS($I9,COLUMN(AF$1))))+IF($J9="",0,INDIRECT(ADDRESS($J9,COLUMN(AF$1)))+AF$14)+IF($K9="",0,INDIRECT(ADDRESS($K9,COLUMN(AF$1))))</f>
        <v>0</v>
      </c>
      <c r="S9" s="1" t="str">
        <f t="shared" si="9"/>
        <v>CVVCAACVVCAA3</v>
      </c>
      <c r="T9" s="27"/>
      <c r="X9" s="1" t="s">
        <v>19</v>
      </c>
      <c r="Y9" s="1" t="s">
        <v>1</v>
      </c>
      <c r="AA9" s="1" t="s">
        <v>2</v>
      </c>
      <c r="AB9" s="1" t="s">
        <v>3</v>
      </c>
      <c r="AC9" s="1" t="s">
        <v>4</v>
      </c>
      <c r="AD9" s="1" t="s">
        <v>5</v>
      </c>
      <c r="AE9" s="1" t="s">
        <v>6</v>
      </c>
      <c r="AF9" s="1" t="s">
        <v>16</v>
      </c>
      <c r="AK9" s="39">
        <f t="shared" si="4"/>
        <v>4</v>
      </c>
      <c r="AY9" s="1" t="s">
        <v>2</v>
      </c>
      <c r="AZ9" s="1" t="s">
        <v>3</v>
      </c>
      <c r="BA9" s="1" t="s">
        <v>4</v>
      </c>
      <c r="BB9" s="1" t="s">
        <v>5</v>
      </c>
    </row>
    <row r="10" spans="1:54" x14ac:dyDescent="0.25">
      <c r="A10" s="1" t="s">
        <v>34</v>
      </c>
      <c r="B10" s="23">
        <v>4</v>
      </c>
      <c r="C10" s="1" t="str">
        <f t="shared" si="5"/>
        <v>Vrp</v>
      </c>
      <c r="F10" s="23" t="str">
        <f t="shared" si="6"/>
        <v>V</v>
      </c>
      <c r="G10" s="23" t="str">
        <f t="shared" si="7"/>
        <v>r</v>
      </c>
      <c r="H10" s="23" t="str">
        <f t="shared" si="8"/>
        <v>p</v>
      </c>
      <c r="I10" s="23">
        <f t="shared" si="3"/>
        <v>5</v>
      </c>
      <c r="J10" s="23">
        <f t="shared" si="2"/>
        <v>11</v>
      </c>
      <c r="K10" s="23">
        <f t="shared" si="2"/>
        <v>18</v>
      </c>
      <c r="L10" s="23"/>
      <c r="M10" s="23" cm="1">
        <f t="array" aca="1" ref="M10" ca="1">IF($I10="",0,INDIRECT(ADDRESS($I10,COLUMN(AA$1))))+IF($J10="",0,INDIRECT(ADDRESS($J10,COLUMN(AA$1)))+AA$14)+IF($K10="",0,INDIRECT(ADDRESS($K10,COLUMN(AA$1))))</f>
        <v>10</v>
      </c>
      <c r="N10" s="23" cm="1">
        <f t="array" aca="1" ref="N10" ca="1">IF($I10="",0,INDIRECT(ADDRESS($I10,COLUMN(AB$1))))+IF($J10="",0,INDIRECT(ADDRESS($J10,COLUMN(AB$1)))+AB$14)+IF($K10="",0,INDIRECT(ADDRESS($K10,COLUMN(AB$1))))</f>
        <v>13</v>
      </c>
      <c r="O10" s="23" cm="1">
        <f t="array" aca="1" ref="O10" ca="1">IF($I10="",0,INDIRECT(ADDRESS($I10,COLUMN(AC$1))))+IF($J10="",0,INDIRECT(ADDRESS($J10,COLUMN(AC$1)))+AC$14)+IF($K10="",0,INDIRECT(ADDRESS($K10,COLUMN(AC$1))))</f>
        <v>2</v>
      </c>
      <c r="P10" s="23" cm="1">
        <f t="array" aca="1" ref="P10" ca="1">IF($I10="",0,INDIRECT(ADDRESS($I10,COLUMN(AD$1))))+IF($J10="",0,INDIRECT(ADDRESS($J10,COLUMN(AD$1)))+AD$14)+IF($K10="",0,INDIRECT(ADDRESS($K10,COLUMN(AD$1))))</f>
        <v>8</v>
      </c>
      <c r="Q10" s="23" cm="1">
        <f t="array" aca="1" ref="Q10" ca="1">IF($I10="",0,INDIRECT(ADDRESS($I10,COLUMN(AE$1))))+IF($J10="",0,INDIRECT(ADDRESS($J10,COLUMN(AE$1)))+AE$14)+IF($K10="",0,INDIRECT(ADDRESS($K10,COLUMN(AE$1))))</f>
        <v>1</v>
      </c>
      <c r="R10" s="23" cm="1">
        <f t="array" aca="1" ref="R10" ca="1">IF($I10="",0,INDIRECT(ADDRESS($I10,COLUMN(AF$1))))+IF($J10="",0,INDIRECT(ADDRESS($J10,COLUMN(AF$1)))+AF$14)+IF($K10="",0,INDIRECT(ADDRESS($K10,COLUMN(AF$1))))</f>
        <v>0</v>
      </c>
      <c r="S10" s="1" t="str">
        <f t="shared" si="9"/>
        <v>VVCAACVVCAA3</v>
      </c>
      <c r="X10" s="4" t="s">
        <v>49</v>
      </c>
      <c r="Y10" s="4" t="s">
        <v>121</v>
      </c>
      <c r="Z10" s="4"/>
      <c r="AA10" s="4">
        <v>0</v>
      </c>
      <c r="AB10" s="4">
        <v>0</v>
      </c>
      <c r="AC10" s="4">
        <v>0</v>
      </c>
      <c r="AD10" s="4">
        <v>-1</v>
      </c>
      <c r="AE10" s="4">
        <v>0</v>
      </c>
      <c r="AF10" s="4">
        <v>0</v>
      </c>
      <c r="AK10" s="40">
        <f t="shared" si="4"/>
        <v>8</v>
      </c>
      <c r="AV10" s="1" t="s">
        <v>0</v>
      </c>
      <c r="AW10" s="1" t="s">
        <v>107</v>
      </c>
      <c r="AY10" s="1">
        <v>10</v>
      </c>
      <c r="AZ10" s="1">
        <v>13</v>
      </c>
      <c r="BA10" s="1">
        <v>5</v>
      </c>
      <c r="BB10" s="1">
        <v>3</v>
      </c>
    </row>
    <row r="11" spans="1:54" x14ac:dyDescent="0.25">
      <c r="A11" s="3">
        <f ca="1">SUM(M3:R3)+SUM(D6:D105)</f>
        <v>4476.7784633159699</v>
      </c>
      <c r="B11" s="1">
        <v>5</v>
      </c>
      <c r="C11" s="1" t="str">
        <f t="shared" si="5"/>
        <v>Vrp</v>
      </c>
      <c r="F11" s="23" t="str">
        <f t="shared" si="6"/>
        <v>V</v>
      </c>
      <c r="G11" s="23" t="str">
        <f t="shared" si="7"/>
        <v>r</v>
      </c>
      <c r="H11" s="23" t="str">
        <f t="shared" si="8"/>
        <v>p</v>
      </c>
      <c r="I11" s="23">
        <f t="shared" si="3"/>
        <v>5</v>
      </c>
      <c r="J11" s="23">
        <f t="shared" si="2"/>
        <v>11</v>
      </c>
      <c r="K11" s="23">
        <f t="shared" si="2"/>
        <v>18</v>
      </c>
      <c r="L11" s="23"/>
      <c r="M11" s="23" cm="1">
        <f t="array" aca="1" ref="M11" ca="1">IF($I11="",0,INDIRECT(ADDRESS($I11,COLUMN(AA$1))))+IF($J11="",0,INDIRECT(ADDRESS($J11,COLUMN(AA$1)))+AA$14)+IF($K11="",0,INDIRECT(ADDRESS($K11,COLUMN(AA$1))))</f>
        <v>10</v>
      </c>
      <c r="N11" s="23" cm="1">
        <f t="array" aca="1" ref="N11" ca="1">IF($I11="",0,INDIRECT(ADDRESS($I11,COLUMN(AB$1))))+IF($J11="",0,INDIRECT(ADDRESS($J11,COLUMN(AB$1)))+AB$14)+IF($K11="",0,INDIRECT(ADDRESS($K11,COLUMN(AB$1))))</f>
        <v>13</v>
      </c>
      <c r="O11" s="23" cm="1">
        <f t="array" aca="1" ref="O11" ca="1">IF($I11="",0,INDIRECT(ADDRESS($I11,COLUMN(AC$1))))+IF($J11="",0,INDIRECT(ADDRESS($J11,COLUMN(AC$1)))+AC$14)+IF($K11="",0,INDIRECT(ADDRESS($K11,COLUMN(AC$1))))</f>
        <v>2</v>
      </c>
      <c r="P11" s="23" cm="1">
        <f t="array" aca="1" ref="P11" ca="1">IF($I11="",0,INDIRECT(ADDRESS($I11,COLUMN(AD$1))))+IF($J11="",0,INDIRECT(ADDRESS($J11,COLUMN(AD$1)))+AD$14)+IF($K11="",0,INDIRECT(ADDRESS($K11,COLUMN(AD$1))))</f>
        <v>8</v>
      </c>
      <c r="Q11" s="23" cm="1">
        <f t="array" aca="1" ref="Q11" ca="1">IF($I11="",0,INDIRECT(ADDRESS($I11,COLUMN(AE$1))))+IF($J11="",0,INDIRECT(ADDRESS($J11,COLUMN(AE$1)))+AE$14)+IF($K11="",0,INDIRECT(ADDRESS($K11,COLUMN(AE$1))))</f>
        <v>1</v>
      </c>
      <c r="R11" s="23" cm="1">
        <f t="array" aca="1" ref="R11" ca="1">IF($I11="",0,INDIRECT(ADDRESS($I11,COLUMN(AF$1))))+IF($J11="",0,INDIRECT(ADDRESS($J11,COLUMN(AF$1)))+AF$14)+IF($K11="",0,INDIRECT(ADDRESS($K11,COLUMN(AF$1))))</f>
        <v>0</v>
      </c>
      <c r="S11" s="1" t="str">
        <f t="shared" si="9"/>
        <v>VCAACVVCAA3</v>
      </c>
      <c r="X11" s="4" t="s">
        <v>144</v>
      </c>
      <c r="Y11" s="4" t="s">
        <v>145</v>
      </c>
      <c r="Z11" s="4"/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K11" s="41">
        <f t="shared" si="4"/>
        <v>16</v>
      </c>
      <c r="AV11" s="1" t="s">
        <v>7</v>
      </c>
      <c r="AW11" s="1" t="s">
        <v>108</v>
      </c>
      <c r="AY11" s="1">
        <v>10</v>
      </c>
      <c r="AZ11" s="1">
        <v>13</v>
      </c>
      <c r="BA11" s="1">
        <v>5</v>
      </c>
      <c r="BB11" s="1">
        <v>4</v>
      </c>
    </row>
    <row r="12" spans="1:54" x14ac:dyDescent="0.25">
      <c r="A12" s="1" t="s">
        <v>42</v>
      </c>
      <c r="B12" s="23">
        <v>6</v>
      </c>
      <c r="C12" s="1" t="str">
        <f t="shared" si="5"/>
        <v>Crp</v>
      </c>
      <c r="F12" s="23" t="str">
        <f t="shared" si="6"/>
        <v>C</v>
      </c>
      <c r="G12" s="23" t="str">
        <f t="shared" si="7"/>
        <v>r</v>
      </c>
      <c r="H12" s="23" t="str">
        <f t="shared" si="8"/>
        <v>p</v>
      </c>
      <c r="I12" s="23">
        <f t="shared" si="3"/>
        <v>6</v>
      </c>
      <c r="J12" s="23">
        <f t="shared" si="2"/>
        <v>11</v>
      </c>
      <c r="K12" s="23">
        <f t="shared" si="2"/>
        <v>18</v>
      </c>
      <c r="L12" s="23"/>
      <c r="M12" s="23" cm="1">
        <f t="array" aca="1" ref="M12" ca="1">IF($I12="",0,INDIRECT(ADDRESS($I12,COLUMN(AA$1))))+IF($J12="",0,INDIRECT(ADDRESS($J12,COLUMN(AA$1)))+AA$14)+IF($K12="",0,INDIRECT(ADDRESS($K12,COLUMN(AA$1))))</f>
        <v>9</v>
      </c>
      <c r="N12" s="23" cm="1">
        <f t="array" aca="1" ref="N12" ca="1">IF($I12="",0,INDIRECT(ADDRESS($I12,COLUMN(AB$1))))+IF($J12="",0,INDIRECT(ADDRESS($J12,COLUMN(AB$1)))+AB$14)+IF($K12="",0,INDIRECT(ADDRESS($K12,COLUMN(AB$1))))</f>
        <v>12</v>
      </c>
      <c r="O12" s="23" cm="1">
        <f t="array" aca="1" ref="O12" ca="1">IF($I12="",0,INDIRECT(ADDRESS($I12,COLUMN(AC$1))))+IF($J12="",0,INDIRECT(ADDRESS($J12,COLUMN(AC$1)))+AC$14)+IF($K12="",0,INDIRECT(ADDRESS($K12,COLUMN(AC$1))))</f>
        <v>3</v>
      </c>
      <c r="P12" s="23" cm="1">
        <f t="array" aca="1" ref="P12" ca="1">IF($I12="",0,INDIRECT(ADDRESS($I12,COLUMN(AD$1))))+IF($J12="",0,INDIRECT(ADDRESS($J12,COLUMN(AD$1)))+AD$14)+IF($K12="",0,INDIRECT(ADDRESS($K12,COLUMN(AD$1))))</f>
        <v>7</v>
      </c>
      <c r="Q12" s="23" cm="1">
        <f t="array" aca="1" ref="Q12" ca="1">IF($I12="",0,INDIRECT(ADDRESS($I12,COLUMN(AE$1))))+IF($J12="",0,INDIRECT(ADDRESS($J12,COLUMN(AE$1)))+AE$14)+IF($K12="",0,INDIRECT(ADDRESS($K12,COLUMN(AE$1))))</f>
        <v>1</v>
      </c>
      <c r="R12" s="23" cm="1">
        <f t="array" aca="1" ref="R12" ca="1">IF($I12="",0,INDIRECT(ADDRESS($I12,COLUMN(AF$1))))+IF($J12="",0,INDIRECT(ADDRESS($J12,COLUMN(AF$1)))+AF$14)+IF($K12="",0,INDIRECT(ADDRESS($K12,COLUMN(AF$1))))</f>
        <v>0</v>
      </c>
      <c r="S12" s="1" t="str">
        <f t="shared" si="9"/>
        <v>CAACVVCAA3</v>
      </c>
      <c r="AK12" s="42">
        <f t="shared" si="4"/>
        <v>32</v>
      </c>
      <c r="AV12" s="1" t="s">
        <v>2</v>
      </c>
      <c r="AW12" s="1" t="s">
        <v>109</v>
      </c>
      <c r="AY12" s="1">
        <v>9</v>
      </c>
      <c r="AZ12" s="1">
        <v>13</v>
      </c>
      <c r="BA12" s="1">
        <v>3</v>
      </c>
      <c r="BB12" s="1">
        <v>4</v>
      </c>
    </row>
    <row r="13" spans="1:54" x14ac:dyDescent="0.25">
      <c r="A13" s="4">
        <v>3</v>
      </c>
      <c r="B13" s="1">
        <v>7</v>
      </c>
      <c r="C13" s="1" t="str">
        <f t="shared" si="5"/>
        <v>Arp</v>
      </c>
      <c r="F13" s="23" t="str">
        <f t="shared" si="6"/>
        <v>A</v>
      </c>
      <c r="G13" s="23" t="str">
        <f t="shared" si="7"/>
        <v>r</v>
      </c>
      <c r="H13" s="23" t="str">
        <f t="shared" si="8"/>
        <v>p</v>
      </c>
      <c r="I13" s="23">
        <f t="shared" si="3"/>
        <v>3</v>
      </c>
      <c r="J13" s="23">
        <f t="shared" si="2"/>
        <v>11</v>
      </c>
      <c r="K13" s="23">
        <f t="shared" si="2"/>
        <v>18</v>
      </c>
      <c r="L13" s="23"/>
      <c r="M13" s="23" cm="1">
        <f t="array" aca="1" ref="M13" ca="1">IF($I13="",0,INDIRECT(ADDRESS($I13,COLUMN(AA$1))))+IF($J13="",0,INDIRECT(ADDRESS($J13,COLUMN(AA$1)))+AA$14)+IF($K13="",0,INDIRECT(ADDRESS($K13,COLUMN(AA$1))))</f>
        <v>10</v>
      </c>
      <c r="N13" s="23" cm="1">
        <f t="array" aca="1" ref="N13" ca="1">IF($I13="",0,INDIRECT(ADDRESS($I13,COLUMN(AB$1))))+IF($J13="",0,INDIRECT(ADDRESS($J13,COLUMN(AB$1)))+AB$14)+IF($K13="",0,INDIRECT(ADDRESS($K13,COLUMN(AB$1))))</f>
        <v>12</v>
      </c>
      <c r="O13" s="23" cm="1">
        <f t="array" aca="1" ref="O13" ca="1">IF($I13="",0,INDIRECT(ADDRESS($I13,COLUMN(AC$1))))+IF($J13="",0,INDIRECT(ADDRESS($J13,COLUMN(AC$1)))+AC$14)+IF($K13="",0,INDIRECT(ADDRESS($K13,COLUMN(AC$1))))</f>
        <v>5</v>
      </c>
      <c r="P13" s="23" cm="1">
        <f t="array" aca="1" ref="P13" ca="1">IF($I13="",0,INDIRECT(ADDRESS($I13,COLUMN(AD$1))))+IF($J13="",0,INDIRECT(ADDRESS($J13,COLUMN(AD$1)))+AD$14)+IF($K13="",0,INDIRECT(ADDRESS($K13,COLUMN(AD$1))))</f>
        <v>6</v>
      </c>
      <c r="Q13" s="23" cm="1">
        <f t="array" aca="1" ref="Q13" ca="1">IF($I13="",0,INDIRECT(ADDRESS($I13,COLUMN(AE$1))))+IF($J13="",0,INDIRECT(ADDRESS($J13,COLUMN(AE$1)))+AE$14)+IF($K13="",0,INDIRECT(ADDRESS($K13,COLUMN(AE$1))))</f>
        <v>1</v>
      </c>
      <c r="R13" s="23" cm="1">
        <f t="array" aca="1" ref="R13" ca="1">IF($I13="",0,INDIRECT(ADDRESS($I13,COLUMN(AF$1))))+IF($J13="",0,INDIRECT(ADDRESS($J13,COLUMN(AF$1)))+AF$14)+IF($K13="",0,INDIRECT(ADDRESS($K13,COLUMN(AF$1))))</f>
        <v>0</v>
      </c>
      <c r="S13" s="1" t="str">
        <f t="shared" si="9"/>
        <v>AACVVCAA3</v>
      </c>
      <c r="X13" s="1" t="s">
        <v>123</v>
      </c>
      <c r="AA13" s="1" t="s">
        <v>2</v>
      </c>
      <c r="AB13" s="1" t="s">
        <v>3</v>
      </c>
      <c r="AC13" s="1" t="s">
        <v>4</v>
      </c>
      <c r="AD13" s="1" t="s">
        <v>5</v>
      </c>
      <c r="AE13" s="1" t="s">
        <v>6</v>
      </c>
      <c r="AF13" s="1" t="s">
        <v>16</v>
      </c>
      <c r="AK13" s="43">
        <v>100</v>
      </c>
      <c r="AV13" s="1" t="s">
        <v>104</v>
      </c>
      <c r="AW13" s="1" t="s">
        <v>110</v>
      </c>
      <c r="AY13" s="1">
        <v>10</v>
      </c>
      <c r="AZ13" s="1">
        <v>14</v>
      </c>
      <c r="BA13" s="1">
        <v>2</v>
      </c>
      <c r="BB13" s="1">
        <v>5</v>
      </c>
    </row>
    <row r="14" spans="1:54" x14ac:dyDescent="0.25">
      <c r="A14" s="1" t="s">
        <v>43</v>
      </c>
      <c r="B14" s="23">
        <v>8</v>
      </c>
      <c r="C14" s="1" t="str">
        <f t="shared" si="5"/>
        <v>Arp</v>
      </c>
      <c r="F14" s="23" t="str">
        <f t="shared" si="6"/>
        <v>A</v>
      </c>
      <c r="G14" s="23" t="str">
        <f t="shared" si="7"/>
        <v>r</v>
      </c>
      <c r="H14" s="23" t="str">
        <f t="shared" si="8"/>
        <v>p</v>
      </c>
      <c r="I14" s="23">
        <f t="shared" si="3"/>
        <v>3</v>
      </c>
      <c r="J14" s="23">
        <f t="shared" si="2"/>
        <v>11</v>
      </c>
      <c r="K14" s="23">
        <f t="shared" si="2"/>
        <v>18</v>
      </c>
      <c r="L14" s="23"/>
      <c r="M14" s="23" cm="1">
        <f t="array" aca="1" ref="M14" ca="1">IF($I14="",0,INDIRECT(ADDRESS($I14,COLUMN(AA$1))))+IF($J14="",0,INDIRECT(ADDRESS($J14,COLUMN(AA$1)))+AA$14)+IF($K14="",0,INDIRECT(ADDRESS($K14,COLUMN(AA$1))))</f>
        <v>10</v>
      </c>
      <c r="N14" s="23" cm="1">
        <f t="array" aca="1" ref="N14" ca="1">IF($I14="",0,INDIRECT(ADDRESS($I14,COLUMN(AB$1))))+IF($J14="",0,INDIRECT(ADDRESS($J14,COLUMN(AB$1)))+AB$14)+IF($K14="",0,INDIRECT(ADDRESS($K14,COLUMN(AB$1))))</f>
        <v>12</v>
      </c>
      <c r="O14" s="23" cm="1">
        <f t="array" aca="1" ref="O14" ca="1">IF($I14="",0,INDIRECT(ADDRESS($I14,COLUMN(AC$1))))+IF($J14="",0,INDIRECT(ADDRESS($J14,COLUMN(AC$1)))+AC$14)+IF($K14="",0,INDIRECT(ADDRESS($K14,COLUMN(AC$1))))</f>
        <v>5</v>
      </c>
      <c r="P14" s="23" cm="1">
        <f t="array" aca="1" ref="P14" ca="1">IF($I14="",0,INDIRECT(ADDRESS($I14,COLUMN(AD$1))))+IF($J14="",0,INDIRECT(ADDRESS($J14,COLUMN(AD$1)))+AD$14)+IF($K14="",0,INDIRECT(ADDRESS($K14,COLUMN(AD$1))))</f>
        <v>6</v>
      </c>
      <c r="Q14" s="23" cm="1">
        <f t="array" aca="1" ref="Q14" ca="1">IF($I14="",0,INDIRECT(ADDRESS($I14,COLUMN(AE$1))))+IF($J14="",0,INDIRECT(ADDRESS($J14,COLUMN(AE$1)))+AE$14)+IF($K14="",0,INDIRECT(ADDRESS($K14,COLUMN(AE$1))))</f>
        <v>1</v>
      </c>
      <c r="R14" s="23" cm="1">
        <f t="array" aca="1" ref="R14" ca="1">IF($I14="",0,INDIRECT(ADDRESS($I14,COLUMN(AF$1))))+IF($J14="",0,INDIRECT(ADDRESS($J14,COLUMN(AF$1)))+AF$14)+IF($K14="",0,INDIRECT(ADDRESS($K14,COLUMN(AF$1))))</f>
        <v>0</v>
      </c>
      <c r="S14" s="1" t="str">
        <f t="shared" si="9"/>
        <v>ACVVCAA3</v>
      </c>
      <c r="X14" s="26"/>
      <c r="AA14" s="1">
        <v>5</v>
      </c>
      <c r="AB14" s="1">
        <v>7</v>
      </c>
      <c r="AC14" s="1">
        <v>0</v>
      </c>
      <c r="AD14" s="1">
        <v>2</v>
      </c>
      <c r="AE14" s="1">
        <v>0</v>
      </c>
      <c r="AF14" s="1">
        <v>0</v>
      </c>
    </row>
    <row r="15" spans="1:54" x14ac:dyDescent="0.25">
      <c r="A15" s="3">
        <f ca="1">(A9-A13*AF33)/A13</f>
        <v>1490.5407492739323</v>
      </c>
      <c r="B15" s="1">
        <v>9</v>
      </c>
      <c r="C15" s="1" t="str">
        <f t="shared" si="5"/>
        <v>Crp</v>
      </c>
      <c r="F15" s="23" t="str">
        <f t="shared" si="6"/>
        <v>C</v>
      </c>
      <c r="G15" s="23" t="str">
        <f t="shared" si="7"/>
        <v>r</v>
      </c>
      <c r="H15" s="23" t="str">
        <f t="shared" si="8"/>
        <v>p</v>
      </c>
      <c r="I15" s="23">
        <f t="shared" si="3"/>
        <v>6</v>
      </c>
      <c r="J15" s="23">
        <f t="shared" si="2"/>
        <v>11</v>
      </c>
      <c r="K15" s="23">
        <f t="shared" si="2"/>
        <v>18</v>
      </c>
      <c r="L15" s="23"/>
      <c r="M15" s="23" cm="1">
        <f t="array" aca="1" ref="M15" ca="1">IF($I15="",0,INDIRECT(ADDRESS($I15,COLUMN(AA$1))))+IF($J15="",0,INDIRECT(ADDRESS($J15,COLUMN(AA$1)))+AA$14)+IF($K15="",0,INDIRECT(ADDRESS($K15,COLUMN(AA$1))))</f>
        <v>9</v>
      </c>
      <c r="N15" s="23" cm="1">
        <f t="array" aca="1" ref="N15" ca="1">IF($I15="",0,INDIRECT(ADDRESS($I15,COLUMN(AB$1))))+IF($J15="",0,INDIRECT(ADDRESS($J15,COLUMN(AB$1)))+AB$14)+IF($K15="",0,INDIRECT(ADDRESS($K15,COLUMN(AB$1))))</f>
        <v>12</v>
      </c>
      <c r="O15" s="23" cm="1">
        <f t="array" aca="1" ref="O15" ca="1">IF($I15="",0,INDIRECT(ADDRESS($I15,COLUMN(AC$1))))+IF($J15="",0,INDIRECT(ADDRESS($J15,COLUMN(AC$1)))+AC$14)+IF($K15="",0,INDIRECT(ADDRESS($K15,COLUMN(AC$1))))</f>
        <v>3</v>
      </c>
      <c r="P15" s="23" cm="1">
        <f t="array" aca="1" ref="P15" ca="1">IF($I15="",0,INDIRECT(ADDRESS($I15,COLUMN(AD$1))))+IF($J15="",0,INDIRECT(ADDRESS($J15,COLUMN(AD$1)))+AD$14)+IF($K15="",0,INDIRECT(ADDRESS($K15,COLUMN(AD$1))))</f>
        <v>7</v>
      </c>
      <c r="Q15" s="23" cm="1">
        <f t="array" aca="1" ref="Q15" ca="1">IF($I15="",0,INDIRECT(ADDRESS($I15,COLUMN(AE$1))))+IF($J15="",0,INDIRECT(ADDRESS($J15,COLUMN(AE$1)))+AE$14)+IF($K15="",0,INDIRECT(ADDRESS($K15,COLUMN(AE$1))))</f>
        <v>1</v>
      </c>
      <c r="R15" s="23" cm="1">
        <f t="array" aca="1" ref="R15" ca="1">IF($I15="",0,INDIRECT(ADDRESS($I15,COLUMN(AF$1))))+IF($J15="",0,INDIRECT(ADDRESS($J15,COLUMN(AF$1)))+AF$14)+IF($K15="",0,INDIRECT(ADDRESS($K15,COLUMN(AF$1))))</f>
        <v>0</v>
      </c>
      <c r="S15" s="1" t="str">
        <f t="shared" si="9"/>
        <v>CVVCAA3</v>
      </c>
    </row>
    <row r="16" spans="1:54" x14ac:dyDescent="0.25">
      <c r="A16" s="1" t="s">
        <v>70</v>
      </c>
      <c r="B16" s="23">
        <v>10</v>
      </c>
      <c r="C16" s="1" t="str">
        <f t="shared" si="5"/>
        <v>Vrp</v>
      </c>
      <c r="F16" s="23" t="str">
        <f t="shared" si="6"/>
        <v>V</v>
      </c>
      <c r="G16" s="23" t="str">
        <f t="shared" si="7"/>
        <v>r</v>
      </c>
      <c r="H16" s="23" t="str">
        <f t="shared" si="8"/>
        <v>p</v>
      </c>
      <c r="I16" s="23">
        <f t="shared" si="3"/>
        <v>5</v>
      </c>
      <c r="J16" s="23">
        <f t="shared" si="2"/>
        <v>11</v>
      </c>
      <c r="K16" s="23">
        <f t="shared" si="2"/>
        <v>18</v>
      </c>
      <c r="L16" s="23"/>
      <c r="M16" s="23" cm="1">
        <f t="array" aca="1" ref="M16" ca="1">IF($I16="",0,INDIRECT(ADDRESS($I16,COLUMN(AA$1))))+IF($J16="",0,INDIRECT(ADDRESS($J16,COLUMN(AA$1)))+AA$14)+IF($K16="",0,INDIRECT(ADDRESS($K16,COLUMN(AA$1))))</f>
        <v>10</v>
      </c>
      <c r="N16" s="23" cm="1">
        <f t="array" aca="1" ref="N16" ca="1">IF($I16="",0,INDIRECT(ADDRESS($I16,COLUMN(AB$1))))+IF($J16="",0,INDIRECT(ADDRESS($J16,COLUMN(AB$1)))+AB$14)+IF($K16="",0,INDIRECT(ADDRESS($K16,COLUMN(AB$1))))</f>
        <v>13</v>
      </c>
      <c r="O16" s="23" cm="1">
        <f t="array" aca="1" ref="O16" ca="1">IF($I16="",0,INDIRECT(ADDRESS($I16,COLUMN(AC$1))))+IF($J16="",0,INDIRECT(ADDRESS($J16,COLUMN(AC$1)))+AC$14)+IF($K16="",0,INDIRECT(ADDRESS($K16,COLUMN(AC$1))))</f>
        <v>2</v>
      </c>
      <c r="P16" s="23" cm="1">
        <f t="array" aca="1" ref="P16" ca="1">IF($I16="",0,INDIRECT(ADDRESS($I16,COLUMN(AD$1))))+IF($J16="",0,INDIRECT(ADDRESS($J16,COLUMN(AD$1)))+AD$14)+IF($K16="",0,INDIRECT(ADDRESS($K16,COLUMN(AD$1))))</f>
        <v>8</v>
      </c>
      <c r="Q16" s="23" cm="1">
        <f t="array" aca="1" ref="Q16" ca="1">IF($I16="",0,INDIRECT(ADDRESS($I16,COLUMN(AE$1))))+IF($J16="",0,INDIRECT(ADDRESS($J16,COLUMN(AE$1)))+AE$14)+IF($K16="",0,INDIRECT(ADDRESS($K16,COLUMN(AE$1))))</f>
        <v>1</v>
      </c>
      <c r="R16" s="23" cm="1">
        <f t="array" aca="1" ref="R16" ca="1">IF($I16="",0,INDIRECT(ADDRESS($I16,COLUMN(AF$1))))+IF($J16="",0,INDIRECT(ADDRESS($J16,COLUMN(AF$1)))+AF$14)+IF($K16="",0,INDIRECT(ADDRESS($K16,COLUMN(AF$1))))</f>
        <v>0</v>
      </c>
      <c r="S16" s="1" t="str">
        <f t="shared" si="9"/>
        <v>VVCAA3</v>
      </c>
      <c r="X16" s="1" t="s">
        <v>15</v>
      </c>
    </row>
    <row r="17" spans="1:33" x14ac:dyDescent="0.25">
      <c r="A17" s="4">
        <v>0.2</v>
      </c>
      <c r="B17" s="1">
        <v>11</v>
      </c>
      <c r="C17" s="1" t="str">
        <f t="shared" si="5"/>
        <v>Vrp</v>
      </c>
      <c r="F17" s="23" t="str">
        <f t="shared" si="6"/>
        <v>V</v>
      </c>
      <c r="G17" s="23" t="str">
        <f t="shared" si="7"/>
        <v>r</v>
      </c>
      <c r="H17" s="23" t="str">
        <f t="shared" si="8"/>
        <v>p</v>
      </c>
      <c r="I17" s="23">
        <f t="shared" si="3"/>
        <v>5</v>
      </c>
      <c r="J17" s="23">
        <f t="shared" si="2"/>
        <v>11</v>
      </c>
      <c r="K17" s="23">
        <f t="shared" si="2"/>
        <v>18</v>
      </c>
      <c r="L17" s="23"/>
      <c r="M17" s="23" cm="1">
        <f t="array" aca="1" ref="M17" ca="1">IF($I17="",0,INDIRECT(ADDRESS($I17,COLUMN(AA$1))))+IF($J17="",0,INDIRECT(ADDRESS($J17,COLUMN(AA$1)))+AA$14)+IF($K17="",0,INDIRECT(ADDRESS($K17,COLUMN(AA$1))))</f>
        <v>10</v>
      </c>
      <c r="N17" s="23" cm="1">
        <f t="array" aca="1" ref="N17" ca="1">IF($I17="",0,INDIRECT(ADDRESS($I17,COLUMN(AB$1))))+IF($J17="",0,INDIRECT(ADDRESS($J17,COLUMN(AB$1)))+AB$14)+IF($K17="",0,INDIRECT(ADDRESS($K17,COLUMN(AB$1))))</f>
        <v>13</v>
      </c>
      <c r="O17" s="23" cm="1">
        <f t="array" aca="1" ref="O17" ca="1">IF($I17="",0,INDIRECT(ADDRESS($I17,COLUMN(AC$1))))+IF($J17="",0,INDIRECT(ADDRESS($J17,COLUMN(AC$1)))+AC$14)+IF($K17="",0,INDIRECT(ADDRESS($K17,COLUMN(AC$1))))</f>
        <v>2</v>
      </c>
      <c r="P17" s="23" cm="1">
        <f t="array" aca="1" ref="P17" ca="1">IF($I17="",0,INDIRECT(ADDRESS($I17,COLUMN(AD$1))))+IF($J17="",0,INDIRECT(ADDRESS($J17,COLUMN(AD$1)))+AD$14)+IF($K17="",0,INDIRECT(ADDRESS($K17,COLUMN(AD$1))))</f>
        <v>8</v>
      </c>
      <c r="Q17" s="23" cm="1">
        <f t="array" aca="1" ref="Q17" ca="1">IF($I17="",0,INDIRECT(ADDRESS($I17,COLUMN(AE$1))))+IF($J17="",0,INDIRECT(ADDRESS($J17,COLUMN(AE$1)))+AE$14)+IF($K17="",0,INDIRECT(ADDRESS($K17,COLUMN(AE$1))))</f>
        <v>1</v>
      </c>
      <c r="R17" s="23" cm="1">
        <f t="array" aca="1" ref="R17" ca="1">IF($I17="",0,INDIRECT(ADDRESS($I17,COLUMN(AF$1))))+IF($J17="",0,INDIRECT(ADDRESS($J17,COLUMN(AF$1)))+AF$14)+IF($K17="",0,INDIRECT(ADDRESS($K17,COLUMN(AF$1))))</f>
        <v>0</v>
      </c>
      <c r="S17" s="1" t="str">
        <f t="shared" si="9"/>
        <v>VCAA3</v>
      </c>
      <c r="X17" s="1" t="s">
        <v>19</v>
      </c>
      <c r="Y17" s="1" t="s">
        <v>1</v>
      </c>
      <c r="AA17" s="1" t="s">
        <v>2</v>
      </c>
      <c r="AB17" s="1" t="s">
        <v>3</v>
      </c>
      <c r="AC17" s="1" t="s">
        <v>4</v>
      </c>
      <c r="AD17" s="1" t="s">
        <v>5</v>
      </c>
      <c r="AE17" s="1" t="s">
        <v>6</v>
      </c>
      <c r="AF17" s="1" t="s">
        <v>16</v>
      </c>
    </row>
    <row r="18" spans="1:33" x14ac:dyDescent="0.25">
      <c r="A18" s="1" t="s">
        <v>71</v>
      </c>
      <c r="B18" s="23">
        <v>12</v>
      </c>
      <c r="C18" s="1" t="str">
        <f t="shared" si="5"/>
        <v>Crp</v>
      </c>
      <c r="F18" s="23" t="str">
        <f t="shared" si="6"/>
        <v>C</v>
      </c>
      <c r="G18" s="23" t="str">
        <f t="shared" si="7"/>
        <v>r</v>
      </c>
      <c r="H18" s="23" t="str">
        <f t="shared" si="8"/>
        <v>p</v>
      </c>
      <c r="I18" s="23">
        <f t="shared" si="3"/>
        <v>6</v>
      </c>
      <c r="J18" s="23">
        <f t="shared" si="2"/>
        <v>11</v>
      </c>
      <c r="K18" s="23">
        <f t="shared" si="2"/>
        <v>18</v>
      </c>
      <c r="L18" s="23"/>
      <c r="M18" s="23" cm="1">
        <f t="array" aca="1" ref="M18" ca="1">IF($I18="",0,INDIRECT(ADDRESS($I18,COLUMN(AA$1))))+IF($J18="",0,INDIRECT(ADDRESS($J18,COLUMN(AA$1)))+AA$14)+IF($K18="",0,INDIRECT(ADDRESS($K18,COLUMN(AA$1))))</f>
        <v>9</v>
      </c>
      <c r="N18" s="23" cm="1">
        <f t="array" aca="1" ref="N18" ca="1">IF($I18="",0,INDIRECT(ADDRESS($I18,COLUMN(AB$1))))+IF($J18="",0,INDIRECT(ADDRESS($J18,COLUMN(AB$1)))+AB$14)+IF($K18="",0,INDIRECT(ADDRESS($K18,COLUMN(AB$1))))</f>
        <v>12</v>
      </c>
      <c r="O18" s="23" cm="1">
        <f t="array" aca="1" ref="O18" ca="1">IF($I18="",0,INDIRECT(ADDRESS($I18,COLUMN(AC$1))))+IF($J18="",0,INDIRECT(ADDRESS($J18,COLUMN(AC$1)))+AC$14)+IF($K18="",0,INDIRECT(ADDRESS($K18,COLUMN(AC$1))))</f>
        <v>3</v>
      </c>
      <c r="P18" s="23" cm="1">
        <f t="array" aca="1" ref="P18" ca="1">IF($I18="",0,INDIRECT(ADDRESS($I18,COLUMN(AD$1))))+IF($J18="",0,INDIRECT(ADDRESS($J18,COLUMN(AD$1)))+AD$14)+IF($K18="",0,INDIRECT(ADDRESS($K18,COLUMN(AD$1))))</f>
        <v>7</v>
      </c>
      <c r="Q18" s="23" cm="1">
        <f t="array" aca="1" ref="Q18" ca="1">IF($I18="",0,INDIRECT(ADDRESS($I18,COLUMN(AE$1))))+IF($J18="",0,INDIRECT(ADDRESS($J18,COLUMN(AE$1)))+AE$14)+IF($K18="",0,INDIRECT(ADDRESS($K18,COLUMN(AE$1))))</f>
        <v>1</v>
      </c>
      <c r="R18" s="23" cm="1">
        <f t="array" aca="1" ref="R18" ca="1">IF($I18="",0,INDIRECT(ADDRESS($I18,COLUMN(AF$1))))+IF($J18="",0,INDIRECT(ADDRESS($J18,COLUMN(AF$1)))+AF$14)+IF($K18="",0,INDIRECT(ADDRESS($K18,COLUMN(AF$1))))</f>
        <v>0</v>
      </c>
      <c r="S18" s="1" t="str">
        <f t="shared" si="9"/>
        <v>CAA3</v>
      </c>
      <c r="X18" s="4" t="s">
        <v>12</v>
      </c>
      <c r="Y18" s="4" t="s">
        <v>119</v>
      </c>
      <c r="Z18" s="4"/>
      <c r="AA18" s="4">
        <v>0</v>
      </c>
      <c r="AB18" s="4">
        <v>1</v>
      </c>
      <c r="AC18" s="4">
        <v>0</v>
      </c>
      <c r="AD18" s="4">
        <v>4</v>
      </c>
      <c r="AE18" s="4">
        <v>1</v>
      </c>
      <c r="AF18" s="4"/>
    </row>
    <row r="19" spans="1:33" x14ac:dyDescent="0.25">
      <c r="A19" s="4">
        <v>20</v>
      </c>
      <c r="B19" s="1">
        <v>13</v>
      </c>
      <c r="C19" s="1" t="str">
        <f t="shared" si="5"/>
        <v>Arp</v>
      </c>
      <c r="F19" s="23" t="str">
        <f t="shared" si="6"/>
        <v>A</v>
      </c>
      <c r="G19" s="23" t="str">
        <f t="shared" si="7"/>
        <v>r</v>
      </c>
      <c r="H19" s="23" t="str">
        <f t="shared" si="8"/>
        <v>p</v>
      </c>
      <c r="I19" s="23">
        <f t="shared" si="3"/>
        <v>3</v>
      </c>
      <c r="J19" s="23">
        <f t="shared" si="2"/>
        <v>11</v>
      </c>
      <c r="K19" s="23">
        <f t="shared" si="2"/>
        <v>18</v>
      </c>
      <c r="L19" s="23"/>
      <c r="M19" s="23" cm="1">
        <f t="array" aca="1" ref="M19" ca="1">IF($I19="",0,INDIRECT(ADDRESS($I19,COLUMN(AA$1))))+IF($J19="",0,INDIRECT(ADDRESS($J19,COLUMN(AA$1)))+AA$14)+IF($K19="",0,INDIRECT(ADDRESS($K19,COLUMN(AA$1))))</f>
        <v>10</v>
      </c>
      <c r="N19" s="23" cm="1">
        <f t="array" aca="1" ref="N19" ca="1">IF($I19="",0,INDIRECT(ADDRESS($I19,COLUMN(AB$1))))+IF($J19="",0,INDIRECT(ADDRESS($J19,COLUMN(AB$1)))+AB$14)+IF($K19="",0,INDIRECT(ADDRESS($K19,COLUMN(AB$1))))</f>
        <v>12</v>
      </c>
      <c r="O19" s="23" cm="1">
        <f t="array" aca="1" ref="O19" ca="1">IF($I19="",0,INDIRECT(ADDRESS($I19,COLUMN(AC$1))))+IF($J19="",0,INDIRECT(ADDRESS($J19,COLUMN(AC$1)))+AC$14)+IF($K19="",0,INDIRECT(ADDRESS($K19,COLUMN(AC$1))))</f>
        <v>5</v>
      </c>
      <c r="P19" s="23" cm="1">
        <f t="array" aca="1" ref="P19" ca="1">IF($I19="",0,INDIRECT(ADDRESS($I19,COLUMN(AD$1))))+IF($J19="",0,INDIRECT(ADDRESS($J19,COLUMN(AD$1)))+AD$14)+IF($K19="",0,INDIRECT(ADDRESS($K19,COLUMN(AD$1))))</f>
        <v>6</v>
      </c>
      <c r="Q19" s="23" cm="1">
        <f t="array" aca="1" ref="Q19" ca="1">IF($I19="",0,INDIRECT(ADDRESS($I19,COLUMN(AE$1))))+IF($J19="",0,INDIRECT(ADDRESS($J19,COLUMN(AE$1)))+AE$14)+IF($K19="",0,INDIRECT(ADDRESS($K19,COLUMN(AE$1))))</f>
        <v>1</v>
      </c>
      <c r="R19" s="23" cm="1">
        <f t="array" aca="1" ref="R19" ca="1">IF($I19="",0,INDIRECT(ADDRESS($I19,COLUMN(AF$1))))+IF($J19="",0,INDIRECT(ADDRESS($J19,COLUMN(AF$1)))+AF$14)+IF($K19="",0,INDIRECT(ADDRESS($K19,COLUMN(AF$1))))</f>
        <v>0</v>
      </c>
      <c r="S19" s="1" t="str">
        <f t="shared" si="9"/>
        <v>AA3</v>
      </c>
      <c r="X19" s="4" t="s">
        <v>13</v>
      </c>
      <c r="Y19" s="4" t="s">
        <v>120</v>
      </c>
      <c r="Z19" s="4"/>
      <c r="AA19" s="4">
        <v>0</v>
      </c>
      <c r="AB19" s="4">
        <v>1</v>
      </c>
      <c r="AC19" s="4">
        <v>0</v>
      </c>
      <c r="AD19" s="4">
        <v>3</v>
      </c>
      <c r="AE19" s="4">
        <v>1</v>
      </c>
      <c r="AF19" s="4">
        <v>1</v>
      </c>
    </row>
    <row r="20" spans="1:33" x14ac:dyDescent="0.25">
      <c r="A20" s="3" t="s">
        <v>155</v>
      </c>
      <c r="B20" s="23">
        <v>14</v>
      </c>
      <c r="C20" s="1" t="str">
        <f t="shared" si="5"/>
        <v>Arp</v>
      </c>
      <c r="D20" s="29">
        <f>-AE33</f>
        <v>-18.010564684030001</v>
      </c>
      <c r="F20" s="23" t="str">
        <f t="shared" si="6"/>
        <v>A</v>
      </c>
      <c r="G20" s="23" t="str">
        <f t="shared" si="7"/>
        <v>r</v>
      </c>
      <c r="H20" s="23" t="str">
        <f t="shared" si="8"/>
        <v>p</v>
      </c>
      <c r="I20" s="23">
        <f t="shared" si="3"/>
        <v>3</v>
      </c>
      <c r="J20" s="23">
        <f t="shared" si="2"/>
        <v>11</v>
      </c>
      <c r="K20" s="23">
        <f t="shared" si="2"/>
        <v>18</v>
      </c>
      <c r="L20" s="23"/>
      <c r="M20" s="23" cm="1">
        <f t="array" aca="1" ref="M20" ca="1">IF($I20="",0,INDIRECT(ADDRESS($I20,COLUMN(AA$1))))+IF($J20="",0,INDIRECT(ADDRESS($J20,COLUMN(AA$1)))+AA$14)+IF($K20="",0,INDIRECT(ADDRESS($K20,COLUMN(AA$1))))</f>
        <v>10</v>
      </c>
      <c r="N20" s="23" cm="1">
        <f t="array" aca="1" ref="N20" ca="1">IF($I20="",0,INDIRECT(ADDRESS($I20,COLUMN(AB$1))))+IF($J20="",0,INDIRECT(ADDRESS($J20,COLUMN(AB$1)))+AB$14)+IF($K20="",0,INDIRECT(ADDRESS($K20,COLUMN(AB$1))))</f>
        <v>12</v>
      </c>
      <c r="O20" s="23" cm="1">
        <f t="array" aca="1" ref="O20" ca="1">IF($I20="",0,INDIRECT(ADDRESS($I20,COLUMN(AC$1))))+IF($J20="",0,INDIRECT(ADDRESS($J20,COLUMN(AC$1)))+AC$14)+IF($K20="",0,INDIRECT(ADDRESS($K20,COLUMN(AC$1))))</f>
        <v>5</v>
      </c>
      <c r="P20" s="23" cm="1">
        <f t="array" aca="1" ref="P20" ca="1">IF($I20="",0,INDIRECT(ADDRESS($I20,COLUMN(AD$1))))+IF($J20="",0,INDIRECT(ADDRESS($J20,COLUMN(AD$1)))+AD$14)+IF($K20="",0,INDIRECT(ADDRESS($K20,COLUMN(AD$1))))</f>
        <v>6</v>
      </c>
      <c r="Q20" s="23" cm="1">
        <f t="array" aca="1" ref="Q20" ca="1">IF($I20="",0,INDIRECT(ADDRESS($I20,COLUMN(AE$1))))+IF($J20="",0,INDIRECT(ADDRESS($J20,COLUMN(AE$1)))+AE$14)+IF($K20="",0,INDIRECT(ADDRESS($K20,COLUMN(AE$1))))</f>
        <v>1</v>
      </c>
      <c r="R20" s="23" cm="1">
        <f t="array" aca="1" ref="R20" ca="1">IF($I20="",0,INDIRECT(ADDRESS($I20,COLUMN(AF$1))))+IF($J20="",0,INDIRECT(ADDRESS($J20,COLUMN(AF$1)))+AF$14)+IF($K20="",0,INDIRECT(ADDRESS($K20,COLUMN(AF$1))))</f>
        <v>0</v>
      </c>
      <c r="S20" s="1" t="str">
        <f t="shared" si="9"/>
        <v>A3</v>
      </c>
    </row>
    <row r="21" spans="1:33" x14ac:dyDescent="0.25">
      <c r="A21" s="30" t="b">
        <v>1</v>
      </c>
      <c r="B21" s="1">
        <v>15</v>
      </c>
      <c r="C21" s="1" t="str">
        <f t="shared" si="5"/>
        <v>3</v>
      </c>
      <c r="F21" s="28">
        <f t="shared" si="6"/>
        <v>3</v>
      </c>
      <c r="G21" s="23" t="str">
        <f t="shared" si="7"/>
        <v/>
      </c>
      <c r="H21" s="23" t="str">
        <f t="shared" si="8"/>
        <v/>
      </c>
      <c r="I21" s="23">
        <f t="shared" si="3"/>
        <v>25</v>
      </c>
      <c r="J21" s="23" t="str">
        <f t="shared" si="2"/>
        <v/>
      </c>
      <c r="K21" s="23" t="str">
        <f t="shared" si="2"/>
        <v/>
      </c>
      <c r="L21" s="23"/>
      <c r="M21" s="23" cm="1">
        <f t="array" aca="1" ref="M21" ca="1">IF($I21="",0,INDIRECT(ADDRESS($I21,COLUMN(AA$1))))+IF($J21="",0,INDIRECT(ADDRESS($J21,COLUMN(AA$1)))+AA$14)+IF($K21="",0,INDIRECT(ADDRESS($K21,COLUMN(AA$1))))</f>
        <v>0</v>
      </c>
      <c r="N21" s="23" cm="1">
        <f t="array" aca="1" ref="N21" ca="1">IF($I21="",0,INDIRECT(ADDRESS($I21,COLUMN(AB$1))))+IF($J21="",0,INDIRECT(ADDRESS($J21,COLUMN(AB$1)))+AB$14)+IF($K21="",0,INDIRECT(ADDRESS($K21,COLUMN(AB$1))))</f>
        <v>1</v>
      </c>
      <c r="O21" s="23" cm="1">
        <f t="array" aca="1" ref="O21" ca="1">IF($I21="",0,INDIRECT(ADDRESS($I21,COLUMN(AC$1))))+IF($J21="",0,INDIRECT(ADDRESS($J21,COLUMN(AC$1)))+AC$14)+IF($K21="",0,INDIRECT(ADDRESS($K21,COLUMN(AC$1))))</f>
        <v>0</v>
      </c>
      <c r="P21" s="23" cm="1">
        <f t="array" aca="1" ref="P21" ca="1">IF($I21="",0,INDIRECT(ADDRESS($I21,COLUMN(AD$1))))+IF($J21="",0,INDIRECT(ADDRESS($J21,COLUMN(AD$1)))+AD$14)+IF($K21="",0,INDIRECT(ADDRESS($K21,COLUMN(AD$1))))</f>
        <v>0</v>
      </c>
      <c r="Q21" s="23" cm="1">
        <f t="array" aca="1" ref="Q21" ca="1">IF($I21="",0,INDIRECT(ADDRESS($I21,COLUMN(AE$1))))+IF($J21="",0,INDIRECT(ADDRESS($J21,COLUMN(AE$1)))+AE$14)+IF($K21="",0,INDIRECT(ADDRESS($K21,COLUMN(AE$1))))</f>
        <v>0</v>
      </c>
      <c r="R21" s="23" cm="1">
        <f t="array" aca="1" ref="R21" ca="1">IF($I21="",0,INDIRECT(ADDRESS($I21,COLUMN(AF$1))))+IF($J21="",0,INDIRECT(ADDRESS($J21,COLUMN(AF$1)))+AF$14)+IF($K21="",0,INDIRECT(ADDRESS($K21,COLUMN(AF$1))))</f>
        <v>0</v>
      </c>
      <c r="S21" s="1" t="str">
        <f t="shared" si="9"/>
        <v>3</v>
      </c>
    </row>
    <row r="22" spans="1:33" x14ac:dyDescent="0.25">
      <c r="A22" s="1" t="s">
        <v>136</v>
      </c>
      <c r="B22" s="23">
        <v>16</v>
      </c>
      <c r="C22" s="1" t="str">
        <f t="shared" si="5"/>
        <v/>
      </c>
      <c r="F22" s="28" t="str">
        <f t="shared" si="6"/>
        <v/>
      </c>
      <c r="G22" s="23" t="str">
        <f t="shared" si="7"/>
        <v/>
      </c>
      <c r="H22" s="23" t="str">
        <f t="shared" si="8"/>
        <v/>
      </c>
      <c r="I22" s="23" t="str">
        <f t="shared" si="3"/>
        <v/>
      </c>
      <c r="J22" s="23" t="str">
        <f t="shared" si="3"/>
        <v/>
      </c>
      <c r="K22" s="23" t="str">
        <f t="shared" si="3"/>
        <v/>
      </c>
      <c r="L22" s="23"/>
      <c r="M22" s="23" cm="1">
        <f t="array" aca="1" ref="M22" ca="1">IF($I22="",0,INDIRECT(ADDRESS($I22,COLUMN(AA$1))))+IF($J22="",0,INDIRECT(ADDRESS($J22,COLUMN(AA$1)))+AA$14)+IF($K22="",0,INDIRECT(ADDRESS($K22,COLUMN(AA$1))))</f>
        <v>0</v>
      </c>
      <c r="N22" s="23" cm="1">
        <f t="array" aca="1" ref="N22" ca="1">IF($I22="",0,INDIRECT(ADDRESS($I22,COLUMN(AB$1))))+IF($J22="",0,INDIRECT(ADDRESS($J22,COLUMN(AB$1)))+AB$14)+IF($K22="",0,INDIRECT(ADDRESS($K22,COLUMN(AB$1))))</f>
        <v>0</v>
      </c>
      <c r="O22" s="23" cm="1">
        <f t="array" aca="1" ref="O22" ca="1">IF($I22="",0,INDIRECT(ADDRESS($I22,COLUMN(AC$1))))+IF($J22="",0,INDIRECT(ADDRESS($J22,COLUMN(AC$1)))+AC$14)+IF($K22="",0,INDIRECT(ADDRESS($K22,COLUMN(AC$1))))</f>
        <v>0</v>
      </c>
      <c r="P22" s="23" cm="1">
        <f t="array" aca="1" ref="P22" ca="1">IF($I22="",0,INDIRECT(ADDRESS($I22,COLUMN(AD$1))))+IF($J22="",0,INDIRECT(ADDRESS($J22,COLUMN(AD$1)))+AD$14)+IF($K22="",0,INDIRECT(ADDRESS($K22,COLUMN(AD$1))))</f>
        <v>0</v>
      </c>
      <c r="Q22" s="23" cm="1">
        <f t="array" aca="1" ref="Q22" ca="1">IF($I22="",0,INDIRECT(ADDRESS($I22,COLUMN(AE$1))))+IF($J22="",0,INDIRECT(ADDRESS($J22,COLUMN(AE$1)))+AE$14)+IF($K22="",0,INDIRECT(ADDRESS($K22,COLUMN(AE$1))))</f>
        <v>0</v>
      </c>
      <c r="R22" s="23" cm="1">
        <f t="array" aca="1" ref="R22" ca="1">IF($I22="",0,INDIRECT(ADDRESS($I22,COLUMN(AF$1))))+IF($J22="",0,INDIRECT(ADDRESS($J22,COLUMN(AF$1)))+AF$14)+IF($K22="",0,INDIRECT(ADDRESS($K22,COLUMN(AF$1))))</f>
        <v>0</v>
      </c>
      <c r="S22" s="1" t="str">
        <f t="shared" si="9"/>
        <v/>
      </c>
      <c r="X22" s="1" t="s">
        <v>14</v>
      </c>
    </row>
    <row r="23" spans="1:33" x14ac:dyDescent="0.25">
      <c r="A23" s="22">
        <f ca="1">(A11-A13*AF33)/A13</f>
        <v>1491.252211305369</v>
      </c>
      <c r="B23" s="1">
        <v>17</v>
      </c>
      <c r="C23" s="1" t="str">
        <f t="shared" si="5"/>
        <v/>
      </c>
      <c r="F23" s="28" t="str">
        <f t="shared" si="6"/>
        <v/>
      </c>
      <c r="G23" s="23" t="str">
        <f t="shared" si="7"/>
        <v/>
      </c>
      <c r="H23" s="23" t="str">
        <f t="shared" si="8"/>
        <v/>
      </c>
      <c r="I23" s="23" t="str">
        <f t="shared" si="3"/>
        <v/>
      </c>
      <c r="J23" s="23" t="str">
        <f t="shared" si="3"/>
        <v/>
      </c>
      <c r="K23" s="23" t="str">
        <f t="shared" si="3"/>
        <v/>
      </c>
      <c r="L23" s="23"/>
      <c r="M23" s="23" cm="1">
        <f t="array" aca="1" ref="M23" ca="1">IF($I23="",0,INDIRECT(ADDRESS($I23,COLUMN(AA$1))))+IF($J23="",0,INDIRECT(ADDRESS($J23,COLUMN(AA$1)))+AA$14)+IF($K23="",0,INDIRECT(ADDRESS($K23,COLUMN(AA$1))))</f>
        <v>0</v>
      </c>
      <c r="N23" s="23" cm="1">
        <f t="array" aca="1" ref="N23" ca="1">IF($I23="",0,INDIRECT(ADDRESS($I23,COLUMN(AB$1))))+IF($J23="",0,INDIRECT(ADDRESS($J23,COLUMN(AB$1)))+AB$14)+IF($K23="",0,INDIRECT(ADDRESS($K23,COLUMN(AB$1))))</f>
        <v>0</v>
      </c>
      <c r="O23" s="23" cm="1">
        <f t="array" aca="1" ref="O23" ca="1">IF($I23="",0,INDIRECT(ADDRESS($I23,COLUMN(AC$1))))+IF($J23="",0,INDIRECT(ADDRESS($J23,COLUMN(AC$1)))+AC$14)+IF($K23="",0,INDIRECT(ADDRESS($K23,COLUMN(AC$1))))</f>
        <v>0</v>
      </c>
      <c r="P23" s="23" cm="1">
        <f t="array" aca="1" ref="P23" ca="1">IF($I23="",0,INDIRECT(ADDRESS($I23,COLUMN(AD$1))))+IF($J23="",0,INDIRECT(ADDRESS($J23,COLUMN(AD$1)))+AD$14)+IF($K23="",0,INDIRECT(ADDRESS($K23,COLUMN(AD$1))))</f>
        <v>0</v>
      </c>
      <c r="Q23" s="23" cm="1">
        <f t="array" aca="1" ref="Q23" ca="1">IF($I23="",0,INDIRECT(ADDRESS($I23,COLUMN(AE$1))))+IF($J23="",0,INDIRECT(ADDRESS($J23,COLUMN(AE$1)))+AE$14)+IF($K23="",0,INDIRECT(ADDRESS($K23,COLUMN(AE$1))))</f>
        <v>0</v>
      </c>
      <c r="R23" s="23" cm="1">
        <f t="array" aca="1" ref="R23" ca="1">IF($I23="",0,INDIRECT(ADDRESS($I23,COLUMN(AF$1))))+IF($J23="",0,INDIRECT(ADDRESS($J23,COLUMN(AF$1)))+AF$14)+IF($K23="",0,INDIRECT(ADDRESS($K23,COLUMN(AF$1))))</f>
        <v>0</v>
      </c>
      <c r="S23" s="1" t="str">
        <f t="shared" si="9"/>
        <v/>
      </c>
      <c r="X23" s="1" t="s">
        <v>19</v>
      </c>
      <c r="Y23" s="1" t="s">
        <v>1</v>
      </c>
      <c r="Z23" s="1" t="s">
        <v>20</v>
      </c>
      <c r="AA23" s="1" t="s">
        <v>2</v>
      </c>
      <c r="AB23" s="1" t="s">
        <v>3</v>
      </c>
      <c r="AC23" s="1" t="s">
        <v>4</v>
      </c>
      <c r="AD23" s="1" t="s">
        <v>5</v>
      </c>
      <c r="AE23" s="1" t="s">
        <v>6</v>
      </c>
      <c r="AF23" s="1" t="s">
        <v>16</v>
      </c>
    </row>
    <row r="24" spans="1:33" x14ac:dyDescent="0.25">
      <c r="B24" s="23">
        <v>18</v>
      </c>
      <c r="C24" s="1" t="str">
        <f t="shared" si="5"/>
        <v/>
      </c>
      <c r="F24" s="28" t="str">
        <f t="shared" si="6"/>
        <v/>
      </c>
      <c r="G24" s="23" t="str">
        <f t="shared" si="7"/>
        <v/>
      </c>
      <c r="H24" s="23" t="str">
        <f t="shared" si="8"/>
        <v/>
      </c>
      <c r="I24" s="23" t="str">
        <f t="shared" si="3"/>
        <v/>
      </c>
      <c r="J24" s="23" t="str">
        <f t="shared" si="3"/>
        <v/>
      </c>
      <c r="K24" s="23" t="str">
        <f t="shared" si="3"/>
        <v/>
      </c>
      <c r="L24" s="23"/>
      <c r="M24" s="23" cm="1">
        <f t="array" aca="1" ref="M24" ca="1">IF($I24="",0,INDIRECT(ADDRESS($I24,COLUMN(AA$1))))+IF($J24="",0,INDIRECT(ADDRESS($J24,COLUMN(AA$1)))+AA$14)+IF($K24="",0,INDIRECT(ADDRESS($K24,COLUMN(AA$1))))</f>
        <v>0</v>
      </c>
      <c r="N24" s="23" cm="1">
        <f t="array" aca="1" ref="N24" ca="1">IF($I24="",0,INDIRECT(ADDRESS($I24,COLUMN(AB$1))))+IF($J24="",0,INDIRECT(ADDRESS($J24,COLUMN(AB$1)))+AB$14)+IF($K24="",0,INDIRECT(ADDRESS($K24,COLUMN(AB$1))))</f>
        <v>0</v>
      </c>
      <c r="O24" s="23" cm="1">
        <f t="array" aca="1" ref="O24" ca="1">IF($I24="",0,INDIRECT(ADDRESS($I24,COLUMN(AC$1))))+IF($J24="",0,INDIRECT(ADDRESS($J24,COLUMN(AC$1)))+AC$14)+IF($K24="",0,INDIRECT(ADDRESS($K24,COLUMN(AC$1))))</f>
        <v>0</v>
      </c>
      <c r="P24" s="23" cm="1">
        <f t="array" aca="1" ref="P24" ca="1">IF($I24="",0,INDIRECT(ADDRESS($I24,COLUMN(AD$1))))+IF($J24="",0,INDIRECT(ADDRESS($J24,COLUMN(AD$1)))+AD$14)+IF($K24="",0,INDIRECT(ADDRESS($K24,COLUMN(AD$1))))</f>
        <v>0</v>
      </c>
      <c r="Q24" s="23" cm="1">
        <f t="array" aca="1" ref="Q24" ca="1">IF($I24="",0,INDIRECT(ADDRESS($I24,COLUMN(AE$1))))+IF($J24="",0,INDIRECT(ADDRESS($J24,COLUMN(AE$1)))+AE$14)+IF($K24="",0,INDIRECT(ADDRESS($K24,COLUMN(AE$1))))</f>
        <v>0</v>
      </c>
      <c r="R24" s="23" cm="1">
        <f t="array" aca="1" ref="R24" ca="1">IF($I24="",0,INDIRECT(ADDRESS($I24,COLUMN(AF$1))))+IF($J24="",0,INDIRECT(ADDRESS($J24,COLUMN(AF$1)))+AF$14)+IF($K24="",0,INDIRECT(ADDRESS($K24,COLUMN(AF$1))))</f>
        <v>0</v>
      </c>
      <c r="S24" s="1" t="str">
        <f t="shared" si="9"/>
        <v/>
      </c>
      <c r="X24" s="4">
        <v>5</v>
      </c>
      <c r="Y24" s="4" t="s">
        <v>146</v>
      </c>
      <c r="Z24" s="4" t="s">
        <v>21</v>
      </c>
      <c r="AA24" s="4">
        <v>0</v>
      </c>
      <c r="AB24" s="4">
        <v>1</v>
      </c>
      <c r="AC24" s="4">
        <v>0</v>
      </c>
      <c r="AD24" s="4">
        <v>1</v>
      </c>
      <c r="AE24" s="4">
        <v>0</v>
      </c>
      <c r="AF24" s="4">
        <v>0</v>
      </c>
    </row>
    <row r="25" spans="1:33" x14ac:dyDescent="0.25">
      <c r="B25" s="1">
        <v>19</v>
      </c>
      <c r="C25" s="1" t="str">
        <f t="shared" si="5"/>
        <v/>
      </c>
      <c r="F25" s="28" t="str">
        <f t="shared" si="6"/>
        <v/>
      </c>
      <c r="G25" s="23" t="str">
        <f t="shared" si="7"/>
        <v/>
      </c>
      <c r="H25" s="23" t="str">
        <f t="shared" si="8"/>
        <v/>
      </c>
      <c r="I25" s="23" t="str">
        <f t="shared" si="3"/>
        <v/>
      </c>
      <c r="J25" s="23" t="str">
        <f t="shared" si="3"/>
        <v/>
      </c>
      <c r="K25" s="23" t="str">
        <f t="shared" si="3"/>
        <v/>
      </c>
      <c r="L25" s="23"/>
      <c r="M25" s="23" cm="1">
        <f t="array" aca="1" ref="M25" ca="1">IF($I25="",0,INDIRECT(ADDRESS($I25,COLUMN(AA$1))))+IF($J25="",0,INDIRECT(ADDRESS($J25,COLUMN(AA$1)))+AA$14)+IF($K25="",0,INDIRECT(ADDRESS($K25,COLUMN(AA$1))))</f>
        <v>0</v>
      </c>
      <c r="N25" s="23" cm="1">
        <f t="array" aca="1" ref="N25" ca="1">IF($I25="",0,INDIRECT(ADDRESS($I25,COLUMN(AB$1))))+IF($J25="",0,INDIRECT(ADDRESS($J25,COLUMN(AB$1)))+AB$14)+IF($K25="",0,INDIRECT(ADDRESS($K25,COLUMN(AB$1))))</f>
        <v>0</v>
      </c>
      <c r="O25" s="23" cm="1">
        <f t="array" aca="1" ref="O25" ca="1">IF($I25="",0,INDIRECT(ADDRESS($I25,COLUMN(AC$1))))+IF($J25="",0,INDIRECT(ADDRESS($J25,COLUMN(AC$1)))+AC$14)+IF($K25="",0,INDIRECT(ADDRESS($K25,COLUMN(AC$1))))</f>
        <v>0</v>
      </c>
      <c r="P25" s="23" cm="1">
        <f t="array" aca="1" ref="P25" ca="1">IF($I25="",0,INDIRECT(ADDRESS($I25,COLUMN(AD$1))))+IF($J25="",0,INDIRECT(ADDRESS($J25,COLUMN(AD$1)))+AD$14)+IF($K25="",0,INDIRECT(ADDRESS($K25,COLUMN(AD$1))))</f>
        <v>0</v>
      </c>
      <c r="Q25" s="23" cm="1">
        <f t="array" aca="1" ref="Q25" ca="1">IF($I25="",0,INDIRECT(ADDRESS($I25,COLUMN(AE$1))))+IF($J25="",0,INDIRECT(ADDRESS($J25,COLUMN(AE$1)))+AE$14)+IF($K25="",0,INDIRECT(ADDRESS($K25,COLUMN(AE$1))))</f>
        <v>0</v>
      </c>
      <c r="R25" s="23" cm="1">
        <f t="array" aca="1" ref="R25" ca="1">IF($I25="",0,INDIRECT(ADDRESS($I25,COLUMN(AF$1))))+IF($J25="",0,INDIRECT(ADDRESS($J25,COLUMN(AF$1)))+AF$14)+IF($K25="",0,INDIRECT(ADDRESS($K25,COLUMN(AF$1))))</f>
        <v>0</v>
      </c>
      <c r="S25" s="1" t="str">
        <f t="shared" si="9"/>
        <v/>
      </c>
      <c r="X25" s="4">
        <v>3</v>
      </c>
      <c r="Y25" s="4" t="s">
        <v>147</v>
      </c>
      <c r="Z25" s="4" t="s">
        <v>22</v>
      </c>
      <c r="AA25" s="4">
        <v>0</v>
      </c>
      <c r="AB25" s="4">
        <v>1</v>
      </c>
      <c r="AC25" s="4">
        <v>0</v>
      </c>
      <c r="AD25" s="4">
        <v>0</v>
      </c>
      <c r="AE25" s="4">
        <v>0</v>
      </c>
      <c r="AF25" s="4">
        <v>0</v>
      </c>
    </row>
    <row r="26" spans="1:33" x14ac:dyDescent="0.25">
      <c r="B26" s="23">
        <v>20</v>
      </c>
      <c r="C26" s="1" t="str">
        <f t="shared" si="5"/>
        <v/>
      </c>
      <c r="F26" s="28" t="str">
        <f t="shared" si="6"/>
        <v/>
      </c>
      <c r="G26" s="23" t="str">
        <f t="shared" si="7"/>
        <v/>
      </c>
      <c r="H26" s="23" t="str">
        <f t="shared" si="8"/>
        <v/>
      </c>
      <c r="I26" s="23" t="str">
        <f t="shared" si="3"/>
        <v/>
      </c>
      <c r="J26" s="23" t="str">
        <f t="shared" si="3"/>
        <v/>
      </c>
      <c r="K26" s="23" t="str">
        <f t="shared" si="3"/>
        <v/>
      </c>
      <c r="L26" s="23"/>
      <c r="M26" s="23" cm="1">
        <f t="array" aca="1" ref="M26" ca="1">IF($I26="",0,INDIRECT(ADDRESS($I26,COLUMN(AA$1))))+IF($J26="",0,INDIRECT(ADDRESS($J26,COLUMN(AA$1)))+AA$14)+IF($K26="",0,INDIRECT(ADDRESS($K26,COLUMN(AA$1))))</f>
        <v>0</v>
      </c>
      <c r="N26" s="23" cm="1">
        <f t="array" aca="1" ref="N26" ca="1">IF($I26="",0,INDIRECT(ADDRESS($I26,COLUMN(AB$1))))+IF($J26="",0,INDIRECT(ADDRESS($J26,COLUMN(AB$1)))+AB$14)+IF($K26="",0,INDIRECT(ADDRESS($K26,COLUMN(AB$1))))</f>
        <v>0</v>
      </c>
      <c r="O26" s="23" cm="1">
        <f t="array" aca="1" ref="O26" ca="1">IF($I26="",0,INDIRECT(ADDRESS($I26,COLUMN(AC$1))))+IF($J26="",0,INDIRECT(ADDRESS($J26,COLUMN(AC$1)))+AC$14)+IF($K26="",0,INDIRECT(ADDRESS($K26,COLUMN(AC$1))))</f>
        <v>0</v>
      </c>
      <c r="P26" s="23" cm="1">
        <f t="array" aca="1" ref="P26" ca="1">IF($I26="",0,INDIRECT(ADDRESS($I26,COLUMN(AD$1))))+IF($J26="",0,INDIRECT(ADDRESS($J26,COLUMN(AD$1)))+AD$14)+IF($K26="",0,INDIRECT(ADDRESS($K26,COLUMN(AD$1))))</f>
        <v>0</v>
      </c>
      <c r="Q26" s="23" cm="1">
        <f t="array" aca="1" ref="Q26" ca="1">IF($I26="",0,INDIRECT(ADDRESS($I26,COLUMN(AE$1))))+IF($J26="",0,INDIRECT(ADDRESS($J26,COLUMN(AE$1)))+AE$14)+IF($K26="",0,INDIRECT(ADDRESS($K26,COLUMN(AE$1))))</f>
        <v>0</v>
      </c>
      <c r="R26" s="23" cm="1">
        <f t="array" aca="1" ref="R26" ca="1">IF($I26="",0,INDIRECT(ADDRESS($I26,COLUMN(AF$1))))+IF($J26="",0,INDIRECT(ADDRESS($J26,COLUMN(AF$1)))+AF$14)+IF($K26="",0,INDIRECT(ADDRESS($K26,COLUMN(AF$1))))</f>
        <v>0</v>
      </c>
      <c r="S26" s="1" t="str">
        <f t="shared" si="9"/>
        <v/>
      </c>
    </row>
    <row r="27" spans="1:33" x14ac:dyDescent="0.25">
      <c r="B27" s="1">
        <v>21</v>
      </c>
      <c r="C27" s="1" t="str">
        <f t="shared" si="5"/>
        <v/>
      </c>
      <c r="F27" s="28" t="str">
        <f t="shared" si="6"/>
        <v/>
      </c>
      <c r="G27" s="23" t="str">
        <f t="shared" si="7"/>
        <v/>
      </c>
      <c r="H27" s="23" t="str">
        <f t="shared" si="8"/>
        <v/>
      </c>
      <c r="I27" s="23" t="str">
        <f t="shared" si="3"/>
        <v/>
      </c>
      <c r="J27" s="23" t="str">
        <f>IF(G27="","",MATCH(G27,$X:$X,0))</f>
        <v/>
      </c>
      <c r="K27" s="23" t="str">
        <f t="shared" si="3"/>
        <v/>
      </c>
      <c r="L27" s="23"/>
      <c r="M27" s="23" cm="1">
        <f t="array" aca="1" ref="M27" ca="1">IF($I27="",0,INDIRECT(ADDRESS($I27,COLUMN(AA$1))))+IF($J27="",0,INDIRECT(ADDRESS($J27,COLUMN(AA$1)))+AA$14)+IF($K27="",0,INDIRECT(ADDRESS($K27,COLUMN(AA$1))))</f>
        <v>0</v>
      </c>
      <c r="N27" s="23" cm="1">
        <f t="array" aca="1" ref="N27" ca="1">IF($I27="",0,INDIRECT(ADDRESS($I27,COLUMN(AB$1))))+IF($J27="",0,INDIRECT(ADDRESS($J27,COLUMN(AB$1)))+AB$14)+IF($K27="",0,INDIRECT(ADDRESS($K27,COLUMN(AB$1))))</f>
        <v>0</v>
      </c>
      <c r="O27" s="23" cm="1">
        <f t="array" aca="1" ref="O27" ca="1">IF($I27="",0,INDIRECT(ADDRESS($I27,COLUMN(AC$1))))+IF($J27="",0,INDIRECT(ADDRESS($J27,COLUMN(AC$1)))+AC$14)+IF($K27="",0,INDIRECT(ADDRESS($K27,COLUMN(AC$1))))</f>
        <v>0</v>
      </c>
      <c r="P27" s="23" cm="1">
        <f t="array" aca="1" ref="P27" ca="1">IF($I27="",0,INDIRECT(ADDRESS($I27,COLUMN(AD$1))))+IF($J27="",0,INDIRECT(ADDRESS($J27,COLUMN(AD$1)))+AD$14)+IF($K27="",0,INDIRECT(ADDRESS($K27,COLUMN(AD$1))))</f>
        <v>0</v>
      </c>
      <c r="Q27" s="23" cm="1">
        <f t="array" aca="1" ref="Q27" ca="1">IF($I27="",0,INDIRECT(ADDRESS($I27,COLUMN(AE$1))))+IF($J27="",0,INDIRECT(ADDRESS($J27,COLUMN(AE$1)))+AE$14)+IF($K27="",0,INDIRECT(ADDRESS($K27,COLUMN(AE$1))))</f>
        <v>0</v>
      </c>
      <c r="R27" s="23" cm="1">
        <f t="array" aca="1" ref="R27" ca="1">IF($I27="",0,INDIRECT(ADDRESS($I27,COLUMN(AF$1))))+IF($J27="",0,INDIRECT(ADDRESS($J27,COLUMN(AF$1)))+AF$14)+IF($K27="",0,INDIRECT(ADDRESS($K27,COLUMN(AF$1))))</f>
        <v>0</v>
      </c>
      <c r="S27" s="1" t="str">
        <f t="shared" si="9"/>
        <v/>
      </c>
    </row>
    <row r="28" spans="1:33" x14ac:dyDescent="0.25">
      <c r="B28" s="23">
        <v>22</v>
      </c>
      <c r="C28" s="1" t="str">
        <f t="shared" si="5"/>
        <v/>
      </c>
      <c r="F28" s="28" t="str">
        <f t="shared" si="6"/>
        <v/>
      </c>
      <c r="G28" s="23" t="str">
        <f t="shared" si="7"/>
        <v/>
      </c>
      <c r="H28" s="23" t="str">
        <f t="shared" si="8"/>
        <v/>
      </c>
      <c r="I28" s="23" t="str">
        <f t="shared" si="3"/>
        <v/>
      </c>
      <c r="J28" s="23" t="str">
        <f t="shared" si="3"/>
        <v/>
      </c>
      <c r="K28" s="23" t="str">
        <f t="shared" si="3"/>
        <v/>
      </c>
      <c r="L28" s="23"/>
      <c r="M28" s="23" cm="1">
        <f t="array" aca="1" ref="M28" ca="1">IF($I28="",0,INDIRECT(ADDRESS($I28,COLUMN(AA$1))))+IF($J28="",0,INDIRECT(ADDRESS($J28,COLUMN(AA$1)))+AA$14)+IF($K28="",0,INDIRECT(ADDRESS($K28,COLUMN(AA$1))))</f>
        <v>0</v>
      </c>
      <c r="N28" s="23" cm="1">
        <f t="array" aca="1" ref="N28" ca="1">IF($I28="",0,INDIRECT(ADDRESS($I28,COLUMN(AB$1))))+IF($J28="",0,INDIRECT(ADDRESS($J28,COLUMN(AB$1)))+AB$14)+IF($K28="",0,INDIRECT(ADDRESS($K28,COLUMN(AB$1))))</f>
        <v>0</v>
      </c>
      <c r="O28" s="23" cm="1">
        <f t="array" aca="1" ref="O28" ca="1">IF($I28="",0,INDIRECT(ADDRESS($I28,COLUMN(AC$1))))+IF($J28="",0,INDIRECT(ADDRESS($J28,COLUMN(AC$1)))+AC$14)+IF($K28="",0,INDIRECT(ADDRESS($K28,COLUMN(AC$1))))</f>
        <v>0</v>
      </c>
      <c r="P28" s="23" cm="1">
        <f t="array" aca="1" ref="P28" ca="1">IF($I28="",0,INDIRECT(ADDRESS($I28,COLUMN(AD$1))))+IF($J28="",0,INDIRECT(ADDRESS($J28,COLUMN(AD$1)))+AD$14)+IF($K28="",0,INDIRECT(ADDRESS($K28,COLUMN(AD$1))))</f>
        <v>0</v>
      </c>
      <c r="Q28" s="23" cm="1">
        <f t="array" aca="1" ref="Q28" ca="1">IF($I28="",0,INDIRECT(ADDRESS($I28,COLUMN(AE$1))))+IF($J28="",0,INDIRECT(ADDRESS($J28,COLUMN(AE$1)))+AE$14)+IF($K28="",0,INDIRECT(ADDRESS($K28,COLUMN(AE$1))))</f>
        <v>0</v>
      </c>
      <c r="R28" s="23" cm="1">
        <f t="array" aca="1" ref="R28" ca="1">IF($I28="",0,INDIRECT(ADDRESS($I28,COLUMN(AF$1))))+IF($J28="",0,INDIRECT(ADDRESS($J28,COLUMN(AF$1)))+AF$14)+IF($K28="",0,INDIRECT(ADDRESS($K28,COLUMN(AF$1))))</f>
        <v>0</v>
      </c>
      <c r="S28" s="1" t="str">
        <f t="shared" si="9"/>
        <v/>
      </c>
    </row>
    <row r="29" spans="1:33" x14ac:dyDescent="0.25">
      <c r="B29" s="1">
        <v>23</v>
      </c>
      <c r="C29" s="1" t="str">
        <f t="shared" si="5"/>
        <v/>
      </c>
      <c r="F29" s="28" t="str">
        <f t="shared" si="6"/>
        <v/>
      </c>
      <c r="G29" s="23" t="str">
        <f t="shared" si="7"/>
        <v/>
      </c>
      <c r="H29" s="23" t="str">
        <f t="shared" si="8"/>
        <v/>
      </c>
      <c r="I29" s="23" t="str">
        <f t="shared" si="3"/>
        <v/>
      </c>
      <c r="J29" s="23" t="str">
        <f t="shared" si="3"/>
        <v/>
      </c>
      <c r="K29" s="23" t="str">
        <f t="shared" si="3"/>
        <v/>
      </c>
      <c r="L29" s="23"/>
      <c r="M29" s="23" cm="1">
        <f t="array" aca="1" ref="M29" ca="1">IF($I29="",0,INDIRECT(ADDRESS($I29,COLUMN(AA$1))))+IF($J29="",0,INDIRECT(ADDRESS($J29,COLUMN(AA$1)))+AA$14)+IF($K29="",0,INDIRECT(ADDRESS($K29,COLUMN(AA$1))))</f>
        <v>0</v>
      </c>
      <c r="N29" s="23" cm="1">
        <f t="array" aca="1" ref="N29" ca="1">IF($I29="",0,INDIRECT(ADDRESS($I29,COLUMN(AB$1))))+IF($J29="",0,INDIRECT(ADDRESS($J29,COLUMN(AB$1)))+AB$14)+IF($K29="",0,INDIRECT(ADDRESS($K29,COLUMN(AB$1))))</f>
        <v>0</v>
      </c>
      <c r="O29" s="23" cm="1">
        <f t="array" aca="1" ref="O29" ca="1">IF($I29="",0,INDIRECT(ADDRESS($I29,COLUMN(AC$1))))+IF($J29="",0,INDIRECT(ADDRESS($J29,COLUMN(AC$1)))+AC$14)+IF($K29="",0,INDIRECT(ADDRESS($K29,COLUMN(AC$1))))</f>
        <v>0</v>
      </c>
      <c r="P29" s="23" cm="1">
        <f t="array" aca="1" ref="P29" ca="1">IF($I29="",0,INDIRECT(ADDRESS($I29,COLUMN(AD$1))))+IF($J29="",0,INDIRECT(ADDRESS($J29,COLUMN(AD$1)))+AD$14)+IF($K29="",0,INDIRECT(ADDRESS($K29,COLUMN(AD$1))))</f>
        <v>0</v>
      </c>
      <c r="Q29" s="23" cm="1">
        <f t="array" aca="1" ref="Q29" ca="1">IF($I29="",0,INDIRECT(ADDRESS($I29,COLUMN(AE$1))))+IF($J29="",0,INDIRECT(ADDRESS($J29,COLUMN(AE$1)))+AE$14)+IF($K29="",0,INDIRECT(ADDRESS($K29,COLUMN(AE$1))))</f>
        <v>0</v>
      </c>
      <c r="R29" s="23" cm="1">
        <f t="array" aca="1" ref="R29" ca="1">IF($I29="",0,INDIRECT(ADDRESS($I29,COLUMN(AF$1))))+IF($J29="",0,INDIRECT(ADDRESS($J29,COLUMN(AF$1)))+AF$14)+IF($K29="",0,INDIRECT(ADDRESS($K29,COLUMN(AF$1))))</f>
        <v>0</v>
      </c>
      <c r="S29" s="1" t="str">
        <f t="shared" si="9"/>
        <v/>
      </c>
    </row>
    <row r="30" spans="1:33" x14ac:dyDescent="0.25">
      <c r="B30" s="23">
        <v>24</v>
      </c>
      <c r="C30" s="1" t="str">
        <f t="shared" si="5"/>
        <v/>
      </c>
      <c r="F30" s="28" t="str">
        <f t="shared" si="6"/>
        <v/>
      </c>
      <c r="G30" s="23" t="str">
        <f t="shared" si="7"/>
        <v/>
      </c>
      <c r="H30" s="23" t="str">
        <f t="shared" si="8"/>
        <v/>
      </c>
      <c r="I30" s="23" t="str">
        <f t="shared" si="3"/>
        <v/>
      </c>
      <c r="J30" s="23" t="str">
        <f t="shared" si="3"/>
        <v/>
      </c>
      <c r="K30" s="23" t="str">
        <f t="shared" si="3"/>
        <v/>
      </c>
      <c r="L30" s="23"/>
      <c r="M30" s="23" cm="1">
        <f t="array" aca="1" ref="M30" ca="1">IF($I30="",0,INDIRECT(ADDRESS($I30,COLUMN(AA$1))))+IF($J30="",0,INDIRECT(ADDRESS($J30,COLUMN(AA$1)))+AA$14)+IF($K30="",0,INDIRECT(ADDRESS($K30,COLUMN(AA$1))))</f>
        <v>0</v>
      </c>
      <c r="N30" s="23" cm="1">
        <f t="array" aca="1" ref="N30" ca="1">IF($I30="",0,INDIRECT(ADDRESS($I30,COLUMN(AB$1))))+IF($J30="",0,INDIRECT(ADDRESS($J30,COLUMN(AB$1)))+AB$14)+IF($K30="",0,INDIRECT(ADDRESS($K30,COLUMN(AB$1))))</f>
        <v>0</v>
      </c>
      <c r="O30" s="23" cm="1">
        <f t="array" aca="1" ref="O30" ca="1">IF($I30="",0,INDIRECT(ADDRESS($I30,COLUMN(AC$1))))+IF($J30="",0,INDIRECT(ADDRESS($J30,COLUMN(AC$1)))+AC$14)+IF($K30="",0,INDIRECT(ADDRESS($K30,COLUMN(AC$1))))</f>
        <v>0</v>
      </c>
      <c r="P30" s="23" cm="1">
        <f t="array" aca="1" ref="P30" ca="1">IF($I30="",0,INDIRECT(ADDRESS($I30,COLUMN(AD$1))))+IF($J30="",0,INDIRECT(ADDRESS($J30,COLUMN(AD$1)))+AD$14)+IF($K30="",0,INDIRECT(ADDRESS($K30,COLUMN(AD$1))))</f>
        <v>0</v>
      </c>
      <c r="Q30" s="23" cm="1">
        <f t="array" aca="1" ref="Q30" ca="1">IF($I30="",0,INDIRECT(ADDRESS($I30,COLUMN(AE$1))))+IF($J30="",0,INDIRECT(ADDRESS($J30,COLUMN(AE$1)))+AE$14)+IF($K30="",0,INDIRECT(ADDRESS($K30,COLUMN(AE$1))))</f>
        <v>0</v>
      </c>
      <c r="R30" s="23" cm="1">
        <f t="array" aca="1" ref="R30" ca="1">IF($I30="",0,INDIRECT(ADDRESS($I30,COLUMN(AF$1))))+IF($J30="",0,INDIRECT(ADDRESS($J30,COLUMN(AF$1)))+AF$14)+IF($K30="",0,INDIRECT(ADDRESS($K30,COLUMN(AF$1))))</f>
        <v>0</v>
      </c>
      <c r="S30" s="1" t="str">
        <f t="shared" si="9"/>
        <v/>
      </c>
    </row>
    <row r="31" spans="1:33" x14ac:dyDescent="0.25">
      <c r="B31" s="1">
        <v>25</v>
      </c>
      <c r="C31" s="1" t="str">
        <f t="shared" si="5"/>
        <v/>
      </c>
      <c r="F31" s="28" t="str">
        <f t="shared" si="6"/>
        <v/>
      </c>
      <c r="G31" s="23" t="str">
        <f t="shared" si="7"/>
        <v/>
      </c>
      <c r="H31" s="23" t="str">
        <f t="shared" si="8"/>
        <v/>
      </c>
      <c r="I31" s="23" t="str">
        <f t="shared" si="3"/>
        <v/>
      </c>
      <c r="J31" s="23" t="str">
        <f t="shared" si="3"/>
        <v/>
      </c>
      <c r="K31" s="23" t="str">
        <f t="shared" si="3"/>
        <v/>
      </c>
      <c r="L31" s="23"/>
      <c r="M31" s="23" cm="1">
        <f t="array" aca="1" ref="M31" ca="1">IF($I31="",0,INDIRECT(ADDRESS($I31,COLUMN(AA$1))))+IF($J31="",0,INDIRECT(ADDRESS($J31,COLUMN(AA$1)))+AA$14)+IF($K31="",0,INDIRECT(ADDRESS($K31,COLUMN(AA$1))))</f>
        <v>0</v>
      </c>
      <c r="N31" s="23" cm="1">
        <f t="array" aca="1" ref="N31" ca="1">IF($I31="",0,INDIRECT(ADDRESS($I31,COLUMN(AB$1))))+IF($J31="",0,INDIRECT(ADDRESS($J31,COLUMN(AB$1)))+AB$14)+IF($K31="",0,INDIRECT(ADDRESS($K31,COLUMN(AB$1))))</f>
        <v>0</v>
      </c>
      <c r="O31" s="23" cm="1">
        <f t="array" aca="1" ref="O31" ca="1">IF($I31="",0,INDIRECT(ADDRESS($I31,COLUMN(AC$1))))+IF($J31="",0,INDIRECT(ADDRESS($J31,COLUMN(AC$1)))+AC$14)+IF($K31="",0,INDIRECT(ADDRESS($K31,COLUMN(AC$1))))</f>
        <v>0</v>
      </c>
      <c r="P31" s="23" cm="1">
        <f t="array" aca="1" ref="P31" ca="1">IF($I31="",0,INDIRECT(ADDRESS($I31,COLUMN(AD$1))))+IF($J31="",0,INDIRECT(ADDRESS($J31,COLUMN(AD$1)))+AD$14)+IF($K31="",0,INDIRECT(ADDRESS($K31,COLUMN(AD$1))))</f>
        <v>0</v>
      </c>
      <c r="Q31" s="23" cm="1">
        <f t="array" aca="1" ref="Q31" ca="1">IF($I31="",0,INDIRECT(ADDRESS($I31,COLUMN(AE$1))))+IF($J31="",0,INDIRECT(ADDRESS($J31,COLUMN(AE$1)))+AE$14)+IF($K31="",0,INDIRECT(ADDRESS($K31,COLUMN(AE$1))))</f>
        <v>0</v>
      </c>
      <c r="R31" s="23" cm="1">
        <f t="array" aca="1" ref="R31" ca="1">IF($I31="",0,INDIRECT(ADDRESS($I31,COLUMN(AF$1))))+IF($J31="",0,INDIRECT(ADDRESS($J31,COLUMN(AF$1)))+AF$14)+IF($K31="",0,INDIRECT(ADDRESS($K31,COLUMN(AF$1))))</f>
        <v>0</v>
      </c>
      <c r="S31" s="1" t="str">
        <f t="shared" si="9"/>
        <v/>
      </c>
      <c r="X31" s="1" t="s">
        <v>27</v>
      </c>
      <c r="Y31" s="1">
        <f>COLUMN()</f>
        <v>25</v>
      </c>
      <c r="Z31" s="1">
        <f>COLUMN()</f>
        <v>26</v>
      </c>
      <c r="AA31" s="1">
        <f>COLUMN()</f>
        <v>27</v>
      </c>
      <c r="AB31" s="1">
        <f>COLUMN()</f>
        <v>28</v>
      </c>
      <c r="AC31" s="1">
        <f>COLUMN()</f>
        <v>29</v>
      </c>
      <c r="AD31" s="1">
        <f>COLUMN()</f>
        <v>30</v>
      </c>
      <c r="AE31" s="1">
        <f>COLUMN()</f>
        <v>31</v>
      </c>
      <c r="AF31" s="1">
        <f>COLUMN()</f>
        <v>32</v>
      </c>
      <c r="AG31" s="1">
        <f>COLUMN()</f>
        <v>33</v>
      </c>
    </row>
    <row r="32" spans="1:33" x14ac:dyDescent="0.25">
      <c r="B32" s="23">
        <v>26</v>
      </c>
      <c r="C32" s="1" t="str">
        <f t="shared" si="5"/>
        <v/>
      </c>
      <c r="F32" s="28" t="str">
        <f t="shared" si="6"/>
        <v/>
      </c>
      <c r="G32" s="23" t="str">
        <f t="shared" si="7"/>
        <v/>
      </c>
      <c r="H32" s="23" t="str">
        <f t="shared" si="8"/>
        <v/>
      </c>
      <c r="I32" s="23" t="str">
        <f t="shared" si="3"/>
        <v/>
      </c>
      <c r="J32" s="23" t="str">
        <f t="shared" si="3"/>
        <v/>
      </c>
      <c r="K32" s="23" t="str">
        <f t="shared" si="3"/>
        <v/>
      </c>
      <c r="L32" s="23"/>
      <c r="M32" s="23" cm="1">
        <f t="array" aca="1" ref="M32" ca="1">IF($I32="",0,INDIRECT(ADDRESS($I32,COLUMN(AA$1))))+IF($J32="",0,INDIRECT(ADDRESS($J32,COLUMN(AA$1)))+AA$14)+IF($K32="",0,INDIRECT(ADDRESS($K32,COLUMN(AA$1))))</f>
        <v>0</v>
      </c>
      <c r="N32" s="23" cm="1">
        <f t="array" aca="1" ref="N32" ca="1">IF($I32="",0,INDIRECT(ADDRESS($I32,COLUMN(AB$1))))+IF($J32="",0,INDIRECT(ADDRESS($J32,COLUMN(AB$1)))+AB$14)+IF($K32="",0,INDIRECT(ADDRESS($K32,COLUMN(AB$1))))</f>
        <v>0</v>
      </c>
      <c r="O32" s="23" cm="1">
        <f t="array" aca="1" ref="O32" ca="1">IF($I32="",0,INDIRECT(ADDRESS($I32,COLUMN(AC$1))))+IF($J32="",0,INDIRECT(ADDRESS($J32,COLUMN(AC$1)))+AC$14)+IF($K32="",0,INDIRECT(ADDRESS($K32,COLUMN(AC$1))))</f>
        <v>0</v>
      </c>
      <c r="P32" s="23" cm="1">
        <f t="array" aca="1" ref="P32" ca="1">IF($I32="",0,INDIRECT(ADDRESS($I32,COLUMN(AD$1))))+IF($J32="",0,INDIRECT(ADDRESS($J32,COLUMN(AD$1)))+AD$14)+IF($K32="",0,INDIRECT(ADDRESS($K32,COLUMN(AD$1))))</f>
        <v>0</v>
      </c>
      <c r="Q32" s="23" cm="1">
        <f t="array" aca="1" ref="Q32" ca="1">IF($I32="",0,INDIRECT(ADDRESS($I32,COLUMN(AE$1))))+IF($J32="",0,INDIRECT(ADDRESS($J32,COLUMN(AE$1)))+AE$14)+IF($K32="",0,INDIRECT(ADDRESS($K32,COLUMN(AE$1))))</f>
        <v>0</v>
      </c>
      <c r="R32" s="23" cm="1">
        <f t="array" aca="1" ref="R32" ca="1">IF($I32="",0,INDIRECT(ADDRESS($I32,COLUMN(AF$1))))+IF($J32="",0,INDIRECT(ADDRESS($J32,COLUMN(AF$1)))+AF$14)+IF($K32="",0,INDIRECT(ADDRESS($K32,COLUMN(AF$1))))</f>
        <v>0</v>
      </c>
      <c r="S32" s="1" t="str">
        <f t="shared" si="9"/>
        <v/>
      </c>
      <c r="Y32" s="1" t="s">
        <v>2</v>
      </c>
      <c r="Z32" s="1" t="s">
        <v>3</v>
      </c>
      <c r="AA32" s="1" t="s">
        <v>4</v>
      </c>
      <c r="AB32" s="1" t="s">
        <v>5</v>
      </c>
      <c r="AC32" s="1" t="s">
        <v>6</v>
      </c>
      <c r="AD32" s="1" t="s">
        <v>16</v>
      </c>
      <c r="AE32" s="1" t="s">
        <v>25</v>
      </c>
      <c r="AF32" s="1" t="s">
        <v>26</v>
      </c>
      <c r="AG32" s="1" t="s">
        <v>149</v>
      </c>
    </row>
    <row r="33" spans="1:34" x14ac:dyDescent="0.25">
      <c r="B33" s="1">
        <v>27</v>
      </c>
      <c r="C33" s="1" t="str">
        <f t="shared" si="5"/>
        <v/>
      </c>
      <c r="F33" s="28" t="str">
        <f t="shared" si="6"/>
        <v/>
      </c>
      <c r="G33" s="23" t="str">
        <f t="shared" si="7"/>
        <v/>
      </c>
      <c r="H33" s="23" t="str">
        <f t="shared" si="8"/>
        <v/>
      </c>
      <c r="I33" s="23" t="str">
        <f t="shared" si="3"/>
        <v/>
      </c>
      <c r="J33" s="23" t="str">
        <f t="shared" si="3"/>
        <v/>
      </c>
      <c r="K33" s="23" t="str">
        <f t="shared" si="3"/>
        <v/>
      </c>
      <c r="L33" s="23"/>
      <c r="M33" s="23" cm="1">
        <f t="array" aca="1" ref="M33" ca="1">IF($I33="",0,INDIRECT(ADDRESS($I33,COLUMN(AA$1))))+IF($J33="",0,INDIRECT(ADDRESS($J33,COLUMN(AA$1)))+AA$14)+IF($K33="",0,INDIRECT(ADDRESS($K33,COLUMN(AA$1))))</f>
        <v>0</v>
      </c>
      <c r="N33" s="23" cm="1">
        <f t="array" aca="1" ref="N33" ca="1">IF($I33="",0,INDIRECT(ADDRESS($I33,COLUMN(AB$1))))+IF($J33="",0,INDIRECT(ADDRESS($J33,COLUMN(AB$1)))+AB$14)+IF($K33="",0,INDIRECT(ADDRESS($K33,COLUMN(AB$1))))</f>
        <v>0</v>
      </c>
      <c r="O33" s="23" cm="1">
        <f t="array" aca="1" ref="O33" ca="1">IF($I33="",0,INDIRECT(ADDRESS($I33,COLUMN(AC$1))))+IF($J33="",0,INDIRECT(ADDRESS($J33,COLUMN(AC$1)))+AC$14)+IF($K33="",0,INDIRECT(ADDRESS($K33,COLUMN(AC$1))))</f>
        <v>0</v>
      </c>
      <c r="P33" s="23" cm="1">
        <f t="array" aca="1" ref="P33" ca="1">IF($I33="",0,INDIRECT(ADDRESS($I33,COLUMN(AD$1))))+IF($J33="",0,INDIRECT(ADDRESS($J33,COLUMN(AD$1)))+AD$14)+IF($K33="",0,INDIRECT(ADDRESS($K33,COLUMN(AD$1))))</f>
        <v>0</v>
      </c>
      <c r="Q33" s="23" cm="1">
        <f t="array" aca="1" ref="Q33" ca="1">IF($I33="",0,INDIRECT(ADDRESS($I33,COLUMN(AE$1))))+IF($J33="",0,INDIRECT(ADDRESS($J33,COLUMN(AE$1)))+AE$14)+IF($K33="",0,INDIRECT(ADDRESS($K33,COLUMN(AE$1))))</f>
        <v>0</v>
      </c>
      <c r="R33" s="23" cm="1">
        <f t="array" aca="1" ref="R33" ca="1">IF($I33="",0,INDIRECT(ADDRESS($I33,COLUMN(AF$1))))+IF($J33="",0,INDIRECT(ADDRESS($J33,COLUMN(AF$1)))+AF$14)+IF($K33="",0,INDIRECT(ADDRESS($K33,COLUMN(AF$1))))</f>
        <v>0</v>
      </c>
      <c r="S33" s="1" t="str">
        <f t="shared" si="9"/>
        <v/>
      </c>
      <c r="W33" s="12"/>
      <c r="X33" s="2" t="s">
        <v>29</v>
      </c>
      <c r="Y33" s="1">
        <v>12</v>
      </c>
      <c r="Z33" s="1">
        <v>1.00782503223</v>
      </c>
      <c r="AA33" s="1">
        <v>14.003074004429999</v>
      </c>
      <c r="AB33" s="1">
        <v>15.99491461957</v>
      </c>
      <c r="AC33" s="1">
        <v>30.973761998419999</v>
      </c>
      <c r="AD33" s="1">
        <v>31.9720711744</v>
      </c>
      <c r="AE33" s="1">
        <v>18.010564684030001</v>
      </c>
      <c r="AF33" s="1">
        <v>1.0072764666209999</v>
      </c>
      <c r="AG33" s="1">
        <v>79.966330889360009</v>
      </c>
    </row>
    <row r="34" spans="1:34" x14ac:dyDescent="0.25">
      <c r="B34" s="23">
        <v>28</v>
      </c>
      <c r="C34" s="1" t="str">
        <f t="shared" si="5"/>
        <v/>
      </c>
      <c r="F34" s="28" t="str">
        <f t="shared" si="6"/>
        <v/>
      </c>
      <c r="G34" s="23" t="str">
        <f t="shared" si="7"/>
        <v/>
      </c>
      <c r="H34" s="23" t="str">
        <f t="shared" si="8"/>
        <v/>
      </c>
      <c r="I34" s="23" t="str">
        <f t="shared" si="3"/>
        <v/>
      </c>
      <c r="J34" s="23" t="str">
        <f t="shared" si="3"/>
        <v/>
      </c>
      <c r="K34" s="23" t="str">
        <f t="shared" si="3"/>
        <v/>
      </c>
      <c r="L34" s="23"/>
      <c r="M34" s="23" cm="1">
        <f t="array" aca="1" ref="M34" ca="1">IF($I34="",0,INDIRECT(ADDRESS($I34,COLUMN(AA$1))))+IF($J34="",0,INDIRECT(ADDRESS($J34,COLUMN(AA$1)))+AA$14)+IF($K34="",0,INDIRECT(ADDRESS($K34,COLUMN(AA$1))))</f>
        <v>0</v>
      </c>
      <c r="N34" s="23" cm="1">
        <f t="array" aca="1" ref="N34" ca="1">IF($I34="",0,INDIRECT(ADDRESS($I34,COLUMN(AB$1))))+IF($J34="",0,INDIRECT(ADDRESS($J34,COLUMN(AB$1)))+AB$14)+IF($K34="",0,INDIRECT(ADDRESS($K34,COLUMN(AB$1))))</f>
        <v>0</v>
      </c>
      <c r="O34" s="23" cm="1">
        <f t="array" aca="1" ref="O34" ca="1">IF($I34="",0,INDIRECT(ADDRESS($I34,COLUMN(AC$1))))+IF($J34="",0,INDIRECT(ADDRESS($J34,COLUMN(AC$1)))+AC$14)+IF($K34="",0,INDIRECT(ADDRESS($K34,COLUMN(AC$1))))</f>
        <v>0</v>
      </c>
      <c r="P34" s="23" cm="1">
        <f t="array" aca="1" ref="P34" ca="1">IF($I34="",0,INDIRECT(ADDRESS($I34,COLUMN(AD$1))))+IF($J34="",0,INDIRECT(ADDRESS($J34,COLUMN(AD$1)))+AD$14)+IF($K34="",0,INDIRECT(ADDRESS($K34,COLUMN(AD$1))))</f>
        <v>0</v>
      </c>
      <c r="Q34" s="23" cm="1">
        <f t="array" aca="1" ref="Q34" ca="1">IF($I34="",0,INDIRECT(ADDRESS($I34,COLUMN(AE$1))))+IF($J34="",0,INDIRECT(ADDRESS($J34,COLUMN(AE$1)))+AE$14)+IF($K34="",0,INDIRECT(ADDRESS($K34,COLUMN(AE$1))))</f>
        <v>0</v>
      </c>
      <c r="R34" s="23" cm="1">
        <f t="array" aca="1" ref="R34" ca="1">IF($I34="",0,INDIRECT(ADDRESS($I34,COLUMN(AF$1))))+IF($J34="",0,INDIRECT(ADDRESS($J34,COLUMN(AF$1)))+AF$14)+IF($K34="",0,INDIRECT(ADDRESS($K34,COLUMN(AF$1))))</f>
        <v>0</v>
      </c>
      <c r="S34" s="1" t="str">
        <f t="shared" si="9"/>
        <v/>
      </c>
      <c r="X34" s="2" t="s">
        <v>28</v>
      </c>
      <c r="Y34" s="1">
        <v>12.010999999999999</v>
      </c>
      <c r="Z34" s="1">
        <v>1.0079400000000001</v>
      </c>
      <c r="AA34" s="1">
        <v>14.006740000000001</v>
      </c>
      <c r="AB34" s="1">
        <v>15.9994</v>
      </c>
      <c r="AC34" s="1">
        <v>30.973762000000001</v>
      </c>
      <c r="AD34" s="1">
        <v>32.066000000000003</v>
      </c>
      <c r="AE34" s="1">
        <v>18.015280000000001</v>
      </c>
    </row>
    <row r="35" spans="1:34" x14ac:dyDescent="0.25">
      <c r="B35" s="1">
        <v>29</v>
      </c>
      <c r="C35" s="1" t="str">
        <f t="shared" si="5"/>
        <v/>
      </c>
      <c r="F35" s="28" t="str">
        <f t="shared" si="6"/>
        <v/>
      </c>
      <c r="G35" s="23" t="str">
        <f t="shared" si="7"/>
        <v/>
      </c>
      <c r="H35" s="23" t="str">
        <f t="shared" si="8"/>
        <v/>
      </c>
      <c r="I35" s="23" t="str">
        <f t="shared" si="3"/>
        <v/>
      </c>
      <c r="J35" s="23" t="str">
        <f t="shared" si="3"/>
        <v/>
      </c>
      <c r="K35" s="23" t="str">
        <f t="shared" si="3"/>
        <v/>
      </c>
      <c r="L35" s="23"/>
      <c r="M35" s="23" cm="1">
        <f t="array" aca="1" ref="M35" ca="1">IF($I35="",0,INDIRECT(ADDRESS($I35,COLUMN(AA$1))))+IF($J35="",0,INDIRECT(ADDRESS($J35,COLUMN(AA$1)))+AA$14)+IF($K35="",0,INDIRECT(ADDRESS($K35,COLUMN(AA$1))))</f>
        <v>0</v>
      </c>
      <c r="N35" s="23" cm="1">
        <f t="array" aca="1" ref="N35" ca="1">IF($I35="",0,INDIRECT(ADDRESS($I35,COLUMN(AB$1))))+IF($J35="",0,INDIRECT(ADDRESS($J35,COLUMN(AB$1)))+AB$14)+IF($K35="",0,INDIRECT(ADDRESS($K35,COLUMN(AB$1))))</f>
        <v>0</v>
      </c>
      <c r="O35" s="23" cm="1">
        <f t="array" aca="1" ref="O35" ca="1">IF($I35="",0,INDIRECT(ADDRESS($I35,COLUMN(AC$1))))+IF($J35="",0,INDIRECT(ADDRESS($J35,COLUMN(AC$1)))+AC$14)+IF($K35="",0,INDIRECT(ADDRESS($K35,COLUMN(AC$1))))</f>
        <v>0</v>
      </c>
      <c r="P35" s="23" cm="1">
        <f t="array" aca="1" ref="P35" ca="1">IF($I35="",0,INDIRECT(ADDRESS($I35,COLUMN(AD$1))))+IF($J35="",0,INDIRECT(ADDRESS($J35,COLUMN(AD$1)))+AD$14)+IF($K35="",0,INDIRECT(ADDRESS($K35,COLUMN(AD$1))))</f>
        <v>0</v>
      </c>
      <c r="Q35" s="23" cm="1">
        <f t="array" aca="1" ref="Q35" ca="1">IF($I35="",0,INDIRECT(ADDRESS($I35,COLUMN(AE$1))))+IF($J35="",0,INDIRECT(ADDRESS($J35,COLUMN(AE$1)))+AE$14)+IF($K35="",0,INDIRECT(ADDRESS($K35,COLUMN(AE$1))))</f>
        <v>0</v>
      </c>
      <c r="R35" s="23" cm="1">
        <f t="array" aca="1" ref="R35" ca="1">IF($I35="",0,INDIRECT(ADDRESS($I35,COLUMN(AF$1))))+IF($J35="",0,INDIRECT(ADDRESS($J35,COLUMN(AF$1)))+AF$14)+IF($K35="",0,INDIRECT(ADDRESS($K35,COLUMN(AF$1))))</f>
        <v>0</v>
      </c>
      <c r="S35" s="1" t="str">
        <f t="shared" si="9"/>
        <v/>
      </c>
    </row>
    <row r="36" spans="1:34" x14ac:dyDescent="0.25">
      <c r="B36" s="23">
        <v>30</v>
      </c>
      <c r="C36" s="1" t="str">
        <f t="shared" si="5"/>
        <v/>
      </c>
      <c r="F36" s="23" t="str">
        <f t="shared" si="6"/>
        <v/>
      </c>
      <c r="G36" s="23" t="str">
        <f t="shared" si="7"/>
        <v/>
      </c>
      <c r="H36" s="23" t="str">
        <f t="shared" si="8"/>
        <v/>
      </c>
      <c r="I36" s="23" t="str">
        <f t="shared" si="3"/>
        <v/>
      </c>
      <c r="J36" s="23" t="str">
        <f t="shared" si="3"/>
        <v/>
      </c>
      <c r="K36" s="23" t="str">
        <f t="shared" si="3"/>
        <v/>
      </c>
      <c r="L36" s="23"/>
      <c r="M36" s="23" cm="1">
        <f t="array" aca="1" ref="M36" ca="1">IF($I36="",0,INDIRECT(ADDRESS($I36,COLUMN(AA$1))))+IF($J36="",0,INDIRECT(ADDRESS($J36,COLUMN(AA$1)))+AA$14)+IF($K36="",0,INDIRECT(ADDRESS($K36,COLUMN(AA$1))))</f>
        <v>0</v>
      </c>
      <c r="N36" s="23" cm="1">
        <f t="array" aca="1" ref="N36" ca="1">IF($I36="",0,INDIRECT(ADDRESS($I36,COLUMN(AB$1))))+IF($J36="",0,INDIRECT(ADDRESS($J36,COLUMN(AB$1)))+AB$14)+IF($K36="",0,INDIRECT(ADDRESS($K36,COLUMN(AB$1))))</f>
        <v>0</v>
      </c>
      <c r="O36" s="23" cm="1">
        <f t="array" aca="1" ref="O36" ca="1">IF($I36="",0,INDIRECT(ADDRESS($I36,COLUMN(AC$1))))+IF($J36="",0,INDIRECT(ADDRESS($J36,COLUMN(AC$1)))+AC$14)+IF($K36="",0,INDIRECT(ADDRESS($K36,COLUMN(AC$1))))</f>
        <v>0</v>
      </c>
      <c r="P36" s="23" cm="1">
        <f t="array" aca="1" ref="P36" ca="1">IF($I36="",0,INDIRECT(ADDRESS($I36,COLUMN(AD$1))))+IF($J36="",0,INDIRECT(ADDRESS($J36,COLUMN(AD$1)))+AD$14)+IF($K36="",0,INDIRECT(ADDRESS($K36,COLUMN(AD$1))))</f>
        <v>0</v>
      </c>
      <c r="Q36" s="23" cm="1">
        <f t="array" aca="1" ref="Q36" ca="1">IF($I36="",0,INDIRECT(ADDRESS($I36,COLUMN(AE$1))))+IF($J36="",0,INDIRECT(ADDRESS($J36,COLUMN(AE$1)))+AE$14)+IF($K36="",0,INDIRECT(ADDRESS($K36,COLUMN(AE$1))))</f>
        <v>0</v>
      </c>
      <c r="R36" s="23" cm="1">
        <f t="array" aca="1" ref="R36" ca="1">IF($I36="",0,INDIRECT(ADDRESS($I36,COLUMN(AF$1))))+IF($J36="",0,INDIRECT(ADDRESS($J36,COLUMN(AF$1)))+AF$14)+IF($K36="",0,INDIRECT(ADDRESS($K36,COLUMN(AF$1))))</f>
        <v>0</v>
      </c>
      <c r="S36" s="1" t="str">
        <f t="shared" si="9"/>
        <v/>
      </c>
    </row>
    <row r="37" spans="1:34" x14ac:dyDescent="0.25">
      <c r="B37" s="1">
        <v>31</v>
      </c>
      <c r="C37" s="1" t="str">
        <f t="shared" si="5"/>
        <v/>
      </c>
      <c r="F37" s="23" t="str">
        <f t="shared" si="6"/>
        <v/>
      </c>
      <c r="G37" s="23" t="str">
        <f t="shared" si="7"/>
        <v/>
      </c>
      <c r="H37" s="23" t="str">
        <f t="shared" si="8"/>
        <v/>
      </c>
      <c r="I37" s="23" t="str">
        <f t="shared" si="3"/>
        <v/>
      </c>
      <c r="J37" s="23" t="str">
        <f t="shared" si="3"/>
        <v/>
      </c>
      <c r="K37" s="23" t="str">
        <f t="shared" si="3"/>
        <v/>
      </c>
      <c r="L37" s="23"/>
      <c r="M37" s="23" cm="1">
        <f t="array" aca="1" ref="M37" ca="1">IF($I37="",0,INDIRECT(ADDRESS($I37,COLUMN(AA$1))))+IF($J37="",0,INDIRECT(ADDRESS($J37,COLUMN(AA$1)))+AA$14)+IF($K37="",0,INDIRECT(ADDRESS($K37,COLUMN(AA$1))))</f>
        <v>0</v>
      </c>
      <c r="N37" s="23" cm="1">
        <f t="array" aca="1" ref="N37" ca="1">IF($I37="",0,INDIRECT(ADDRESS($I37,COLUMN(AB$1))))+IF($J37="",0,INDIRECT(ADDRESS($J37,COLUMN(AB$1)))+AB$14)+IF($K37="",0,INDIRECT(ADDRESS($K37,COLUMN(AB$1))))</f>
        <v>0</v>
      </c>
      <c r="O37" s="23" cm="1">
        <f t="array" aca="1" ref="O37" ca="1">IF($I37="",0,INDIRECT(ADDRESS($I37,COLUMN(AC$1))))+IF($J37="",0,INDIRECT(ADDRESS($J37,COLUMN(AC$1)))+AC$14)+IF($K37="",0,INDIRECT(ADDRESS($K37,COLUMN(AC$1))))</f>
        <v>0</v>
      </c>
      <c r="P37" s="23" cm="1">
        <f t="array" aca="1" ref="P37" ca="1">IF($I37="",0,INDIRECT(ADDRESS($I37,COLUMN(AD$1))))+IF($J37="",0,INDIRECT(ADDRESS($J37,COLUMN(AD$1)))+AD$14)+IF($K37="",0,INDIRECT(ADDRESS($K37,COLUMN(AD$1))))</f>
        <v>0</v>
      </c>
      <c r="Q37" s="23" cm="1">
        <f t="array" aca="1" ref="Q37" ca="1">IF($I37="",0,INDIRECT(ADDRESS($I37,COLUMN(AE$1))))+IF($J37="",0,INDIRECT(ADDRESS($J37,COLUMN(AE$1)))+AE$14)+IF($K37="",0,INDIRECT(ADDRESS($K37,COLUMN(AE$1))))</f>
        <v>0</v>
      </c>
      <c r="R37" s="23" cm="1">
        <f t="array" aca="1" ref="R37" ca="1">IF($I37="",0,INDIRECT(ADDRESS($I37,COLUMN(AF$1))))+IF($J37="",0,INDIRECT(ADDRESS($J37,COLUMN(AF$1)))+AF$14)+IF($K37="",0,INDIRECT(ADDRESS($K37,COLUMN(AF$1))))</f>
        <v>0</v>
      </c>
      <c r="S37" s="1" t="str">
        <f t="shared" si="9"/>
        <v/>
      </c>
      <c r="X37" s="1" t="s">
        <v>44</v>
      </c>
      <c r="Y37" s="1" t="s">
        <v>829</v>
      </c>
    </row>
    <row r="38" spans="1:34" x14ac:dyDescent="0.25">
      <c r="A38" s="1" t="s">
        <v>148</v>
      </c>
      <c r="B38" s="31">
        <v>32</v>
      </c>
      <c r="C38" s="1" t="str">
        <f t="shared" si="5"/>
        <v/>
      </c>
      <c r="F38" s="23" t="str">
        <f t="shared" si="6"/>
        <v/>
      </c>
      <c r="G38" s="23" t="str">
        <f t="shared" si="7"/>
        <v/>
      </c>
      <c r="H38" s="23" t="str">
        <f t="shared" si="8"/>
        <v/>
      </c>
      <c r="I38" s="23" t="str">
        <f t="shared" si="3"/>
        <v/>
      </c>
      <c r="J38" s="23" t="str">
        <f t="shared" si="3"/>
        <v/>
      </c>
      <c r="K38" s="23" t="str">
        <f t="shared" si="3"/>
        <v/>
      </c>
      <c r="L38" s="23"/>
      <c r="M38" s="23" cm="1">
        <f t="array" aca="1" ref="M38" ca="1">IF($I38="",0,INDIRECT(ADDRESS($I38,COLUMN(AA$1))))+IF($J38="",0,INDIRECT(ADDRESS($J38,COLUMN(AA$1)))+AA$14)+IF($K38="",0,INDIRECT(ADDRESS($K38,COLUMN(AA$1))))</f>
        <v>0</v>
      </c>
      <c r="N38" s="23" cm="1">
        <f t="array" aca="1" ref="N38" ca="1">IF($I38="",0,INDIRECT(ADDRESS($I38,COLUMN(AB$1))))+IF($J38="",0,INDIRECT(ADDRESS($J38,COLUMN(AB$1)))+AB$14)+IF($K38="",0,INDIRECT(ADDRESS($K38,COLUMN(AB$1))))</f>
        <v>0</v>
      </c>
      <c r="O38" s="23" cm="1">
        <f t="array" aca="1" ref="O38" ca="1">IF($I38="",0,INDIRECT(ADDRESS($I38,COLUMN(AC$1))))+IF($J38="",0,INDIRECT(ADDRESS($J38,COLUMN(AC$1)))+AC$14)+IF($K38="",0,INDIRECT(ADDRESS($K38,COLUMN(AC$1))))</f>
        <v>0</v>
      </c>
      <c r="P38" s="23" cm="1">
        <f t="array" aca="1" ref="P38" ca="1">IF($I38="",0,INDIRECT(ADDRESS($I38,COLUMN(AD$1))))+IF($J38="",0,INDIRECT(ADDRESS($J38,COLUMN(AD$1)))+AD$14)+IF($K38="",0,INDIRECT(ADDRESS($K38,COLUMN(AD$1))))</f>
        <v>0</v>
      </c>
      <c r="Q38" s="23" cm="1">
        <f t="array" aca="1" ref="Q38" ca="1">IF($I38="",0,INDIRECT(ADDRESS($I38,COLUMN(AE$1))))+IF($J38="",0,INDIRECT(ADDRESS($J38,COLUMN(AE$1)))+AE$14)+IF($K38="",0,INDIRECT(ADDRESS($K38,COLUMN(AE$1))))</f>
        <v>0</v>
      </c>
      <c r="R38" s="23" cm="1">
        <f t="array" aca="1" ref="R38" ca="1">IF($I38="",0,INDIRECT(ADDRESS($I38,COLUMN(AF$1))))+IF($J38="",0,INDIRECT(ADDRESS($J38,COLUMN(AF$1)))+AF$14)+IF($K38="",0,INDIRECT(ADDRESS($K38,COLUMN(AF$1))))</f>
        <v>0</v>
      </c>
      <c r="S38" s="1" t="str">
        <f t="shared" si="9"/>
        <v/>
      </c>
      <c r="Y38" s="1" t="s">
        <v>50</v>
      </c>
      <c r="Z38" s="19" t="s">
        <v>125</v>
      </c>
      <c r="AA38" s="1" t="s">
        <v>2</v>
      </c>
      <c r="AB38" s="1" t="s">
        <v>3</v>
      </c>
      <c r="AC38" s="1" t="s">
        <v>4</v>
      </c>
      <c r="AD38" s="1" t="s">
        <v>5</v>
      </c>
      <c r="AE38" s="1" t="s">
        <v>6</v>
      </c>
      <c r="AF38" s="1" t="s">
        <v>16</v>
      </c>
      <c r="AG38" s="1" t="s">
        <v>63</v>
      </c>
    </row>
    <row r="39" spans="1:34" x14ac:dyDescent="0.25">
      <c r="A39" s="1" t="str">
        <f>CONCATENATE("5-",A41,"3")</f>
        <v>5-Arp-Arp-Crp-Vrp-Vrp-Crp-Arp-Arp-Crp-Vrp-Vrp-Crp-Arp-Arp-3</v>
      </c>
      <c r="B39" s="1">
        <v>33</v>
      </c>
      <c r="C39" s="1" t="str">
        <f t="shared" si="5"/>
        <v/>
      </c>
      <c r="F39" s="23" t="str">
        <f t="shared" si="6"/>
        <v/>
      </c>
      <c r="G39" s="23" t="str">
        <f t="shared" si="7"/>
        <v/>
      </c>
      <c r="H39" s="23" t="str">
        <f t="shared" si="8"/>
        <v/>
      </c>
      <c r="I39" s="23" t="str">
        <f t="shared" si="3"/>
        <v/>
      </c>
      <c r="J39" s="23" t="str">
        <f t="shared" si="3"/>
        <v/>
      </c>
      <c r="K39" s="23" t="str">
        <f t="shared" si="3"/>
        <v/>
      </c>
      <c r="L39" s="23"/>
      <c r="M39" s="23" cm="1">
        <f t="array" aca="1" ref="M39" ca="1">IF($I39="",0,INDIRECT(ADDRESS($I39,COLUMN(AA$1))))+IF($J39="",0,INDIRECT(ADDRESS($J39,COLUMN(AA$1)))+AA$14)+IF($K39="",0,INDIRECT(ADDRESS($K39,COLUMN(AA$1))))</f>
        <v>0</v>
      </c>
      <c r="N39" s="23" cm="1">
        <f t="array" aca="1" ref="N39" ca="1">IF($I39="",0,INDIRECT(ADDRESS($I39,COLUMN(AB$1))))+IF($J39="",0,INDIRECT(ADDRESS($J39,COLUMN(AB$1)))+AB$14)+IF($K39="",0,INDIRECT(ADDRESS($K39,COLUMN(AB$1))))</f>
        <v>0</v>
      </c>
      <c r="O39" s="23" cm="1">
        <f t="array" aca="1" ref="O39" ca="1">IF($I39="",0,INDIRECT(ADDRESS($I39,COLUMN(AC$1))))+IF($J39="",0,INDIRECT(ADDRESS($J39,COLUMN(AC$1)))+AC$14)+IF($K39="",0,INDIRECT(ADDRESS($K39,COLUMN(AC$1))))</f>
        <v>0</v>
      </c>
      <c r="P39" s="23" cm="1">
        <f t="array" aca="1" ref="P39" ca="1">IF($I39="",0,INDIRECT(ADDRESS($I39,COLUMN(AD$1))))+IF($J39="",0,INDIRECT(ADDRESS($J39,COLUMN(AD$1)))+AD$14)+IF($K39="",0,INDIRECT(ADDRESS($K39,COLUMN(AD$1))))</f>
        <v>0</v>
      </c>
      <c r="Q39" s="23" cm="1">
        <f t="array" aca="1" ref="Q39" ca="1">IF($I39="",0,INDIRECT(ADDRESS($I39,COLUMN(AE$1))))+IF($J39="",0,INDIRECT(ADDRESS($J39,COLUMN(AE$1)))+AE$14)+IF($K39="",0,INDIRECT(ADDRESS($K39,COLUMN(AE$1))))</f>
        <v>0</v>
      </c>
      <c r="R39" s="23" cm="1">
        <f t="array" aca="1" ref="R39" ca="1">IF($I39="",0,INDIRECT(ADDRESS($I39,COLUMN(AF$1))))+IF($J39="",0,INDIRECT(ADDRESS($J39,COLUMN(AF$1)))+AF$14)+IF($K39="",0,INDIRECT(ADDRESS($K39,COLUMN(AF$1))))</f>
        <v>0</v>
      </c>
      <c r="S39" s="1" t="str">
        <f t="shared" si="9"/>
        <v/>
      </c>
      <c r="Y39" s="1" t="s">
        <v>24</v>
      </c>
      <c r="Z39" s="1" t="s">
        <v>21</v>
      </c>
      <c r="AA39" s="1">
        <v>0</v>
      </c>
      <c r="AB39" s="1">
        <v>2</v>
      </c>
      <c r="AC39" s="1">
        <v>0</v>
      </c>
      <c r="AD39" s="1">
        <v>4</v>
      </c>
      <c r="AE39" s="1">
        <v>1</v>
      </c>
      <c r="AF39" s="1">
        <v>0</v>
      </c>
      <c r="AG39" s="4" t="b">
        <v>1</v>
      </c>
    </row>
    <row r="40" spans="1:34" x14ac:dyDescent="0.25">
      <c r="A40" s="1">
        <f>LEN(A5)</f>
        <v>14</v>
      </c>
      <c r="B40" s="31">
        <v>34</v>
      </c>
      <c r="C40" s="1" t="str">
        <f t="shared" si="5"/>
        <v/>
      </c>
      <c r="F40" s="23" t="str">
        <f t="shared" si="6"/>
        <v/>
      </c>
      <c r="G40" s="23" t="str">
        <f t="shared" si="7"/>
        <v/>
      </c>
      <c r="H40" s="23" t="str">
        <f t="shared" si="8"/>
        <v/>
      </c>
      <c r="I40" s="23" t="str">
        <f t="shared" si="3"/>
        <v/>
      </c>
      <c r="J40" s="23" t="str">
        <f t="shared" si="3"/>
        <v/>
      </c>
      <c r="K40" s="23" t="str">
        <f t="shared" si="3"/>
        <v/>
      </c>
      <c r="L40" s="23"/>
      <c r="M40" s="23" cm="1">
        <f t="array" aca="1" ref="M40" ca="1">IF($I40="",0,INDIRECT(ADDRESS($I40,COLUMN(AA$1))))+IF($J40="",0,INDIRECT(ADDRESS($J40,COLUMN(AA$1)))+AA$14)+IF($K40="",0,INDIRECT(ADDRESS($K40,COLUMN(AA$1))))</f>
        <v>0</v>
      </c>
      <c r="N40" s="23" cm="1">
        <f t="array" aca="1" ref="N40" ca="1">IF($I40="",0,INDIRECT(ADDRESS($I40,COLUMN(AB$1))))+IF($J40="",0,INDIRECT(ADDRESS($J40,COLUMN(AB$1)))+AB$14)+IF($K40="",0,INDIRECT(ADDRESS($K40,COLUMN(AB$1))))</f>
        <v>0</v>
      </c>
      <c r="O40" s="23" cm="1">
        <f t="array" aca="1" ref="O40" ca="1">IF($I40="",0,INDIRECT(ADDRESS($I40,COLUMN(AC$1))))+IF($J40="",0,INDIRECT(ADDRESS($J40,COLUMN(AC$1)))+AC$14)+IF($K40="",0,INDIRECT(ADDRESS($K40,COLUMN(AC$1))))</f>
        <v>0</v>
      </c>
      <c r="P40" s="23" cm="1">
        <f t="array" aca="1" ref="P40" ca="1">IF($I40="",0,INDIRECT(ADDRESS($I40,COLUMN(AD$1))))+IF($J40="",0,INDIRECT(ADDRESS($J40,COLUMN(AD$1)))+AD$14)+IF($K40="",0,INDIRECT(ADDRESS($K40,COLUMN(AD$1))))</f>
        <v>0</v>
      </c>
      <c r="Q40" s="23" cm="1">
        <f t="array" aca="1" ref="Q40" ca="1">IF($I40="",0,INDIRECT(ADDRESS($I40,COLUMN(AE$1))))+IF($J40="",0,INDIRECT(ADDRESS($J40,COLUMN(AE$1)))+AE$14)+IF($K40="",0,INDIRECT(ADDRESS($K40,COLUMN(AE$1))))</f>
        <v>0</v>
      </c>
      <c r="R40" s="23" cm="1">
        <f t="array" aca="1" ref="R40" ca="1">IF($I40="",0,INDIRECT(ADDRESS($I40,COLUMN(AF$1))))+IF($J40="",0,INDIRECT(ADDRESS($J40,COLUMN(AF$1)))+AF$14)+IF($K40="",0,INDIRECT(ADDRESS($K40,COLUMN(AF$1))))</f>
        <v>0</v>
      </c>
      <c r="S40" s="1" t="str">
        <f t="shared" si="9"/>
        <v/>
      </c>
      <c r="Y40" s="1" t="s">
        <v>17</v>
      </c>
      <c r="Z40" s="1" t="s">
        <v>21</v>
      </c>
      <c r="AA40" s="1">
        <v>0</v>
      </c>
      <c r="AB40" s="1">
        <v>0</v>
      </c>
      <c r="AC40" s="1">
        <v>0</v>
      </c>
      <c r="AD40" s="1">
        <v>3</v>
      </c>
      <c r="AE40" s="1">
        <v>1</v>
      </c>
      <c r="AF40" s="1">
        <v>0</v>
      </c>
      <c r="AG40" s="4" t="b">
        <v>1</v>
      </c>
    </row>
    <row r="41" spans="1:34" x14ac:dyDescent="0.25">
      <c r="A41" s="1" t="str">
        <f t="shared" ref="A41:A72" si="10">IF(ROW()-40&gt;A$40,"",CONCATENATE(MID(A$5,ROW()-40,1),"rp-",A42))</f>
        <v>Arp-Arp-Crp-Vrp-Vrp-Crp-Arp-Arp-Crp-Vrp-Vrp-Crp-Arp-Arp-</v>
      </c>
      <c r="B41" s="1">
        <v>35</v>
      </c>
      <c r="C41" s="1" t="str">
        <f t="shared" si="5"/>
        <v/>
      </c>
      <c r="F41" s="23" t="str">
        <f t="shared" si="6"/>
        <v/>
      </c>
      <c r="G41" s="23" t="str">
        <f t="shared" si="7"/>
        <v/>
      </c>
      <c r="H41" s="23" t="str">
        <f t="shared" si="8"/>
        <v/>
      </c>
      <c r="I41" s="23" t="str">
        <f t="shared" si="3"/>
        <v/>
      </c>
      <c r="J41" s="23" t="str">
        <f t="shared" si="3"/>
        <v/>
      </c>
      <c r="K41" s="23" t="str">
        <f t="shared" si="3"/>
        <v/>
      </c>
      <c r="L41" s="23"/>
      <c r="M41" s="23" cm="1">
        <f t="array" aca="1" ref="M41" ca="1">IF($I41="",0,INDIRECT(ADDRESS($I41,COLUMN(AA$1))))+IF($J41="",0,INDIRECT(ADDRESS($J41,COLUMN(AA$1)))+AA$14)+IF($K41="",0,INDIRECT(ADDRESS($K41,COLUMN(AA$1))))</f>
        <v>0</v>
      </c>
      <c r="N41" s="23" cm="1">
        <f t="array" aca="1" ref="N41" ca="1">IF($I41="",0,INDIRECT(ADDRESS($I41,COLUMN(AB$1))))+IF($J41="",0,INDIRECT(ADDRESS($J41,COLUMN(AB$1)))+AB$14)+IF($K41="",0,INDIRECT(ADDRESS($K41,COLUMN(AB$1))))</f>
        <v>0</v>
      </c>
      <c r="O41" s="23" cm="1">
        <f t="array" aca="1" ref="O41" ca="1">IF($I41="",0,INDIRECT(ADDRESS($I41,COLUMN(AC$1))))+IF($J41="",0,INDIRECT(ADDRESS($J41,COLUMN(AC$1)))+AC$14)+IF($K41="",0,INDIRECT(ADDRESS($K41,COLUMN(AC$1))))</f>
        <v>0</v>
      </c>
      <c r="P41" s="23" cm="1">
        <f t="array" aca="1" ref="P41" ca="1">IF($I41="",0,INDIRECT(ADDRESS($I41,COLUMN(AD$1))))+IF($J41="",0,INDIRECT(ADDRESS($J41,COLUMN(AD$1)))+AD$14)+IF($K41="",0,INDIRECT(ADDRESS($K41,COLUMN(AD$1))))</f>
        <v>0</v>
      </c>
      <c r="Q41" s="23" cm="1">
        <f t="array" aca="1" ref="Q41" ca="1">IF($I41="",0,INDIRECT(ADDRESS($I41,COLUMN(AE$1))))+IF($J41="",0,INDIRECT(ADDRESS($J41,COLUMN(AE$1)))+AE$14)+IF($K41="",0,INDIRECT(ADDRESS($K41,COLUMN(AE$1))))</f>
        <v>0</v>
      </c>
      <c r="R41" s="23" cm="1">
        <f t="array" aca="1" ref="R41" ca="1">IF($I41="",0,INDIRECT(ADDRESS($I41,COLUMN(AF$1))))+IF($J41="",0,INDIRECT(ADDRESS($J41,COLUMN(AF$1)))+AF$14)+IF($K41="",0,INDIRECT(ADDRESS($K41,COLUMN(AF$1))))</f>
        <v>0</v>
      </c>
      <c r="S41" s="1" t="str">
        <f t="shared" si="9"/>
        <v/>
      </c>
      <c r="Y41" s="1" t="s">
        <v>18</v>
      </c>
      <c r="Z41" s="1" t="s">
        <v>21</v>
      </c>
      <c r="AA41" s="1">
        <v>0</v>
      </c>
      <c r="AB41" s="1">
        <v>1</v>
      </c>
      <c r="AC41" s="1">
        <v>0</v>
      </c>
      <c r="AD41" s="1">
        <v>1</v>
      </c>
      <c r="AE41" s="1">
        <v>0</v>
      </c>
      <c r="AF41" s="1">
        <v>0</v>
      </c>
      <c r="AG41" s="4" t="b">
        <v>1</v>
      </c>
    </row>
    <row r="42" spans="1:34" x14ac:dyDescent="0.25">
      <c r="A42" s="1" t="str">
        <f t="shared" si="10"/>
        <v>Arp-Crp-Vrp-Vrp-Crp-Arp-Arp-Crp-Vrp-Vrp-Crp-Arp-Arp-</v>
      </c>
      <c r="B42" s="31">
        <v>36</v>
      </c>
      <c r="C42" s="1" t="str">
        <f t="shared" si="5"/>
        <v/>
      </c>
      <c r="F42" s="23" t="str">
        <f t="shared" si="6"/>
        <v/>
      </c>
      <c r="G42" s="23" t="str">
        <f t="shared" si="7"/>
        <v/>
      </c>
      <c r="H42" s="23" t="str">
        <f t="shared" si="8"/>
        <v/>
      </c>
      <c r="I42" s="23" t="str">
        <f t="shared" si="3"/>
        <v/>
      </c>
      <c r="J42" s="23" t="str">
        <f t="shared" si="3"/>
        <v/>
      </c>
      <c r="K42" s="23" t="str">
        <f t="shared" si="3"/>
        <v/>
      </c>
      <c r="L42" s="23"/>
      <c r="M42" s="23" cm="1">
        <f t="array" aca="1" ref="M42" ca="1">IF($I42="",0,INDIRECT(ADDRESS($I42,COLUMN(AA$1))))+IF($J42="",0,INDIRECT(ADDRESS($J42,COLUMN(AA$1)))+AA$14)+IF($K42="",0,INDIRECT(ADDRESS($K42,COLUMN(AA$1))))</f>
        <v>0</v>
      </c>
      <c r="N42" s="23" cm="1">
        <f t="array" aca="1" ref="N42" ca="1">IF($I42="",0,INDIRECT(ADDRESS($I42,COLUMN(AB$1))))+IF($J42="",0,INDIRECT(ADDRESS($J42,COLUMN(AB$1)))+AB$14)+IF($K42="",0,INDIRECT(ADDRESS($K42,COLUMN(AB$1))))</f>
        <v>0</v>
      </c>
      <c r="O42" s="23" cm="1">
        <f t="array" aca="1" ref="O42" ca="1">IF($I42="",0,INDIRECT(ADDRESS($I42,COLUMN(AC$1))))+IF($J42="",0,INDIRECT(ADDRESS($J42,COLUMN(AC$1)))+AC$14)+IF($K42="",0,INDIRECT(ADDRESS($K42,COLUMN(AC$1))))</f>
        <v>0</v>
      </c>
      <c r="P42" s="23" cm="1">
        <f t="array" aca="1" ref="P42" ca="1">IF($I42="",0,INDIRECT(ADDRESS($I42,COLUMN(AD$1))))+IF($J42="",0,INDIRECT(ADDRESS($J42,COLUMN(AD$1)))+AD$14)+IF($K42="",0,INDIRECT(ADDRESS($K42,COLUMN(AD$1))))</f>
        <v>0</v>
      </c>
      <c r="Q42" s="23" cm="1">
        <f t="array" aca="1" ref="Q42" ca="1">IF($I42="",0,INDIRECT(ADDRESS($I42,COLUMN(AE$1))))+IF($J42="",0,INDIRECT(ADDRESS($J42,COLUMN(AE$1)))+AE$14)+IF($K42="",0,INDIRECT(ADDRESS($K42,COLUMN(AE$1))))</f>
        <v>0</v>
      </c>
      <c r="R42" s="23" cm="1">
        <f t="array" aca="1" ref="R42" ca="1">IF($I42="",0,INDIRECT(ADDRESS($I42,COLUMN(AF$1))))+IF($J42="",0,INDIRECT(ADDRESS($J42,COLUMN(AF$1)))+AF$14)+IF($K42="",0,INDIRECT(ADDRESS($K42,COLUMN(AF$1))))</f>
        <v>0</v>
      </c>
      <c r="S42" s="1" t="str">
        <f t="shared" si="9"/>
        <v/>
      </c>
      <c r="Y42" s="1" t="s">
        <v>45</v>
      </c>
      <c r="Z42" s="1" t="s">
        <v>21</v>
      </c>
      <c r="AA42" s="1">
        <v>0</v>
      </c>
      <c r="AB42" s="1">
        <v>-1</v>
      </c>
      <c r="AC42" s="1">
        <v>0</v>
      </c>
      <c r="AD42" s="1">
        <v>0</v>
      </c>
      <c r="AE42" s="1">
        <v>0</v>
      </c>
      <c r="AF42" s="1">
        <v>0</v>
      </c>
      <c r="AG42" s="4" t="b">
        <v>1</v>
      </c>
    </row>
    <row r="43" spans="1:34" x14ac:dyDescent="0.25">
      <c r="A43" s="1" t="str">
        <f t="shared" si="10"/>
        <v>Crp-Vrp-Vrp-Crp-Arp-Arp-Crp-Vrp-Vrp-Crp-Arp-Arp-</v>
      </c>
      <c r="B43" s="1">
        <v>37</v>
      </c>
      <c r="C43" s="1" t="str">
        <f t="shared" si="5"/>
        <v/>
      </c>
      <c r="F43" s="23" t="str">
        <f t="shared" si="6"/>
        <v/>
      </c>
      <c r="G43" s="23" t="str">
        <f t="shared" si="7"/>
        <v/>
      </c>
      <c r="H43" s="23" t="str">
        <f t="shared" si="8"/>
        <v/>
      </c>
      <c r="I43" s="23" t="str">
        <f t="shared" si="3"/>
        <v/>
      </c>
      <c r="J43" s="23" t="str">
        <f t="shared" si="3"/>
        <v/>
      </c>
      <c r="K43" s="23" t="str">
        <f t="shared" si="3"/>
        <v/>
      </c>
      <c r="L43" s="23"/>
      <c r="M43" s="23" cm="1">
        <f t="array" aca="1" ref="M43" ca="1">IF($I43="",0,INDIRECT(ADDRESS($I43,COLUMN(AA$1))))+IF($J43="",0,INDIRECT(ADDRESS($J43,COLUMN(AA$1)))+AA$14)+IF($K43="",0,INDIRECT(ADDRESS($K43,COLUMN(AA$1))))</f>
        <v>0</v>
      </c>
      <c r="N43" s="23" cm="1">
        <f t="array" aca="1" ref="N43" ca="1">IF($I43="",0,INDIRECT(ADDRESS($I43,COLUMN(AB$1))))+IF($J43="",0,INDIRECT(ADDRESS($J43,COLUMN(AB$1)))+AB$14)+IF($K43="",0,INDIRECT(ADDRESS($K43,COLUMN(AB$1))))</f>
        <v>0</v>
      </c>
      <c r="O43" s="23" cm="1">
        <f t="array" aca="1" ref="O43" ca="1">IF($I43="",0,INDIRECT(ADDRESS($I43,COLUMN(AC$1))))+IF($J43="",0,INDIRECT(ADDRESS($J43,COLUMN(AC$1)))+AC$14)+IF($K43="",0,INDIRECT(ADDRESS($K43,COLUMN(AC$1))))</f>
        <v>0</v>
      </c>
      <c r="P43" s="23" cm="1">
        <f t="array" aca="1" ref="P43" ca="1">IF($I43="",0,INDIRECT(ADDRESS($I43,COLUMN(AD$1))))+IF($J43="",0,INDIRECT(ADDRESS($J43,COLUMN(AD$1)))+AD$14)+IF($K43="",0,INDIRECT(ADDRESS($K43,COLUMN(AD$1))))</f>
        <v>0</v>
      </c>
      <c r="Q43" s="23" cm="1">
        <f t="array" aca="1" ref="Q43" ca="1">IF($I43="",0,INDIRECT(ADDRESS($I43,COLUMN(AE$1))))+IF($J43="",0,INDIRECT(ADDRESS($J43,COLUMN(AE$1)))+AE$14)+IF($K43="",0,INDIRECT(ADDRESS($K43,COLUMN(AE$1))))</f>
        <v>0</v>
      </c>
      <c r="R43" s="23" cm="1">
        <f t="array" aca="1" ref="R43" ca="1">IF($I43="",0,INDIRECT(ADDRESS($I43,COLUMN(AF$1))))+IF($J43="",0,INDIRECT(ADDRESS($J43,COLUMN(AF$1)))+AF$14)+IF($K43="",0,INDIRECT(ADDRESS($K43,COLUMN(AF$1))))</f>
        <v>0</v>
      </c>
      <c r="S43" s="1" t="str">
        <f t="shared" si="9"/>
        <v/>
      </c>
      <c r="Y43" s="1" t="s">
        <v>64</v>
      </c>
      <c r="Z43" s="1" t="s">
        <v>22</v>
      </c>
      <c r="AA43" s="1" t="s">
        <v>65</v>
      </c>
      <c r="AB43" s="1" t="s">
        <v>65</v>
      </c>
      <c r="AC43" s="1" t="s">
        <v>65</v>
      </c>
      <c r="AD43" s="1" t="s">
        <v>65</v>
      </c>
      <c r="AE43" s="1" t="s">
        <v>65</v>
      </c>
      <c r="AF43" s="1" t="s">
        <v>65</v>
      </c>
      <c r="AG43" s="4" t="b">
        <v>1</v>
      </c>
      <c r="AH43" s="15"/>
    </row>
    <row r="44" spans="1:34" x14ac:dyDescent="0.25">
      <c r="A44" s="1" t="str">
        <f t="shared" si="10"/>
        <v>Vrp-Vrp-Crp-Arp-Arp-Crp-Vrp-Vrp-Crp-Arp-Arp-</v>
      </c>
      <c r="B44" s="31">
        <v>38</v>
      </c>
      <c r="C44" s="1" t="str">
        <f t="shared" si="5"/>
        <v/>
      </c>
      <c r="F44" s="23" t="str">
        <f t="shared" si="6"/>
        <v/>
      </c>
      <c r="G44" s="23" t="str">
        <f t="shared" si="7"/>
        <v/>
      </c>
      <c r="H44" s="23" t="str">
        <f t="shared" si="8"/>
        <v/>
      </c>
      <c r="I44" s="23" t="str">
        <f t="shared" si="3"/>
        <v/>
      </c>
      <c r="J44" s="23" t="str">
        <f t="shared" si="3"/>
        <v/>
      </c>
      <c r="K44" s="23" t="str">
        <f t="shared" si="3"/>
        <v/>
      </c>
      <c r="L44" s="23"/>
      <c r="M44" s="23" cm="1">
        <f t="array" aca="1" ref="M44" ca="1">IF($I44="",0,INDIRECT(ADDRESS($I44,COLUMN(AA$1))))+IF($J44="",0,INDIRECT(ADDRESS($J44,COLUMN(AA$1)))+AA$14)+IF($K44="",0,INDIRECT(ADDRESS($K44,COLUMN(AA$1))))</f>
        <v>0</v>
      </c>
      <c r="N44" s="23" cm="1">
        <f t="array" aca="1" ref="N44" ca="1">IF($I44="",0,INDIRECT(ADDRESS($I44,COLUMN(AB$1))))+IF($J44="",0,INDIRECT(ADDRESS($J44,COLUMN(AB$1)))+AB$14)+IF($K44="",0,INDIRECT(ADDRESS($K44,COLUMN(AB$1))))</f>
        <v>0</v>
      </c>
      <c r="O44" s="23" cm="1">
        <f t="array" aca="1" ref="O44" ca="1">IF($I44="",0,INDIRECT(ADDRESS($I44,COLUMN(AC$1))))+IF($J44="",0,INDIRECT(ADDRESS($J44,COLUMN(AC$1)))+AC$14)+IF($K44="",0,INDIRECT(ADDRESS($K44,COLUMN(AC$1))))</f>
        <v>0</v>
      </c>
      <c r="P44" s="23" cm="1">
        <f t="array" aca="1" ref="P44" ca="1">IF($I44="",0,INDIRECT(ADDRESS($I44,COLUMN(AD$1))))+IF($J44="",0,INDIRECT(ADDRESS($J44,COLUMN(AD$1)))+AD$14)+IF($K44="",0,INDIRECT(ADDRESS($K44,COLUMN(AD$1))))</f>
        <v>0</v>
      </c>
      <c r="Q44" s="23" cm="1">
        <f t="array" aca="1" ref="Q44" ca="1">IF($I44="",0,INDIRECT(ADDRESS($I44,COLUMN(AE$1))))+IF($J44="",0,INDIRECT(ADDRESS($J44,COLUMN(AE$1)))+AE$14)+IF($K44="",0,INDIRECT(ADDRESS($K44,COLUMN(AE$1))))</f>
        <v>0</v>
      </c>
      <c r="R44" s="23" cm="1">
        <f t="array" aca="1" ref="R44" ca="1">IF($I44="",0,INDIRECT(ADDRESS($I44,COLUMN(AF$1))))+IF($J44="",0,INDIRECT(ADDRESS($J44,COLUMN(AF$1)))+AF$14)+IF($K44="",0,INDIRECT(ADDRESS($K44,COLUMN(AF$1))))</f>
        <v>0</v>
      </c>
      <c r="S44" s="1" t="str">
        <f t="shared" si="9"/>
        <v/>
      </c>
      <c r="Y44" s="1" t="s">
        <v>46</v>
      </c>
      <c r="Z44" s="1" t="s">
        <v>22</v>
      </c>
      <c r="AA44" s="1">
        <f>-1*AA39</f>
        <v>0</v>
      </c>
      <c r="AB44" s="1">
        <f t="shared" ref="AB44:AF44" si="11">-1*AB39</f>
        <v>-2</v>
      </c>
      <c r="AC44" s="1">
        <f t="shared" si="11"/>
        <v>0</v>
      </c>
      <c r="AD44" s="1">
        <f t="shared" si="11"/>
        <v>-4</v>
      </c>
      <c r="AE44" s="1">
        <f t="shared" si="11"/>
        <v>-1</v>
      </c>
      <c r="AF44" s="1">
        <f t="shared" si="11"/>
        <v>0</v>
      </c>
      <c r="AG44" s="4" t="b">
        <v>1</v>
      </c>
    </row>
    <row r="45" spans="1:34" x14ac:dyDescent="0.25">
      <c r="A45" s="1" t="str">
        <f t="shared" si="10"/>
        <v>Vrp-Crp-Arp-Arp-Crp-Vrp-Vrp-Crp-Arp-Arp-</v>
      </c>
      <c r="B45" s="1">
        <v>39</v>
      </c>
      <c r="C45" s="1" t="str">
        <f t="shared" si="5"/>
        <v/>
      </c>
      <c r="F45" s="23" t="str">
        <f t="shared" si="6"/>
        <v/>
      </c>
      <c r="G45" s="23" t="str">
        <f t="shared" si="7"/>
        <v/>
      </c>
      <c r="H45" s="23" t="str">
        <f t="shared" si="8"/>
        <v/>
      </c>
      <c r="I45" s="23" t="str">
        <f t="shared" si="3"/>
        <v/>
      </c>
      <c r="J45" s="23" t="str">
        <f t="shared" si="3"/>
        <v/>
      </c>
      <c r="K45" s="23" t="str">
        <f t="shared" si="3"/>
        <v/>
      </c>
      <c r="L45" s="23"/>
      <c r="M45" s="23" cm="1">
        <f t="array" aca="1" ref="M45" ca="1">IF($I45="",0,INDIRECT(ADDRESS($I45,COLUMN(AA$1))))+IF($J45="",0,INDIRECT(ADDRESS($J45,COLUMN(AA$1)))+AA$14)+IF($K45="",0,INDIRECT(ADDRESS($K45,COLUMN(AA$1))))</f>
        <v>0</v>
      </c>
      <c r="N45" s="23" cm="1">
        <f t="array" aca="1" ref="N45" ca="1">IF($I45="",0,INDIRECT(ADDRESS($I45,COLUMN(AB$1))))+IF($J45="",0,INDIRECT(ADDRESS($J45,COLUMN(AB$1)))+AB$14)+IF($K45="",0,INDIRECT(ADDRESS($K45,COLUMN(AB$1))))</f>
        <v>0</v>
      </c>
      <c r="O45" s="23" cm="1">
        <f t="array" aca="1" ref="O45" ca="1">IF($I45="",0,INDIRECT(ADDRESS($I45,COLUMN(AC$1))))+IF($J45="",0,INDIRECT(ADDRESS($J45,COLUMN(AC$1)))+AC$14)+IF($K45="",0,INDIRECT(ADDRESS($K45,COLUMN(AC$1))))</f>
        <v>0</v>
      </c>
      <c r="P45" s="23" cm="1">
        <f t="array" aca="1" ref="P45" ca="1">IF($I45="",0,INDIRECT(ADDRESS($I45,COLUMN(AD$1))))+IF($J45="",0,INDIRECT(ADDRESS($J45,COLUMN(AD$1)))+AD$14)+IF($K45="",0,INDIRECT(ADDRESS($K45,COLUMN(AD$1))))</f>
        <v>0</v>
      </c>
      <c r="Q45" s="23" cm="1">
        <f t="array" aca="1" ref="Q45" ca="1">IF($I45="",0,INDIRECT(ADDRESS($I45,COLUMN(AE$1))))+IF($J45="",0,INDIRECT(ADDRESS($J45,COLUMN(AE$1)))+AE$14)+IF($K45="",0,INDIRECT(ADDRESS($K45,COLUMN(AE$1))))</f>
        <v>0</v>
      </c>
      <c r="R45" s="23" cm="1">
        <f t="array" aca="1" ref="R45" ca="1">IF($I45="",0,INDIRECT(ADDRESS($I45,COLUMN(AF$1))))+IF($J45="",0,INDIRECT(ADDRESS($J45,COLUMN(AF$1)))+AF$14)+IF($K45="",0,INDIRECT(ADDRESS($K45,COLUMN(AF$1))))</f>
        <v>0</v>
      </c>
      <c r="S45" s="1" t="str">
        <f t="shared" si="9"/>
        <v/>
      </c>
      <c r="Y45" s="1" t="s">
        <v>47</v>
      </c>
      <c r="Z45" s="1" t="s">
        <v>22</v>
      </c>
      <c r="AA45" s="1">
        <f t="shared" ref="AA45:AF45" si="12">-1*AA40</f>
        <v>0</v>
      </c>
      <c r="AB45" s="1">
        <f t="shared" si="12"/>
        <v>0</v>
      </c>
      <c r="AC45" s="1">
        <f t="shared" si="12"/>
        <v>0</v>
      </c>
      <c r="AD45" s="1">
        <f t="shared" si="12"/>
        <v>-3</v>
      </c>
      <c r="AE45" s="1">
        <f t="shared" si="12"/>
        <v>-1</v>
      </c>
      <c r="AF45" s="1">
        <f t="shared" si="12"/>
        <v>0</v>
      </c>
      <c r="AG45" s="4" t="b">
        <v>1</v>
      </c>
    </row>
    <row r="46" spans="1:34" x14ac:dyDescent="0.25">
      <c r="A46" s="1" t="str">
        <f t="shared" si="10"/>
        <v>Crp-Arp-Arp-Crp-Vrp-Vrp-Crp-Arp-Arp-</v>
      </c>
      <c r="B46" s="31">
        <v>40</v>
      </c>
      <c r="C46" s="1" t="str">
        <f t="shared" si="5"/>
        <v/>
      </c>
      <c r="F46" s="23" t="str">
        <f t="shared" si="6"/>
        <v/>
      </c>
      <c r="G46" s="23" t="str">
        <f t="shared" si="7"/>
        <v/>
      </c>
      <c r="H46" s="23" t="str">
        <f t="shared" si="8"/>
        <v/>
      </c>
      <c r="I46" s="23" t="str">
        <f t="shared" si="3"/>
        <v/>
      </c>
      <c r="J46" s="23" t="str">
        <f t="shared" si="3"/>
        <v/>
      </c>
      <c r="K46" s="23" t="str">
        <f t="shared" si="3"/>
        <v/>
      </c>
      <c r="L46" s="23"/>
      <c r="M46" s="23" cm="1">
        <f t="array" aca="1" ref="M46" ca="1">IF($I46="",0,INDIRECT(ADDRESS($I46,COLUMN(AA$1))))+IF($J46="",0,INDIRECT(ADDRESS($J46,COLUMN(AA$1)))+AA$14)+IF($K46="",0,INDIRECT(ADDRESS($K46,COLUMN(AA$1))))</f>
        <v>0</v>
      </c>
      <c r="N46" s="23" cm="1">
        <f t="array" aca="1" ref="N46" ca="1">IF($I46="",0,INDIRECT(ADDRESS($I46,COLUMN(AB$1))))+IF($J46="",0,INDIRECT(ADDRESS($J46,COLUMN(AB$1)))+AB$14)+IF($K46="",0,INDIRECT(ADDRESS($K46,COLUMN(AB$1))))</f>
        <v>0</v>
      </c>
      <c r="O46" s="23" cm="1">
        <f t="array" aca="1" ref="O46" ca="1">IF($I46="",0,INDIRECT(ADDRESS($I46,COLUMN(AC$1))))+IF($J46="",0,INDIRECT(ADDRESS($J46,COLUMN(AC$1)))+AC$14)+IF($K46="",0,INDIRECT(ADDRESS($K46,COLUMN(AC$1))))</f>
        <v>0</v>
      </c>
      <c r="P46" s="23" cm="1">
        <f t="array" aca="1" ref="P46" ca="1">IF($I46="",0,INDIRECT(ADDRESS($I46,COLUMN(AD$1))))+IF($J46="",0,INDIRECT(ADDRESS($J46,COLUMN(AD$1)))+AD$14)+IF($K46="",0,INDIRECT(ADDRESS($K46,COLUMN(AD$1))))</f>
        <v>0</v>
      </c>
      <c r="Q46" s="23" cm="1">
        <f t="array" aca="1" ref="Q46" ca="1">IF($I46="",0,INDIRECT(ADDRESS($I46,COLUMN(AE$1))))+IF($J46="",0,INDIRECT(ADDRESS($J46,COLUMN(AE$1)))+AE$14)+IF($K46="",0,INDIRECT(ADDRESS($K46,COLUMN(AE$1))))</f>
        <v>0</v>
      </c>
      <c r="R46" s="23" cm="1">
        <f t="array" aca="1" ref="R46" ca="1">IF($I46="",0,INDIRECT(ADDRESS($I46,COLUMN(AF$1))))+IF($J46="",0,INDIRECT(ADDRESS($J46,COLUMN(AF$1)))+AF$14)+IF($K46="",0,INDIRECT(ADDRESS($K46,COLUMN(AF$1))))</f>
        <v>0</v>
      </c>
      <c r="S46" s="1" t="str">
        <f t="shared" si="9"/>
        <v/>
      </c>
      <c r="Y46" s="1" t="s">
        <v>48</v>
      </c>
      <c r="Z46" s="1" t="s">
        <v>22</v>
      </c>
      <c r="AA46" s="1">
        <f t="shared" ref="AA46:AF46" si="13">-1*AA41</f>
        <v>0</v>
      </c>
      <c r="AB46" s="1">
        <f t="shared" si="13"/>
        <v>-1</v>
      </c>
      <c r="AC46" s="1">
        <f t="shared" si="13"/>
        <v>0</v>
      </c>
      <c r="AD46" s="1">
        <f t="shared" si="13"/>
        <v>-1</v>
      </c>
      <c r="AE46" s="1">
        <f t="shared" si="13"/>
        <v>0</v>
      </c>
      <c r="AF46" s="1">
        <f t="shared" si="13"/>
        <v>0</v>
      </c>
      <c r="AG46" s="4" t="b">
        <v>1</v>
      </c>
    </row>
    <row r="47" spans="1:34" x14ac:dyDescent="0.25">
      <c r="A47" s="1" t="str">
        <f t="shared" si="10"/>
        <v>Arp-Arp-Crp-Vrp-Vrp-Crp-Arp-Arp-</v>
      </c>
      <c r="B47" s="1">
        <v>41</v>
      </c>
      <c r="C47" s="1" t="str">
        <f t="shared" si="5"/>
        <v/>
      </c>
      <c r="F47" s="23" t="str">
        <f t="shared" si="6"/>
        <v/>
      </c>
      <c r="G47" s="23" t="str">
        <f t="shared" si="7"/>
        <v/>
      </c>
      <c r="H47" s="23" t="str">
        <f t="shared" si="8"/>
        <v/>
      </c>
      <c r="I47" s="23" t="str">
        <f t="shared" si="3"/>
        <v/>
      </c>
      <c r="J47" s="23" t="str">
        <f t="shared" si="3"/>
        <v/>
      </c>
      <c r="K47" s="23" t="str">
        <f t="shared" si="3"/>
        <v/>
      </c>
      <c r="L47" s="23"/>
      <c r="M47" s="23" cm="1">
        <f t="array" aca="1" ref="M47" ca="1">IF($I47="",0,INDIRECT(ADDRESS($I47,COLUMN(AA$1))))+IF($J47="",0,INDIRECT(ADDRESS($J47,COLUMN(AA$1)))+AA$14)+IF($K47="",0,INDIRECT(ADDRESS($K47,COLUMN(AA$1))))</f>
        <v>0</v>
      </c>
      <c r="N47" s="23" cm="1">
        <f t="array" aca="1" ref="N47" ca="1">IF($I47="",0,INDIRECT(ADDRESS($I47,COLUMN(AB$1))))+IF($J47="",0,INDIRECT(ADDRESS($J47,COLUMN(AB$1)))+AB$14)+IF($K47="",0,INDIRECT(ADDRESS($K47,COLUMN(AB$1))))</f>
        <v>0</v>
      </c>
      <c r="O47" s="23" cm="1">
        <f t="array" aca="1" ref="O47" ca="1">IF($I47="",0,INDIRECT(ADDRESS($I47,COLUMN(AC$1))))+IF($J47="",0,INDIRECT(ADDRESS($J47,COLUMN(AC$1)))+AC$14)+IF($K47="",0,INDIRECT(ADDRESS($K47,COLUMN(AC$1))))</f>
        <v>0</v>
      </c>
      <c r="P47" s="23" cm="1">
        <f t="array" aca="1" ref="P47" ca="1">IF($I47="",0,INDIRECT(ADDRESS($I47,COLUMN(AD$1))))+IF($J47="",0,INDIRECT(ADDRESS($J47,COLUMN(AD$1)))+AD$14)+IF($K47="",0,INDIRECT(ADDRESS($K47,COLUMN(AD$1))))</f>
        <v>0</v>
      </c>
      <c r="Q47" s="23" cm="1">
        <f t="array" aca="1" ref="Q47" ca="1">IF($I47="",0,INDIRECT(ADDRESS($I47,COLUMN(AE$1))))+IF($J47="",0,INDIRECT(ADDRESS($J47,COLUMN(AE$1)))+AE$14)+IF($K47="",0,INDIRECT(ADDRESS($K47,COLUMN(AE$1))))</f>
        <v>0</v>
      </c>
      <c r="R47" s="23" cm="1">
        <f t="array" aca="1" ref="R47" ca="1">IF($I47="",0,INDIRECT(ADDRESS($I47,COLUMN(AF$1))))+IF($J47="",0,INDIRECT(ADDRESS($J47,COLUMN(AF$1)))+AF$14)+IF($K47="",0,INDIRECT(ADDRESS($K47,COLUMN(AF$1))))</f>
        <v>0</v>
      </c>
      <c r="S47" s="1" t="str">
        <f t="shared" si="9"/>
        <v/>
      </c>
      <c r="Y47" s="1" t="s">
        <v>49</v>
      </c>
      <c r="Z47" s="1" t="s">
        <v>22</v>
      </c>
      <c r="AA47" s="1">
        <f t="shared" ref="AA47:AF47" si="14">-1*AA42</f>
        <v>0</v>
      </c>
      <c r="AB47" s="1">
        <f t="shared" si="14"/>
        <v>1</v>
      </c>
      <c r="AC47" s="1">
        <f t="shared" si="14"/>
        <v>0</v>
      </c>
      <c r="AD47" s="1">
        <f t="shared" si="14"/>
        <v>0</v>
      </c>
      <c r="AE47" s="1">
        <f t="shared" si="14"/>
        <v>0</v>
      </c>
      <c r="AF47" s="1">
        <f t="shared" si="14"/>
        <v>0</v>
      </c>
      <c r="AG47" s="4" t="b">
        <v>1</v>
      </c>
    </row>
    <row r="48" spans="1:34" x14ac:dyDescent="0.25">
      <c r="A48" s="1" t="str">
        <f t="shared" si="10"/>
        <v>Arp-Crp-Vrp-Vrp-Crp-Arp-Arp-</v>
      </c>
      <c r="B48" s="31">
        <v>42</v>
      </c>
      <c r="C48" s="1" t="str">
        <f t="shared" si="5"/>
        <v/>
      </c>
      <c r="F48" s="23" t="str">
        <f t="shared" si="6"/>
        <v/>
      </c>
      <c r="G48" s="23" t="str">
        <f t="shared" si="7"/>
        <v/>
      </c>
      <c r="H48" s="23" t="str">
        <f t="shared" si="8"/>
        <v/>
      </c>
      <c r="I48" s="23" t="str">
        <f t="shared" si="3"/>
        <v/>
      </c>
      <c r="J48" s="23" t="str">
        <f t="shared" si="3"/>
        <v/>
      </c>
      <c r="K48" s="23" t="str">
        <f t="shared" si="3"/>
        <v/>
      </c>
      <c r="L48" s="23"/>
      <c r="M48" s="23" cm="1">
        <f t="array" aca="1" ref="M48" ca="1">IF($I48="",0,INDIRECT(ADDRESS($I48,COLUMN(AA$1))))+IF($J48="",0,INDIRECT(ADDRESS($J48,COLUMN(AA$1)))+AA$14)+IF($K48="",0,INDIRECT(ADDRESS($K48,COLUMN(AA$1))))</f>
        <v>0</v>
      </c>
      <c r="N48" s="23" cm="1">
        <f t="array" aca="1" ref="N48" ca="1">IF($I48="",0,INDIRECT(ADDRESS($I48,COLUMN(AB$1))))+IF($J48="",0,INDIRECT(ADDRESS($J48,COLUMN(AB$1)))+AB$14)+IF($K48="",0,INDIRECT(ADDRESS($K48,COLUMN(AB$1))))</f>
        <v>0</v>
      </c>
      <c r="O48" s="23" cm="1">
        <f t="array" aca="1" ref="O48" ca="1">IF($I48="",0,INDIRECT(ADDRESS($I48,COLUMN(AC$1))))+IF($J48="",0,INDIRECT(ADDRESS($J48,COLUMN(AC$1)))+AC$14)+IF($K48="",0,INDIRECT(ADDRESS($K48,COLUMN(AC$1))))</f>
        <v>0</v>
      </c>
      <c r="P48" s="23" cm="1">
        <f t="array" aca="1" ref="P48" ca="1">IF($I48="",0,INDIRECT(ADDRESS($I48,COLUMN(AD$1))))+IF($J48="",0,INDIRECT(ADDRESS($J48,COLUMN(AD$1)))+AD$14)+IF($K48="",0,INDIRECT(ADDRESS($K48,COLUMN(AD$1))))</f>
        <v>0</v>
      </c>
      <c r="Q48" s="23" cm="1">
        <f t="array" aca="1" ref="Q48" ca="1">IF($I48="",0,INDIRECT(ADDRESS($I48,COLUMN(AE$1))))+IF($J48="",0,INDIRECT(ADDRESS($J48,COLUMN(AE$1)))+AE$14)+IF($K48="",0,INDIRECT(ADDRESS($K48,COLUMN(AE$1))))</f>
        <v>0</v>
      </c>
      <c r="R48" s="23" cm="1">
        <f t="array" aca="1" ref="R48" ca="1">IF($I48="",0,INDIRECT(ADDRESS($I48,COLUMN(AF$1))))+IF($J48="",0,INDIRECT(ADDRESS($J48,COLUMN(AF$1)))+AF$14)+IF($K48="",0,INDIRECT(ADDRESS($K48,COLUMN(AF$1))))</f>
        <v>0</v>
      </c>
      <c r="S48" s="1" t="str">
        <f t="shared" si="9"/>
        <v/>
      </c>
    </row>
    <row r="49" spans="1:19" x14ac:dyDescent="0.25">
      <c r="A49" s="1" t="str">
        <f t="shared" si="10"/>
        <v>Crp-Vrp-Vrp-Crp-Arp-Arp-</v>
      </c>
      <c r="B49" s="1">
        <v>43</v>
      </c>
      <c r="C49" s="1" t="str">
        <f t="shared" si="5"/>
        <v/>
      </c>
      <c r="F49" s="23" t="str">
        <f t="shared" si="6"/>
        <v/>
      </c>
      <c r="G49" s="23" t="str">
        <f t="shared" si="7"/>
        <v/>
      </c>
      <c r="H49" s="23" t="str">
        <f t="shared" si="8"/>
        <v/>
      </c>
      <c r="I49" s="23" t="str">
        <f t="shared" si="3"/>
        <v/>
      </c>
      <c r="J49" s="23" t="str">
        <f t="shared" si="3"/>
        <v/>
      </c>
      <c r="K49" s="23" t="str">
        <f t="shared" si="3"/>
        <v/>
      </c>
      <c r="L49" s="23"/>
      <c r="M49" s="23" cm="1">
        <f t="array" aca="1" ref="M49" ca="1">IF($I49="",0,INDIRECT(ADDRESS($I49,COLUMN(AA$1))))+IF($J49="",0,INDIRECT(ADDRESS($J49,COLUMN(AA$1)))+AA$14)+IF($K49="",0,INDIRECT(ADDRESS($K49,COLUMN(AA$1))))</f>
        <v>0</v>
      </c>
      <c r="N49" s="23" cm="1">
        <f t="array" aca="1" ref="N49" ca="1">IF($I49="",0,INDIRECT(ADDRESS($I49,COLUMN(AB$1))))+IF($J49="",0,INDIRECT(ADDRESS($J49,COLUMN(AB$1)))+AB$14)+IF($K49="",0,INDIRECT(ADDRESS($K49,COLUMN(AB$1))))</f>
        <v>0</v>
      </c>
      <c r="O49" s="23" cm="1">
        <f t="array" aca="1" ref="O49" ca="1">IF($I49="",0,INDIRECT(ADDRESS($I49,COLUMN(AC$1))))+IF($J49="",0,INDIRECT(ADDRESS($J49,COLUMN(AC$1)))+AC$14)+IF($K49="",0,INDIRECT(ADDRESS($K49,COLUMN(AC$1))))</f>
        <v>0</v>
      </c>
      <c r="P49" s="23" cm="1">
        <f t="array" aca="1" ref="P49" ca="1">IF($I49="",0,INDIRECT(ADDRESS($I49,COLUMN(AD$1))))+IF($J49="",0,INDIRECT(ADDRESS($J49,COLUMN(AD$1)))+AD$14)+IF($K49="",0,INDIRECT(ADDRESS($K49,COLUMN(AD$1))))</f>
        <v>0</v>
      </c>
      <c r="Q49" s="23" cm="1">
        <f t="array" aca="1" ref="Q49" ca="1">IF($I49="",0,INDIRECT(ADDRESS($I49,COLUMN(AE$1))))+IF($J49="",0,INDIRECT(ADDRESS($J49,COLUMN(AE$1)))+AE$14)+IF($K49="",0,INDIRECT(ADDRESS($K49,COLUMN(AE$1))))</f>
        <v>0</v>
      </c>
      <c r="R49" s="23" cm="1">
        <f t="array" aca="1" ref="R49" ca="1">IF($I49="",0,INDIRECT(ADDRESS($I49,COLUMN(AF$1))))+IF($J49="",0,INDIRECT(ADDRESS($J49,COLUMN(AF$1)))+AF$14)+IF($K49="",0,INDIRECT(ADDRESS($K49,COLUMN(AF$1))))</f>
        <v>0</v>
      </c>
      <c r="S49" s="1" t="str">
        <f t="shared" si="9"/>
        <v/>
      </c>
    </row>
    <row r="50" spans="1:19" x14ac:dyDescent="0.25">
      <c r="A50" s="1" t="str">
        <f t="shared" si="10"/>
        <v>Vrp-Vrp-Crp-Arp-Arp-</v>
      </c>
      <c r="B50" s="31">
        <v>44</v>
      </c>
      <c r="C50" s="1" t="str">
        <f t="shared" si="5"/>
        <v/>
      </c>
      <c r="F50" s="23" t="str">
        <f t="shared" si="6"/>
        <v/>
      </c>
      <c r="G50" s="23" t="str">
        <f t="shared" si="7"/>
        <v/>
      </c>
      <c r="H50" s="23" t="str">
        <f t="shared" si="8"/>
        <v/>
      </c>
      <c r="I50" s="23" t="str">
        <f t="shared" si="3"/>
        <v/>
      </c>
      <c r="J50" s="23" t="str">
        <f t="shared" si="3"/>
        <v/>
      </c>
      <c r="K50" s="23" t="str">
        <f t="shared" si="3"/>
        <v/>
      </c>
      <c r="L50" s="23"/>
      <c r="M50" s="23" cm="1">
        <f t="array" aca="1" ref="M50" ca="1">IF($I50="",0,INDIRECT(ADDRESS($I50,COLUMN(AA$1))))+IF($J50="",0,INDIRECT(ADDRESS($J50,COLUMN(AA$1)))+AA$14)+IF($K50="",0,INDIRECT(ADDRESS($K50,COLUMN(AA$1))))</f>
        <v>0</v>
      </c>
      <c r="N50" s="23" cm="1">
        <f t="array" aca="1" ref="N50" ca="1">IF($I50="",0,INDIRECT(ADDRESS($I50,COLUMN(AB$1))))+IF($J50="",0,INDIRECT(ADDRESS($J50,COLUMN(AB$1)))+AB$14)+IF($K50="",0,INDIRECT(ADDRESS($K50,COLUMN(AB$1))))</f>
        <v>0</v>
      </c>
      <c r="O50" s="23" cm="1">
        <f t="array" aca="1" ref="O50" ca="1">IF($I50="",0,INDIRECT(ADDRESS($I50,COLUMN(AC$1))))+IF($J50="",0,INDIRECT(ADDRESS($J50,COLUMN(AC$1)))+AC$14)+IF($K50="",0,INDIRECT(ADDRESS($K50,COLUMN(AC$1))))</f>
        <v>0</v>
      </c>
      <c r="P50" s="23" cm="1">
        <f t="array" aca="1" ref="P50" ca="1">IF($I50="",0,INDIRECT(ADDRESS($I50,COLUMN(AD$1))))+IF($J50="",0,INDIRECT(ADDRESS($J50,COLUMN(AD$1)))+AD$14)+IF($K50="",0,INDIRECT(ADDRESS($K50,COLUMN(AD$1))))</f>
        <v>0</v>
      </c>
      <c r="Q50" s="23" cm="1">
        <f t="array" aca="1" ref="Q50" ca="1">IF($I50="",0,INDIRECT(ADDRESS($I50,COLUMN(AE$1))))+IF($J50="",0,INDIRECT(ADDRESS($J50,COLUMN(AE$1)))+AE$14)+IF($K50="",0,INDIRECT(ADDRESS($K50,COLUMN(AE$1))))</f>
        <v>0</v>
      </c>
      <c r="R50" s="23" cm="1">
        <f t="array" aca="1" ref="R50" ca="1">IF($I50="",0,INDIRECT(ADDRESS($I50,COLUMN(AF$1))))+IF($J50="",0,INDIRECT(ADDRESS($J50,COLUMN(AF$1)))+AF$14)+IF($K50="",0,INDIRECT(ADDRESS($K50,COLUMN(AF$1))))</f>
        <v>0</v>
      </c>
      <c r="S50" s="1" t="str">
        <f t="shared" si="9"/>
        <v/>
      </c>
    </row>
    <row r="51" spans="1:19" x14ac:dyDescent="0.25">
      <c r="A51" s="1" t="str">
        <f t="shared" si="10"/>
        <v>Vrp-Crp-Arp-Arp-</v>
      </c>
      <c r="B51" s="1">
        <v>45</v>
      </c>
      <c r="C51" s="1" t="str">
        <f t="shared" si="5"/>
        <v/>
      </c>
      <c r="F51" s="23" t="str">
        <f t="shared" si="6"/>
        <v/>
      </c>
      <c r="G51" s="23" t="str">
        <f t="shared" si="7"/>
        <v/>
      </c>
      <c r="H51" s="23" t="str">
        <f t="shared" si="8"/>
        <v/>
      </c>
      <c r="I51" s="23" t="str">
        <f t="shared" si="3"/>
        <v/>
      </c>
      <c r="J51" s="23" t="str">
        <f t="shared" si="3"/>
        <v/>
      </c>
      <c r="K51" s="23" t="str">
        <f t="shared" si="3"/>
        <v/>
      </c>
      <c r="L51" s="23"/>
      <c r="M51" s="23" cm="1">
        <f t="array" aca="1" ref="M51" ca="1">IF($I51="",0,INDIRECT(ADDRESS($I51,COLUMN(AA$1))))+IF($J51="",0,INDIRECT(ADDRESS($J51,COLUMN(AA$1)))+AA$14)+IF($K51="",0,INDIRECT(ADDRESS($K51,COLUMN(AA$1))))</f>
        <v>0</v>
      </c>
      <c r="N51" s="23" cm="1">
        <f t="array" aca="1" ref="N51" ca="1">IF($I51="",0,INDIRECT(ADDRESS($I51,COLUMN(AB$1))))+IF($J51="",0,INDIRECT(ADDRESS($J51,COLUMN(AB$1)))+AB$14)+IF($K51="",0,INDIRECT(ADDRESS($K51,COLUMN(AB$1))))</f>
        <v>0</v>
      </c>
      <c r="O51" s="23" cm="1">
        <f t="array" aca="1" ref="O51" ca="1">IF($I51="",0,INDIRECT(ADDRESS($I51,COLUMN(AC$1))))+IF($J51="",0,INDIRECT(ADDRESS($J51,COLUMN(AC$1)))+AC$14)+IF($K51="",0,INDIRECT(ADDRESS($K51,COLUMN(AC$1))))</f>
        <v>0</v>
      </c>
      <c r="P51" s="23" cm="1">
        <f t="array" aca="1" ref="P51" ca="1">IF($I51="",0,INDIRECT(ADDRESS($I51,COLUMN(AD$1))))+IF($J51="",0,INDIRECT(ADDRESS($J51,COLUMN(AD$1)))+AD$14)+IF($K51="",0,INDIRECT(ADDRESS($K51,COLUMN(AD$1))))</f>
        <v>0</v>
      </c>
      <c r="Q51" s="23" cm="1">
        <f t="array" aca="1" ref="Q51" ca="1">IF($I51="",0,INDIRECT(ADDRESS($I51,COLUMN(AE$1))))+IF($J51="",0,INDIRECT(ADDRESS($J51,COLUMN(AE$1)))+AE$14)+IF($K51="",0,INDIRECT(ADDRESS($K51,COLUMN(AE$1))))</f>
        <v>0</v>
      </c>
      <c r="R51" s="23" cm="1">
        <f t="array" aca="1" ref="R51" ca="1">IF($I51="",0,INDIRECT(ADDRESS($I51,COLUMN(AF$1))))+IF($J51="",0,INDIRECT(ADDRESS($J51,COLUMN(AF$1)))+AF$14)+IF($K51="",0,INDIRECT(ADDRESS($K51,COLUMN(AF$1))))</f>
        <v>0</v>
      </c>
      <c r="S51" s="1" t="str">
        <f t="shared" si="9"/>
        <v/>
      </c>
    </row>
    <row r="52" spans="1:19" x14ac:dyDescent="0.25">
      <c r="A52" s="1" t="str">
        <f t="shared" si="10"/>
        <v>Crp-Arp-Arp-</v>
      </c>
      <c r="B52" s="31">
        <v>46</v>
      </c>
      <c r="C52" s="1" t="str">
        <f t="shared" si="5"/>
        <v/>
      </c>
      <c r="F52" s="23" t="str">
        <f t="shared" si="6"/>
        <v/>
      </c>
      <c r="G52" s="23" t="str">
        <f t="shared" si="7"/>
        <v/>
      </c>
      <c r="H52" s="23" t="str">
        <f t="shared" si="8"/>
        <v/>
      </c>
      <c r="I52" s="23" t="str">
        <f t="shared" si="3"/>
        <v/>
      </c>
      <c r="J52" s="23" t="str">
        <f t="shared" si="3"/>
        <v/>
      </c>
      <c r="K52" s="23" t="str">
        <f t="shared" si="3"/>
        <v/>
      </c>
      <c r="L52" s="23"/>
      <c r="M52" s="23" cm="1">
        <f t="array" aca="1" ref="M52" ca="1">IF($I52="",0,INDIRECT(ADDRESS($I52,COLUMN(AA$1))))+IF($J52="",0,INDIRECT(ADDRESS($J52,COLUMN(AA$1)))+AA$14)+IF($K52="",0,INDIRECT(ADDRESS($K52,COLUMN(AA$1))))</f>
        <v>0</v>
      </c>
      <c r="N52" s="23" cm="1">
        <f t="array" aca="1" ref="N52" ca="1">IF($I52="",0,INDIRECT(ADDRESS($I52,COLUMN(AB$1))))+IF($J52="",0,INDIRECT(ADDRESS($J52,COLUMN(AB$1)))+AB$14)+IF($K52="",0,INDIRECT(ADDRESS($K52,COLUMN(AB$1))))</f>
        <v>0</v>
      </c>
      <c r="O52" s="23" cm="1">
        <f t="array" aca="1" ref="O52" ca="1">IF($I52="",0,INDIRECT(ADDRESS($I52,COLUMN(AC$1))))+IF($J52="",0,INDIRECT(ADDRESS($J52,COLUMN(AC$1)))+AC$14)+IF($K52="",0,INDIRECT(ADDRESS($K52,COLUMN(AC$1))))</f>
        <v>0</v>
      </c>
      <c r="P52" s="23" cm="1">
        <f t="array" aca="1" ref="P52" ca="1">IF($I52="",0,INDIRECT(ADDRESS($I52,COLUMN(AD$1))))+IF($J52="",0,INDIRECT(ADDRESS($J52,COLUMN(AD$1)))+AD$14)+IF($K52="",0,INDIRECT(ADDRESS($K52,COLUMN(AD$1))))</f>
        <v>0</v>
      </c>
      <c r="Q52" s="23" cm="1">
        <f t="array" aca="1" ref="Q52" ca="1">IF($I52="",0,INDIRECT(ADDRESS($I52,COLUMN(AE$1))))+IF($J52="",0,INDIRECT(ADDRESS($J52,COLUMN(AE$1)))+AE$14)+IF($K52="",0,INDIRECT(ADDRESS($K52,COLUMN(AE$1))))</f>
        <v>0</v>
      </c>
      <c r="R52" s="23" cm="1">
        <f t="array" aca="1" ref="R52" ca="1">IF($I52="",0,INDIRECT(ADDRESS($I52,COLUMN(AF$1))))+IF($J52="",0,INDIRECT(ADDRESS($J52,COLUMN(AF$1)))+AF$14)+IF($K52="",0,INDIRECT(ADDRESS($K52,COLUMN(AF$1))))</f>
        <v>0</v>
      </c>
      <c r="S52" s="1" t="str">
        <f t="shared" si="9"/>
        <v/>
      </c>
    </row>
    <row r="53" spans="1:19" x14ac:dyDescent="0.25">
      <c r="A53" s="1" t="str">
        <f t="shared" si="10"/>
        <v>Arp-Arp-</v>
      </c>
      <c r="B53" s="1">
        <v>47</v>
      </c>
      <c r="C53" s="1" t="str">
        <f t="shared" si="5"/>
        <v/>
      </c>
      <c r="F53" s="23" t="str">
        <f t="shared" si="6"/>
        <v/>
      </c>
      <c r="G53" s="23" t="str">
        <f t="shared" si="7"/>
        <v/>
      </c>
      <c r="H53" s="23" t="str">
        <f t="shared" si="8"/>
        <v/>
      </c>
      <c r="I53" s="23" t="str">
        <f t="shared" si="3"/>
        <v/>
      </c>
      <c r="J53" s="23" t="str">
        <f t="shared" si="3"/>
        <v/>
      </c>
      <c r="K53" s="23" t="str">
        <f t="shared" si="3"/>
        <v/>
      </c>
      <c r="L53" s="23"/>
      <c r="M53" s="23" cm="1">
        <f t="array" aca="1" ref="M53" ca="1">IF($I53="",0,INDIRECT(ADDRESS($I53,COLUMN(AA$1))))+IF($J53="",0,INDIRECT(ADDRESS($J53,COLUMN(AA$1)))+AA$14)+IF($K53="",0,INDIRECT(ADDRESS($K53,COLUMN(AA$1))))</f>
        <v>0</v>
      </c>
      <c r="N53" s="23" cm="1">
        <f t="array" aca="1" ref="N53" ca="1">IF($I53="",0,INDIRECT(ADDRESS($I53,COLUMN(AB$1))))+IF($J53="",0,INDIRECT(ADDRESS($J53,COLUMN(AB$1)))+AB$14)+IF($K53="",0,INDIRECT(ADDRESS($K53,COLUMN(AB$1))))</f>
        <v>0</v>
      </c>
      <c r="O53" s="23" cm="1">
        <f t="array" aca="1" ref="O53" ca="1">IF($I53="",0,INDIRECT(ADDRESS($I53,COLUMN(AC$1))))+IF($J53="",0,INDIRECT(ADDRESS($J53,COLUMN(AC$1)))+AC$14)+IF($K53="",0,INDIRECT(ADDRESS($K53,COLUMN(AC$1))))</f>
        <v>0</v>
      </c>
      <c r="P53" s="23" cm="1">
        <f t="array" aca="1" ref="P53" ca="1">IF($I53="",0,INDIRECT(ADDRESS($I53,COLUMN(AD$1))))+IF($J53="",0,INDIRECT(ADDRESS($J53,COLUMN(AD$1)))+AD$14)+IF($K53="",0,INDIRECT(ADDRESS($K53,COLUMN(AD$1))))</f>
        <v>0</v>
      </c>
      <c r="Q53" s="23" cm="1">
        <f t="array" aca="1" ref="Q53" ca="1">IF($I53="",0,INDIRECT(ADDRESS($I53,COLUMN(AE$1))))+IF($J53="",0,INDIRECT(ADDRESS($J53,COLUMN(AE$1)))+AE$14)+IF($K53="",0,INDIRECT(ADDRESS($K53,COLUMN(AE$1))))</f>
        <v>0</v>
      </c>
      <c r="R53" s="23" cm="1">
        <f t="array" aca="1" ref="R53" ca="1">IF($I53="",0,INDIRECT(ADDRESS($I53,COLUMN(AF$1))))+IF($J53="",0,INDIRECT(ADDRESS($J53,COLUMN(AF$1)))+AF$14)+IF($K53="",0,INDIRECT(ADDRESS($K53,COLUMN(AF$1))))</f>
        <v>0</v>
      </c>
      <c r="S53" s="1" t="str">
        <f t="shared" si="9"/>
        <v/>
      </c>
    </row>
    <row r="54" spans="1:19" x14ac:dyDescent="0.25">
      <c r="A54" s="1" t="str">
        <f t="shared" si="10"/>
        <v>Arp-</v>
      </c>
      <c r="B54" s="31">
        <v>48</v>
      </c>
      <c r="C54" s="1" t="str">
        <f t="shared" si="5"/>
        <v/>
      </c>
      <c r="F54" s="23" t="str">
        <f t="shared" si="6"/>
        <v/>
      </c>
      <c r="G54" s="23" t="str">
        <f t="shared" si="7"/>
        <v/>
      </c>
      <c r="H54" s="23" t="str">
        <f t="shared" si="8"/>
        <v/>
      </c>
      <c r="I54" s="23" t="str">
        <f t="shared" si="3"/>
        <v/>
      </c>
      <c r="J54" s="23" t="str">
        <f t="shared" si="3"/>
        <v/>
      </c>
      <c r="K54" s="23" t="str">
        <f t="shared" si="3"/>
        <v/>
      </c>
      <c r="L54" s="23"/>
      <c r="M54" s="23" cm="1">
        <f t="array" aca="1" ref="M54" ca="1">IF($I54="",0,INDIRECT(ADDRESS($I54,COLUMN(AA$1))))+IF($J54="",0,INDIRECT(ADDRESS($J54,COLUMN(AA$1)))+AA$14)+IF($K54="",0,INDIRECT(ADDRESS($K54,COLUMN(AA$1))))</f>
        <v>0</v>
      </c>
      <c r="N54" s="23" cm="1">
        <f t="array" aca="1" ref="N54" ca="1">IF($I54="",0,INDIRECT(ADDRESS($I54,COLUMN(AB$1))))+IF($J54="",0,INDIRECT(ADDRESS($J54,COLUMN(AB$1)))+AB$14)+IF($K54="",0,INDIRECT(ADDRESS($K54,COLUMN(AB$1))))</f>
        <v>0</v>
      </c>
      <c r="O54" s="23" cm="1">
        <f t="array" aca="1" ref="O54" ca="1">IF($I54="",0,INDIRECT(ADDRESS($I54,COLUMN(AC$1))))+IF($J54="",0,INDIRECT(ADDRESS($J54,COLUMN(AC$1)))+AC$14)+IF($K54="",0,INDIRECT(ADDRESS($K54,COLUMN(AC$1))))</f>
        <v>0</v>
      </c>
      <c r="P54" s="23" cm="1">
        <f t="array" aca="1" ref="P54" ca="1">IF($I54="",0,INDIRECT(ADDRESS($I54,COLUMN(AD$1))))+IF($J54="",0,INDIRECT(ADDRESS($J54,COLUMN(AD$1)))+AD$14)+IF($K54="",0,INDIRECT(ADDRESS($K54,COLUMN(AD$1))))</f>
        <v>0</v>
      </c>
      <c r="Q54" s="23" cm="1">
        <f t="array" aca="1" ref="Q54" ca="1">IF($I54="",0,INDIRECT(ADDRESS($I54,COLUMN(AE$1))))+IF($J54="",0,INDIRECT(ADDRESS($J54,COLUMN(AE$1)))+AE$14)+IF($K54="",0,INDIRECT(ADDRESS($K54,COLUMN(AE$1))))</f>
        <v>0</v>
      </c>
      <c r="R54" s="23" cm="1">
        <f t="array" aca="1" ref="R54" ca="1">IF($I54="",0,INDIRECT(ADDRESS($I54,COLUMN(AF$1))))+IF($J54="",0,INDIRECT(ADDRESS($J54,COLUMN(AF$1)))+AF$14)+IF($K54="",0,INDIRECT(ADDRESS($K54,COLUMN(AF$1))))</f>
        <v>0</v>
      </c>
      <c r="S54" s="1" t="str">
        <f t="shared" si="9"/>
        <v/>
      </c>
    </row>
    <row r="55" spans="1:19" x14ac:dyDescent="0.25">
      <c r="A55" s="1" t="str">
        <f t="shared" si="10"/>
        <v/>
      </c>
      <c r="B55" s="1">
        <v>49</v>
      </c>
      <c r="C55" s="1" t="str">
        <f t="shared" si="5"/>
        <v/>
      </c>
      <c r="F55" s="23" t="str">
        <f t="shared" si="6"/>
        <v/>
      </c>
      <c r="G55" s="23" t="str">
        <f t="shared" si="7"/>
        <v/>
      </c>
      <c r="H55" s="23" t="str">
        <f t="shared" si="8"/>
        <v/>
      </c>
      <c r="I55" s="23" t="str">
        <f t="shared" si="3"/>
        <v/>
      </c>
      <c r="J55" s="23" t="str">
        <f t="shared" si="3"/>
        <v/>
      </c>
      <c r="K55" s="23" t="str">
        <f t="shared" si="3"/>
        <v/>
      </c>
      <c r="L55" s="23"/>
      <c r="M55" s="23" cm="1">
        <f t="array" aca="1" ref="M55" ca="1">IF($I55="",0,INDIRECT(ADDRESS($I55,COLUMN(AA$1))))+IF($J55="",0,INDIRECT(ADDRESS($J55,COLUMN(AA$1)))+AA$14)+IF($K55="",0,INDIRECT(ADDRESS($K55,COLUMN(AA$1))))</f>
        <v>0</v>
      </c>
      <c r="N55" s="23" cm="1">
        <f t="array" aca="1" ref="N55" ca="1">IF($I55="",0,INDIRECT(ADDRESS($I55,COLUMN(AB$1))))+IF($J55="",0,INDIRECT(ADDRESS($J55,COLUMN(AB$1)))+AB$14)+IF($K55="",0,INDIRECT(ADDRESS($K55,COLUMN(AB$1))))</f>
        <v>0</v>
      </c>
      <c r="O55" s="23" cm="1">
        <f t="array" aca="1" ref="O55" ca="1">IF($I55="",0,INDIRECT(ADDRESS($I55,COLUMN(AC$1))))+IF($J55="",0,INDIRECT(ADDRESS($J55,COLUMN(AC$1)))+AC$14)+IF($K55="",0,INDIRECT(ADDRESS($K55,COLUMN(AC$1))))</f>
        <v>0</v>
      </c>
      <c r="P55" s="23" cm="1">
        <f t="array" aca="1" ref="P55" ca="1">IF($I55="",0,INDIRECT(ADDRESS($I55,COLUMN(AD$1))))+IF($J55="",0,INDIRECT(ADDRESS($J55,COLUMN(AD$1)))+AD$14)+IF($K55="",0,INDIRECT(ADDRESS($K55,COLUMN(AD$1))))</f>
        <v>0</v>
      </c>
      <c r="Q55" s="23" cm="1">
        <f t="array" aca="1" ref="Q55" ca="1">IF($I55="",0,INDIRECT(ADDRESS($I55,COLUMN(AE$1))))+IF($J55="",0,INDIRECT(ADDRESS($J55,COLUMN(AE$1)))+AE$14)+IF($K55="",0,INDIRECT(ADDRESS($K55,COLUMN(AE$1))))</f>
        <v>0</v>
      </c>
      <c r="R55" s="23" cm="1">
        <f t="array" aca="1" ref="R55" ca="1">IF($I55="",0,INDIRECT(ADDRESS($I55,COLUMN(AF$1))))+IF($J55="",0,INDIRECT(ADDRESS($J55,COLUMN(AF$1)))+AF$14)+IF($K55="",0,INDIRECT(ADDRESS($K55,COLUMN(AF$1))))</f>
        <v>0</v>
      </c>
      <c r="S55" s="1" t="str">
        <f t="shared" si="9"/>
        <v/>
      </c>
    </row>
    <row r="56" spans="1:19" x14ac:dyDescent="0.25">
      <c r="A56" s="1" t="str">
        <f t="shared" si="10"/>
        <v/>
      </c>
      <c r="B56" s="31">
        <v>50</v>
      </c>
      <c r="C56" s="1" t="str">
        <f t="shared" si="5"/>
        <v/>
      </c>
      <c r="F56" s="23" t="str">
        <f t="shared" si="6"/>
        <v/>
      </c>
      <c r="G56" s="23" t="str">
        <f t="shared" si="7"/>
        <v/>
      </c>
      <c r="H56" s="23" t="str">
        <f t="shared" si="8"/>
        <v/>
      </c>
      <c r="I56" s="23" t="str">
        <f t="shared" si="3"/>
        <v/>
      </c>
      <c r="J56" s="23" t="str">
        <f t="shared" si="3"/>
        <v/>
      </c>
      <c r="K56" s="23" t="str">
        <f t="shared" si="3"/>
        <v/>
      </c>
      <c r="L56" s="23"/>
      <c r="M56" s="23" cm="1">
        <f t="array" aca="1" ref="M56" ca="1">IF($I56="",0,INDIRECT(ADDRESS($I56,COLUMN(AA$1))))+IF($J56="",0,INDIRECT(ADDRESS($J56,COLUMN(AA$1)))+AA$14)+IF($K56="",0,INDIRECT(ADDRESS($K56,COLUMN(AA$1))))</f>
        <v>0</v>
      </c>
      <c r="N56" s="23" cm="1">
        <f t="array" aca="1" ref="N56" ca="1">IF($I56="",0,INDIRECT(ADDRESS($I56,COLUMN(AB$1))))+IF($J56="",0,INDIRECT(ADDRESS($J56,COLUMN(AB$1)))+AB$14)+IF($K56="",0,INDIRECT(ADDRESS($K56,COLUMN(AB$1))))</f>
        <v>0</v>
      </c>
      <c r="O56" s="23" cm="1">
        <f t="array" aca="1" ref="O56" ca="1">IF($I56="",0,INDIRECT(ADDRESS($I56,COLUMN(AC$1))))+IF($J56="",0,INDIRECT(ADDRESS($J56,COLUMN(AC$1)))+AC$14)+IF($K56="",0,INDIRECT(ADDRESS($K56,COLUMN(AC$1))))</f>
        <v>0</v>
      </c>
      <c r="P56" s="23" cm="1">
        <f t="array" aca="1" ref="P56" ca="1">IF($I56="",0,INDIRECT(ADDRESS($I56,COLUMN(AD$1))))+IF($J56="",0,INDIRECT(ADDRESS($J56,COLUMN(AD$1)))+AD$14)+IF($K56="",0,INDIRECT(ADDRESS($K56,COLUMN(AD$1))))</f>
        <v>0</v>
      </c>
      <c r="Q56" s="23" cm="1">
        <f t="array" aca="1" ref="Q56" ca="1">IF($I56="",0,INDIRECT(ADDRESS($I56,COLUMN(AE$1))))+IF($J56="",0,INDIRECT(ADDRESS($J56,COLUMN(AE$1)))+AE$14)+IF($K56="",0,INDIRECT(ADDRESS($K56,COLUMN(AE$1))))</f>
        <v>0</v>
      </c>
      <c r="R56" s="23" cm="1">
        <f t="array" aca="1" ref="R56" ca="1">IF($I56="",0,INDIRECT(ADDRESS($I56,COLUMN(AF$1))))+IF($J56="",0,INDIRECT(ADDRESS($J56,COLUMN(AF$1)))+AF$14)+IF($K56="",0,INDIRECT(ADDRESS($K56,COLUMN(AF$1))))</f>
        <v>0</v>
      </c>
      <c r="S56" s="1" t="str">
        <f t="shared" si="9"/>
        <v/>
      </c>
    </row>
    <row r="57" spans="1:19" x14ac:dyDescent="0.25">
      <c r="A57" s="1" t="str">
        <f t="shared" si="10"/>
        <v/>
      </c>
      <c r="B57" s="1">
        <v>51</v>
      </c>
      <c r="C57" s="1" t="str">
        <f t="shared" si="5"/>
        <v/>
      </c>
      <c r="F57" s="23" t="str">
        <f t="shared" si="6"/>
        <v/>
      </c>
      <c r="G57" s="23" t="str">
        <f t="shared" si="7"/>
        <v/>
      </c>
      <c r="H57" s="23" t="str">
        <f t="shared" si="8"/>
        <v/>
      </c>
      <c r="I57" s="23" t="str">
        <f t="shared" si="3"/>
        <v/>
      </c>
      <c r="J57" s="23" t="str">
        <f t="shared" si="3"/>
        <v/>
      </c>
      <c r="K57" s="23" t="str">
        <f t="shared" si="3"/>
        <v/>
      </c>
      <c r="L57" s="23"/>
      <c r="M57" s="23" cm="1">
        <f t="array" aca="1" ref="M57" ca="1">IF($I57="",0,INDIRECT(ADDRESS($I57,COLUMN(AA$1))))+IF($J57="",0,INDIRECT(ADDRESS($J57,COLUMN(AA$1)))+AA$14)+IF($K57="",0,INDIRECT(ADDRESS($K57,COLUMN(AA$1))))</f>
        <v>0</v>
      </c>
      <c r="N57" s="23" cm="1">
        <f t="array" aca="1" ref="N57" ca="1">IF($I57="",0,INDIRECT(ADDRESS($I57,COLUMN(AB$1))))+IF($J57="",0,INDIRECT(ADDRESS($J57,COLUMN(AB$1)))+AB$14)+IF($K57="",0,INDIRECT(ADDRESS($K57,COLUMN(AB$1))))</f>
        <v>0</v>
      </c>
      <c r="O57" s="23" cm="1">
        <f t="array" aca="1" ref="O57" ca="1">IF($I57="",0,INDIRECT(ADDRESS($I57,COLUMN(AC$1))))+IF($J57="",0,INDIRECT(ADDRESS($J57,COLUMN(AC$1)))+AC$14)+IF($K57="",0,INDIRECT(ADDRESS($K57,COLUMN(AC$1))))</f>
        <v>0</v>
      </c>
      <c r="P57" s="23" cm="1">
        <f t="array" aca="1" ref="P57" ca="1">IF($I57="",0,INDIRECT(ADDRESS($I57,COLUMN(AD$1))))+IF($J57="",0,INDIRECT(ADDRESS($J57,COLUMN(AD$1)))+AD$14)+IF($K57="",0,INDIRECT(ADDRESS($K57,COLUMN(AD$1))))</f>
        <v>0</v>
      </c>
      <c r="Q57" s="23" cm="1">
        <f t="array" aca="1" ref="Q57" ca="1">IF($I57="",0,INDIRECT(ADDRESS($I57,COLUMN(AE$1))))+IF($J57="",0,INDIRECT(ADDRESS($J57,COLUMN(AE$1)))+AE$14)+IF($K57="",0,INDIRECT(ADDRESS($K57,COLUMN(AE$1))))</f>
        <v>0</v>
      </c>
      <c r="R57" s="23" cm="1">
        <f t="array" aca="1" ref="R57" ca="1">IF($I57="",0,INDIRECT(ADDRESS($I57,COLUMN(AF$1))))+IF($J57="",0,INDIRECT(ADDRESS($J57,COLUMN(AF$1)))+AF$14)+IF($K57="",0,INDIRECT(ADDRESS($K57,COLUMN(AF$1))))</f>
        <v>0</v>
      </c>
      <c r="S57" s="1" t="str">
        <f t="shared" si="9"/>
        <v/>
      </c>
    </row>
    <row r="58" spans="1:19" x14ac:dyDescent="0.25">
      <c r="A58" s="1" t="str">
        <f t="shared" si="10"/>
        <v/>
      </c>
      <c r="B58" s="31">
        <v>52</v>
      </c>
      <c r="C58" s="1" t="str">
        <f t="shared" si="5"/>
        <v/>
      </c>
      <c r="F58" s="23" t="str">
        <f t="shared" si="6"/>
        <v/>
      </c>
      <c r="G58" s="23" t="str">
        <f t="shared" si="7"/>
        <v/>
      </c>
      <c r="H58" s="23" t="str">
        <f t="shared" si="8"/>
        <v/>
      </c>
      <c r="I58" s="23" t="str">
        <f t="shared" si="3"/>
        <v/>
      </c>
      <c r="J58" s="23" t="str">
        <f t="shared" si="3"/>
        <v/>
      </c>
      <c r="K58" s="23" t="str">
        <f t="shared" si="3"/>
        <v/>
      </c>
      <c r="L58" s="23"/>
      <c r="M58" s="23" cm="1">
        <f t="array" aca="1" ref="M58" ca="1">IF($I58="",0,INDIRECT(ADDRESS($I58,COLUMN(AA$1))))+IF($J58="",0,INDIRECT(ADDRESS($J58,COLUMN(AA$1)))+AA$14)+IF($K58="",0,INDIRECT(ADDRESS($K58,COLUMN(AA$1))))</f>
        <v>0</v>
      </c>
      <c r="N58" s="23" cm="1">
        <f t="array" aca="1" ref="N58" ca="1">IF($I58="",0,INDIRECT(ADDRESS($I58,COLUMN(AB$1))))+IF($J58="",0,INDIRECT(ADDRESS($J58,COLUMN(AB$1)))+AB$14)+IF($K58="",0,INDIRECT(ADDRESS($K58,COLUMN(AB$1))))</f>
        <v>0</v>
      </c>
      <c r="O58" s="23" cm="1">
        <f t="array" aca="1" ref="O58" ca="1">IF($I58="",0,INDIRECT(ADDRESS($I58,COLUMN(AC$1))))+IF($J58="",0,INDIRECT(ADDRESS($J58,COLUMN(AC$1)))+AC$14)+IF($K58="",0,INDIRECT(ADDRESS($K58,COLUMN(AC$1))))</f>
        <v>0</v>
      </c>
      <c r="P58" s="23" cm="1">
        <f t="array" aca="1" ref="P58" ca="1">IF($I58="",0,INDIRECT(ADDRESS($I58,COLUMN(AD$1))))+IF($J58="",0,INDIRECT(ADDRESS($J58,COLUMN(AD$1)))+AD$14)+IF($K58="",0,INDIRECT(ADDRESS($K58,COLUMN(AD$1))))</f>
        <v>0</v>
      </c>
      <c r="Q58" s="23" cm="1">
        <f t="array" aca="1" ref="Q58" ca="1">IF($I58="",0,INDIRECT(ADDRESS($I58,COLUMN(AE$1))))+IF($J58="",0,INDIRECT(ADDRESS($J58,COLUMN(AE$1)))+AE$14)+IF($K58="",0,INDIRECT(ADDRESS($K58,COLUMN(AE$1))))</f>
        <v>0</v>
      </c>
      <c r="R58" s="23" cm="1">
        <f t="array" aca="1" ref="R58" ca="1">IF($I58="",0,INDIRECT(ADDRESS($I58,COLUMN(AF$1))))+IF($J58="",0,INDIRECT(ADDRESS($J58,COLUMN(AF$1)))+AF$14)+IF($K58="",0,INDIRECT(ADDRESS($K58,COLUMN(AF$1))))</f>
        <v>0</v>
      </c>
      <c r="S58" s="1" t="str">
        <f t="shared" si="9"/>
        <v/>
      </c>
    </row>
    <row r="59" spans="1:19" x14ac:dyDescent="0.25">
      <c r="A59" s="1" t="str">
        <f t="shared" si="10"/>
        <v/>
      </c>
      <c r="B59" s="1">
        <v>53</v>
      </c>
      <c r="C59" s="1" t="str">
        <f t="shared" si="5"/>
        <v/>
      </c>
      <c r="F59" s="23" t="str">
        <f t="shared" si="6"/>
        <v/>
      </c>
      <c r="G59" s="23" t="str">
        <f t="shared" si="7"/>
        <v/>
      </c>
      <c r="H59" s="23" t="str">
        <f t="shared" si="8"/>
        <v/>
      </c>
      <c r="I59" s="23" t="str">
        <f t="shared" si="3"/>
        <v/>
      </c>
      <c r="J59" s="23" t="str">
        <f t="shared" si="3"/>
        <v/>
      </c>
      <c r="K59" s="23" t="str">
        <f t="shared" si="3"/>
        <v/>
      </c>
      <c r="L59" s="23"/>
      <c r="M59" s="23" cm="1">
        <f t="array" aca="1" ref="M59" ca="1">IF($I59="",0,INDIRECT(ADDRESS($I59,COLUMN(AA$1))))+IF($J59="",0,INDIRECT(ADDRESS($J59,COLUMN(AA$1)))+AA$14)+IF($K59="",0,INDIRECT(ADDRESS($K59,COLUMN(AA$1))))</f>
        <v>0</v>
      </c>
      <c r="N59" s="23" cm="1">
        <f t="array" aca="1" ref="N59" ca="1">IF($I59="",0,INDIRECT(ADDRESS($I59,COLUMN(AB$1))))+IF($J59="",0,INDIRECT(ADDRESS($J59,COLUMN(AB$1)))+AB$14)+IF($K59="",0,INDIRECT(ADDRESS($K59,COLUMN(AB$1))))</f>
        <v>0</v>
      </c>
      <c r="O59" s="23" cm="1">
        <f t="array" aca="1" ref="O59" ca="1">IF($I59="",0,INDIRECT(ADDRESS($I59,COLUMN(AC$1))))+IF($J59="",0,INDIRECT(ADDRESS($J59,COLUMN(AC$1)))+AC$14)+IF($K59="",0,INDIRECT(ADDRESS($K59,COLUMN(AC$1))))</f>
        <v>0</v>
      </c>
      <c r="P59" s="23" cm="1">
        <f t="array" aca="1" ref="P59" ca="1">IF($I59="",0,INDIRECT(ADDRESS($I59,COLUMN(AD$1))))+IF($J59="",0,INDIRECT(ADDRESS($J59,COLUMN(AD$1)))+AD$14)+IF($K59="",0,INDIRECT(ADDRESS($K59,COLUMN(AD$1))))</f>
        <v>0</v>
      </c>
      <c r="Q59" s="23" cm="1">
        <f t="array" aca="1" ref="Q59" ca="1">IF($I59="",0,INDIRECT(ADDRESS($I59,COLUMN(AE$1))))+IF($J59="",0,INDIRECT(ADDRESS($J59,COLUMN(AE$1)))+AE$14)+IF($K59="",0,INDIRECT(ADDRESS($K59,COLUMN(AE$1))))</f>
        <v>0</v>
      </c>
      <c r="R59" s="23" cm="1">
        <f t="array" aca="1" ref="R59" ca="1">IF($I59="",0,INDIRECT(ADDRESS($I59,COLUMN(AF$1))))+IF($J59="",0,INDIRECT(ADDRESS($J59,COLUMN(AF$1)))+AF$14)+IF($K59="",0,INDIRECT(ADDRESS($K59,COLUMN(AF$1))))</f>
        <v>0</v>
      </c>
      <c r="S59" s="1" t="str">
        <f t="shared" si="9"/>
        <v/>
      </c>
    </row>
    <row r="60" spans="1:19" x14ac:dyDescent="0.25">
      <c r="A60" s="1" t="str">
        <f t="shared" si="10"/>
        <v/>
      </c>
      <c r="B60" s="31">
        <v>54</v>
      </c>
      <c r="C60" s="1" t="str">
        <f t="shared" si="5"/>
        <v/>
      </c>
      <c r="F60" s="23" t="str">
        <f t="shared" si="6"/>
        <v/>
      </c>
      <c r="G60" s="23" t="str">
        <f t="shared" si="7"/>
        <v/>
      </c>
      <c r="H60" s="23" t="str">
        <f t="shared" si="8"/>
        <v/>
      </c>
      <c r="I60" s="23" t="str">
        <f t="shared" si="3"/>
        <v/>
      </c>
      <c r="J60" s="23" t="str">
        <f t="shared" si="3"/>
        <v/>
      </c>
      <c r="K60" s="23" t="str">
        <f t="shared" si="3"/>
        <v/>
      </c>
      <c r="L60" s="23"/>
      <c r="M60" s="23" cm="1">
        <f t="array" aca="1" ref="M60" ca="1">IF($I60="",0,INDIRECT(ADDRESS($I60,COLUMN(AA$1))))+IF($J60="",0,INDIRECT(ADDRESS($J60,COLUMN(AA$1)))+AA$14)+IF($K60="",0,INDIRECT(ADDRESS($K60,COLUMN(AA$1))))</f>
        <v>0</v>
      </c>
      <c r="N60" s="23" cm="1">
        <f t="array" aca="1" ref="N60" ca="1">IF($I60="",0,INDIRECT(ADDRESS($I60,COLUMN(AB$1))))+IF($J60="",0,INDIRECT(ADDRESS($J60,COLUMN(AB$1)))+AB$14)+IF($K60="",0,INDIRECT(ADDRESS($K60,COLUMN(AB$1))))</f>
        <v>0</v>
      </c>
      <c r="O60" s="23" cm="1">
        <f t="array" aca="1" ref="O60" ca="1">IF($I60="",0,INDIRECT(ADDRESS($I60,COLUMN(AC$1))))+IF($J60="",0,INDIRECT(ADDRESS($J60,COLUMN(AC$1)))+AC$14)+IF($K60="",0,INDIRECT(ADDRESS($K60,COLUMN(AC$1))))</f>
        <v>0</v>
      </c>
      <c r="P60" s="23" cm="1">
        <f t="array" aca="1" ref="P60" ca="1">IF($I60="",0,INDIRECT(ADDRESS($I60,COLUMN(AD$1))))+IF($J60="",0,INDIRECT(ADDRESS($J60,COLUMN(AD$1)))+AD$14)+IF($K60="",0,INDIRECT(ADDRESS($K60,COLUMN(AD$1))))</f>
        <v>0</v>
      </c>
      <c r="Q60" s="23" cm="1">
        <f t="array" aca="1" ref="Q60" ca="1">IF($I60="",0,INDIRECT(ADDRESS($I60,COLUMN(AE$1))))+IF($J60="",0,INDIRECT(ADDRESS($J60,COLUMN(AE$1)))+AE$14)+IF($K60="",0,INDIRECT(ADDRESS($K60,COLUMN(AE$1))))</f>
        <v>0</v>
      </c>
      <c r="R60" s="23" cm="1">
        <f t="array" aca="1" ref="R60" ca="1">IF($I60="",0,INDIRECT(ADDRESS($I60,COLUMN(AF$1))))+IF($J60="",0,INDIRECT(ADDRESS($J60,COLUMN(AF$1)))+AF$14)+IF($K60="",0,INDIRECT(ADDRESS($K60,COLUMN(AF$1))))</f>
        <v>0</v>
      </c>
      <c r="S60" s="1" t="str">
        <f t="shared" si="9"/>
        <v/>
      </c>
    </row>
    <row r="61" spans="1:19" x14ac:dyDescent="0.25">
      <c r="A61" s="1" t="str">
        <f t="shared" si="10"/>
        <v/>
      </c>
      <c r="B61" s="1">
        <v>55</v>
      </c>
      <c r="C61" s="1" t="str">
        <f t="shared" si="5"/>
        <v/>
      </c>
      <c r="F61" s="23" t="str">
        <f t="shared" si="6"/>
        <v/>
      </c>
      <c r="G61" s="23" t="str">
        <f t="shared" si="7"/>
        <v/>
      </c>
      <c r="H61" s="23" t="str">
        <f t="shared" si="8"/>
        <v/>
      </c>
      <c r="I61" s="23" t="str">
        <f t="shared" si="3"/>
        <v/>
      </c>
      <c r="J61" s="23" t="str">
        <f t="shared" si="3"/>
        <v/>
      </c>
      <c r="K61" s="23" t="str">
        <f t="shared" si="3"/>
        <v/>
      </c>
      <c r="L61" s="23"/>
      <c r="M61" s="23" cm="1">
        <f t="array" aca="1" ref="M61" ca="1">IF($I61="",0,INDIRECT(ADDRESS($I61,COLUMN(AA$1))))+IF($J61="",0,INDIRECT(ADDRESS($J61,COLUMN(AA$1)))+AA$14)+IF($K61="",0,INDIRECT(ADDRESS($K61,COLUMN(AA$1))))</f>
        <v>0</v>
      </c>
      <c r="N61" s="23" cm="1">
        <f t="array" aca="1" ref="N61" ca="1">IF($I61="",0,INDIRECT(ADDRESS($I61,COLUMN(AB$1))))+IF($J61="",0,INDIRECT(ADDRESS($J61,COLUMN(AB$1)))+AB$14)+IF($K61="",0,INDIRECT(ADDRESS($K61,COLUMN(AB$1))))</f>
        <v>0</v>
      </c>
      <c r="O61" s="23" cm="1">
        <f t="array" aca="1" ref="O61" ca="1">IF($I61="",0,INDIRECT(ADDRESS($I61,COLUMN(AC$1))))+IF($J61="",0,INDIRECT(ADDRESS($J61,COLUMN(AC$1)))+AC$14)+IF($K61="",0,INDIRECT(ADDRESS($K61,COLUMN(AC$1))))</f>
        <v>0</v>
      </c>
      <c r="P61" s="23" cm="1">
        <f t="array" aca="1" ref="P61" ca="1">IF($I61="",0,INDIRECT(ADDRESS($I61,COLUMN(AD$1))))+IF($J61="",0,INDIRECT(ADDRESS($J61,COLUMN(AD$1)))+AD$14)+IF($K61="",0,INDIRECT(ADDRESS($K61,COLUMN(AD$1))))</f>
        <v>0</v>
      </c>
      <c r="Q61" s="23" cm="1">
        <f t="array" aca="1" ref="Q61" ca="1">IF($I61="",0,INDIRECT(ADDRESS($I61,COLUMN(AE$1))))+IF($J61="",0,INDIRECT(ADDRESS($J61,COLUMN(AE$1)))+AE$14)+IF($K61="",0,INDIRECT(ADDRESS($K61,COLUMN(AE$1))))</f>
        <v>0</v>
      </c>
      <c r="R61" s="23" cm="1">
        <f t="array" aca="1" ref="R61" ca="1">IF($I61="",0,INDIRECT(ADDRESS($I61,COLUMN(AF$1))))+IF($J61="",0,INDIRECT(ADDRESS($J61,COLUMN(AF$1)))+AF$14)+IF($K61="",0,INDIRECT(ADDRESS($K61,COLUMN(AF$1))))</f>
        <v>0</v>
      </c>
      <c r="S61" s="1" t="str">
        <f t="shared" si="9"/>
        <v/>
      </c>
    </row>
    <row r="62" spans="1:19" x14ac:dyDescent="0.25">
      <c r="A62" s="1" t="str">
        <f t="shared" si="10"/>
        <v/>
      </c>
      <c r="B62" s="31">
        <v>56</v>
      </c>
      <c r="C62" s="1" t="str">
        <f t="shared" si="5"/>
        <v/>
      </c>
      <c r="F62" s="23" t="str">
        <f t="shared" si="6"/>
        <v/>
      </c>
      <c r="G62" s="23" t="str">
        <f t="shared" si="7"/>
        <v/>
      </c>
      <c r="H62" s="23" t="str">
        <f t="shared" si="8"/>
        <v/>
      </c>
      <c r="I62" s="23" t="str">
        <f t="shared" si="3"/>
        <v/>
      </c>
      <c r="J62" s="23" t="str">
        <f t="shared" si="3"/>
        <v/>
      </c>
      <c r="K62" s="23" t="str">
        <f t="shared" si="3"/>
        <v/>
      </c>
      <c r="L62" s="23"/>
      <c r="M62" s="23" cm="1">
        <f t="array" aca="1" ref="M62" ca="1">IF($I62="",0,INDIRECT(ADDRESS($I62,COLUMN(AA$1))))+IF($J62="",0,INDIRECT(ADDRESS($J62,COLUMN(AA$1)))+AA$14)+IF($K62="",0,INDIRECT(ADDRESS($K62,COLUMN(AA$1))))</f>
        <v>0</v>
      </c>
      <c r="N62" s="23" cm="1">
        <f t="array" aca="1" ref="N62" ca="1">IF($I62="",0,INDIRECT(ADDRESS($I62,COLUMN(AB$1))))+IF($J62="",0,INDIRECT(ADDRESS($J62,COLUMN(AB$1)))+AB$14)+IF($K62="",0,INDIRECT(ADDRESS($K62,COLUMN(AB$1))))</f>
        <v>0</v>
      </c>
      <c r="O62" s="23" cm="1">
        <f t="array" aca="1" ref="O62" ca="1">IF($I62="",0,INDIRECT(ADDRESS($I62,COLUMN(AC$1))))+IF($J62="",0,INDIRECT(ADDRESS($J62,COLUMN(AC$1)))+AC$14)+IF($K62="",0,INDIRECT(ADDRESS($K62,COLUMN(AC$1))))</f>
        <v>0</v>
      </c>
      <c r="P62" s="23" cm="1">
        <f t="array" aca="1" ref="P62" ca="1">IF($I62="",0,INDIRECT(ADDRESS($I62,COLUMN(AD$1))))+IF($J62="",0,INDIRECT(ADDRESS($J62,COLUMN(AD$1)))+AD$14)+IF($K62="",0,INDIRECT(ADDRESS($K62,COLUMN(AD$1))))</f>
        <v>0</v>
      </c>
      <c r="Q62" s="23" cm="1">
        <f t="array" aca="1" ref="Q62" ca="1">IF($I62="",0,INDIRECT(ADDRESS($I62,COLUMN(AE$1))))+IF($J62="",0,INDIRECT(ADDRESS($J62,COLUMN(AE$1)))+AE$14)+IF($K62="",0,INDIRECT(ADDRESS($K62,COLUMN(AE$1))))</f>
        <v>0</v>
      </c>
      <c r="R62" s="23" cm="1">
        <f t="array" aca="1" ref="R62" ca="1">IF($I62="",0,INDIRECT(ADDRESS($I62,COLUMN(AF$1))))+IF($J62="",0,INDIRECT(ADDRESS($J62,COLUMN(AF$1)))+AF$14)+IF($K62="",0,INDIRECT(ADDRESS($K62,COLUMN(AF$1))))</f>
        <v>0</v>
      </c>
      <c r="S62" s="1" t="str">
        <f t="shared" si="9"/>
        <v/>
      </c>
    </row>
    <row r="63" spans="1:19" x14ac:dyDescent="0.25">
      <c r="A63" s="1" t="str">
        <f t="shared" si="10"/>
        <v/>
      </c>
      <c r="B63" s="1">
        <v>57</v>
      </c>
      <c r="C63" s="1" t="str">
        <f t="shared" si="5"/>
        <v/>
      </c>
      <c r="F63" s="23" t="str">
        <f t="shared" si="6"/>
        <v/>
      </c>
      <c r="G63" s="23" t="str">
        <f t="shared" si="7"/>
        <v/>
      </c>
      <c r="H63" s="23" t="str">
        <f t="shared" si="8"/>
        <v/>
      </c>
      <c r="I63" s="23" t="str">
        <f t="shared" si="3"/>
        <v/>
      </c>
      <c r="J63" s="23" t="str">
        <f t="shared" si="3"/>
        <v/>
      </c>
      <c r="K63" s="23" t="str">
        <f t="shared" si="3"/>
        <v/>
      </c>
      <c r="L63" s="23"/>
      <c r="M63" s="23" cm="1">
        <f t="array" aca="1" ref="M63" ca="1">IF($I63="",0,INDIRECT(ADDRESS($I63,COLUMN(AA$1))))+IF($J63="",0,INDIRECT(ADDRESS($J63,COLUMN(AA$1)))+AA$14)+IF($K63="",0,INDIRECT(ADDRESS($K63,COLUMN(AA$1))))</f>
        <v>0</v>
      </c>
      <c r="N63" s="23" cm="1">
        <f t="array" aca="1" ref="N63" ca="1">IF($I63="",0,INDIRECT(ADDRESS($I63,COLUMN(AB$1))))+IF($J63="",0,INDIRECT(ADDRESS($J63,COLUMN(AB$1)))+AB$14)+IF($K63="",0,INDIRECT(ADDRESS($K63,COLUMN(AB$1))))</f>
        <v>0</v>
      </c>
      <c r="O63" s="23" cm="1">
        <f t="array" aca="1" ref="O63" ca="1">IF($I63="",0,INDIRECT(ADDRESS($I63,COLUMN(AC$1))))+IF($J63="",0,INDIRECT(ADDRESS($J63,COLUMN(AC$1)))+AC$14)+IF($K63="",0,INDIRECT(ADDRESS($K63,COLUMN(AC$1))))</f>
        <v>0</v>
      </c>
      <c r="P63" s="23" cm="1">
        <f t="array" aca="1" ref="P63" ca="1">IF($I63="",0,INDIRECT(ADDRESS($I63,COLUMN(AD$1))))+IF($J63="",0,INDIRECT(ADDRESS($J63,COLUMN(AD$1)))+AD$14)+IF($K63="",0,INDIRECT(ADDRESS($K63,COLUMN(AD$1))))</f>
        <v>0</v>
      </c>
      <c r="Q63" s="23" cm="1">
        <f t="array" aca="1" ref="Q63" ca="1">IF($I63="",0,INDIRECT(ADDRESS($I63,COLUMN(AE$1))))+IF($J63="",0,INDIRECT(ADDRESS($J63,COLUMN(AE$1)))+AE$14)+IF($K63="",0,INDIRECT(ADDRESS($K63,COLUMN(AE$1))))</f>
        <v>0</v>
      </c>
      <c r="R63" s="23" cm="1">
        <f t="array" aca="1" ref="R63" ca="1">IF($I63="",0,INDIRECT(ADDRESS($I63,COLUMN(AF$1))))+IF($J63="",0,INDIRECT(ADDRESS($J63,COLUMN(AF$1)))+AF$14)+IF($K63="",0,INDIRECT(ADDRESS($K63,COLUMN(AF$1))))</f>
        <v>0</v>
      </c>
      <c r="S63" s="1" t="str">
        <f t="shared" si="9"/>
        <v/>
      </c>
    </row>
    <row r="64" spans="1:19" x14ac:dyDescent="0.25">
      <c r="A64" s="1" t="str">
        <f t="shared" si="10"/>
        <v/>
      </c>
      <c r="B64" s="31">
        <v>58</v>
      </c>
      <c r="C64" s="1" t="str">
        <f t="shared" si="5"/>
        <v/>
      </c>
      <c r="F64" s="23" t="str">
        <f t="shared" si="6"/>
        <v/>
      </c>
      <c r="G64" s="23" t="str">
        <f t="shared" si="7"/>
        <v/>
      </c>
      <c r="H64" s="23" t="str">
        <f t="shared" si="8"/>
        <v/>
      </c>
      <c r="I64" s="23" t="str">
        <f t="shared" si="3"/>
        <v/>
      </c>
      <c r="J64" s="23" t="str">
        <f t="shared" si="3"/>
        <v/>
      </c>
      <c r="K64" s="23" t="str">
        <f t="shared" si="3"/>
        <v/>
      </c>
      <c r="L64" s="23"/>
      <c r="M64" s="23" cm="1">
        <f t="array" aca="1" ref="M64" ca="1">IF($I64="",0,INDIRECT(ADDRESS($I64,COLUMN(AA$1))))+IF($J64="",0,INDIRECT(ADDRESS($J64,COLUMN(AA$1)))+AA$14)+IF($K64="",0,INDIRECT(ADDRESS($K64,COLUMN(AA$1))))</f>
        <v>0</v>
      </c>
      <c r="N64" s="23" cm="1">
        <f t="array" aca="1" ref="N64" ca="1">IF($I64="",0,INDIRECT(ADDRESS($I64,COLUMN(AB$1))))+IF($J64="",0,INDIRECT(ADDRESS($J64,COLUMN(AB$1)))+AB$14)+IF($K64="",0,INDIRECT(ADDRESS($K64,COLUMN(AB$1))))</f>
        <v>0</v>
      </c>
      <c r="O64" s="23" cm="1">
        <f t="array" aca="1" ref="O64" ca="1">IF($I64="",0,INDIRECT(ADDRESS($I64,COLUMN(AC$1))))+IF($J64="",0,INDIRECT(ADDRESS($J64,COLUMN(AC$1)))+AC$14)+IF($K64="",0,INDIRECT(ADDRESS($K64,COLUMN(AC$1))))</f>
        <v>0</v>
      </c>
      <c r="P64" s="23" cm="1">
        <f t="array" aca="1" ref="P64" ca="1">IF($I64="",0,INDIRECT(ADDRESS($I64,COLUMN(AD$1))))+IF($J64="",0,INDIRECT(ADDRESS($J64,COLUMN(AD$1)))+AD$14)+IF($K64="",0,INDIRECT(ADDRESS($K64,COLUMN(AD$1))))</f>
        <v>0</v>
      </c>
      <c r="Q64" s="23" cm="1">
        <f t="array" aca="1" ref="Q64" ca="1">IF($I64="",0,INDIRECT(ADDRESS($I64,COLUMN(AE$1))))+IF($J64="",0,INDIRECT(ADDRESS($J64,COLUMN(AE$1)))+AE$14)+IF($K64="",0,INDIRECT(ADDRESS($K64,COLUMN(AE$1))))</f>
        <v>0</v>
      </c>
      <c r="R64" s="23" cm="1">
        <f t="array" aca="1" ref="R64" ca="1">IF($I64="",0,INDIRECT(ADDRESS($I64,COLUMN(AF$1))))+IF($J64="",0,INDIRECT(ADDRESS($J64,COLUMN(AF$1)))+AF$14)+IF($K64="",0,INDIRECT(ADDRESS($K64,COLUMN(AF$1))))</f>
        <v>0</v>
      </c>
      <c r="S64" s="1" t="str">
        <f t="shared" si="9"/>
        <v/>
      </c>
    </row>
    <row r="65" spans="1:19" x14ac:dyDescent="0.25">
      <c r="A65" s="1" t="str">
        <f t="shared" si="10"/>
        <v/>
      </c>
      <c r="B65" s="1">
        <v>59</v>
      </c>
      <c r="C65" s="1" t="str">
        <f t="shared" si="5"/>
        <v/>
      </c>
      <c r="F65" s="23" t="str">
        <f t="shared" si="6"/>
        <v/>
      </c>
      <c r="G65" s="23" t="str">
        <f t="shared" si="7"/>
        <v/>
      </c>
      <c r="H65" s="23" t="str">
        <f t="shared" si="8"/>
        <v/>
      </c>
      <c r="I65" s="23" t="str">
        <f t="shared" si="3"/>
        <v/>
      </c>
      <c r="J65" s="23" t="str">
        <f t="shared" si="3"/>
        <v/>
      </c>
      <c r="K65" s="23" t="str">
        <f t="shared" si="3"/>
        <v/>
      </c>
      <c r="L65" s="23"/>
      <c r="M65" s="23" cm="1">
        <f t="array" aca="1" ref="M65" ca="1">IF($I65="",0,INDIRECT(ADDRESS($I65,COLUMN(AA$1))))+IF($J65="",0,INDIRECT(ADDRESS($J65,COLUMN(AA$1)))+AA$14)+IF($K65="",0,INDIRECT(ADDRESS($K65,COLUMN(AA$1))))</f>
        <v>0</v>
      </c>
      <c r="N65" s="23" cm="1">
        <f t="array" aca="1" ref="N65" ca="1">IF($I65="",0,INDIRECT(ADDRESS($I65,COLUMN(AB$1))))+IF($J65="",0,INDIRECT(ADDRESS($J65,COLUMN(AB$1)))+AB$14)+IF($K65="",0,INDIRECT(ADDRESS($K65,COLUMN(AB$1))))</f>
        <v>0</v>
      </c>
      <c r="O65" s="23" cm="1">
        <f t="array" aca="1" ref="O65" ca="1">IF($I65="",0,INDIRECT(ADDRESS($I65,COLUMN(AC$1))))+IF($J65="",0,INDIRECT(ADDRESS($J65,COLUMN(AC$1)))+AC$14)+IF($K65="",0,INDIRECT(ADDRESS($K65,COLUMN(AC$1))))</f>
        <v>0</v>
      </c>
      <c r="P65" s="23" cm="1">
        <f t="array" aca="1" ref="P65" ca="1">IF($I65="",0,INDIRECT(ADDRESS($I65,COLUMN(AD$1))))+IF($J65="",0,INDIRECT(ADDRESS($J65,COLUMN(AD$1)))+AD$14)+IF($K65="",0,INDIRECT(ADDRESS($K65,COLUMN(AD$1))))</f>
        <v>0</v>
      </c>
      <c r="Q65" s="23" cm="1">
        <f t="array" aca="1" ref="Q65" ca="1">IF($I65="",0,INDIRECT(ADDRESS($I65,COLUMN(AE$1))))+IF($J65="",0,INDIRECT(ADDRESS($J65,COLUMN(AE$1)))+AE$14)+IF($K65="",0,INDIRECT(ADDRESS($K65,COLUMN(AE$1))))</f>
        <v>0</v>
      </c>
      <c r="R65" s="23" cm="1">
        <f t="array" aca="1" ref="R65" ca="1">IF($I65="",0,INDIRECT(ADDRESS($I65,COLUMN(AF$1))))+IF($J65="",0,INDIRECT(ADDRESS($J65,COLUMN(AF$1)))+AF$14)+IF($K65="",0,INDIRECT(ADDRESS($K65,COLUMN(AF$1))))</f>
        <v>0</v>
      </c>
      <c r="S65" s="1" t="str">
        <f t="shared" si="9"/>
        <v/>
      </c>
    </row>
    <row r="66" spans="1:19" x14ac:dyDescent="0.25">
      <c r="A66" s="1" t="str">
        <f t="shared" si="10"/>
        <v/>
      </c>
      <c r="B66" s="31">
        <v>60</v>
      </c>
      <c r="C66" s="1" t="str">
        <f t="shared" si="5"/>
        <v/>
      </c>
      <c r="F66" s="23" t="str">
        <f t="shared" si="6"/>
        <v/>
      </c>
      <c r="G66" s="23" t="str">
        <f t="shared" si="7"/>
        <v/>
      </c>
      <c r="H66" s="23" t="str">
        <f t="shared" si="8"/>
        <v/>
      </c>
      <c r="I66" s="23" t="str">
        <f t="shared" si="3"/>
        <v/>
      </c>
      <c r="J66" s="23" t="str">
        <f t="shared" si="3"/>
        <v/>
      </c>
      <c r="K66" s="23" t="str">
        <f t="shared" si="3"/>
        <v/>
      </c>
      <c r="L66" s="23"/>
      <c r="M66" s="23" cm="1">
        <f t="array" aca="1" ref="M66" ca="1">IF($I66="",0,INDIRECT(ADDRESS($I66,COLUMN(AA$1))))+IF($J66="",0,INDIRECT(ADDRESS($J66,COLUMN(AA$1)))+AA$14)+IF($K66="",0,INDIRECT(ADDRESS($K66,COLUMN(AA$1))))</f>
        <v>0</v>
      </c>
      <c r="N66" s="23" cm="1">
        <f t="array" aca="1" ref="N66" ca="1">IF($I66="",0,INDIRECT(ADDRESS($I66,COLUMN(AB$1))))+IF($J66="",0,INDIRECT(ADDRESS($J66,COLUMN(AB$1)))+AB$14)+IF($K66="",0,INDIRECT(ADDRESS($K66,COLUMN(AB$1))))</f>
        <v>0</v>
      </c>
      <c r="O66" s="23" cm="1">
        <f t="array" aca="1" ref="O66" ca="1">IF($I66="",0,INDIRECT(ADDRESS($I66,COLUMN(AC$1))))+IF($J66="",0,INDIRECT(ADDRESS($J66,COLUMN(AC$1)))+AC$14)+IF($K66="",0,INDIRECT(ADDRESS($K66,COLUMN(AC$1))))</f>
        <v>0</v>
      </c>
      <c r="P66" s="23" cm="1">
        <f t="array" aca="1" ref="P66" ca="1">IF($I66="",0,INDIRECT(ADDRESS($I66,COLUMN(AD$1))))+IF($J66="",0,INDIRECT(ADDRESS($J66,COLUMN(AD$1)))+AD$14)+IF($K66="",0,INDIRECT(ADDRESS($K66,COLUMN(AD$1))))</f>
        <v>0</v>
      </c>
      <c r="Q66" s="23" cm="1">
        <f t="array" aca="1" ref="Q66" ca="1">IF($I66="",0,INDIRECT(ADDRESS($I66,COLUMN(AE$1))))+IF($J66="",0,INDIRECT(ADDRESS($J66,COLUMN(AE$1)))+AE$14)+IF($K66="",0,INDIRECT(ADDRESS($K66,COLUMN(AE$1))))</f>
        <v>0</v>
      </c>
      <c r="R66" s="23" cm="1">
        <f t="array" aca="1" ref="R66" ca="1">IF($I66="",0,INDIRECT(ADDRESS($I66,COLUMN(AF$1))))+IF($J66="",0,INDIRECT(ADDRESS($J66,COLUMN(AF$1)))+AF$14)+IF($K66="",0,INDIRECT(ADDRESS($K66,COLUMN(AF$1))))</f>
        <v>0</v>
      </c>
      <c r="S66" s="1" t="str">
        <f t="shared" si="9"/>
        <v/>
      </c>
    </row>
    <row r="67" spans="1:19" x14ac:dyDescent="0.25">
      <c r="A67" s="1" t="str">
        <f t="shared" si="10"/>
        <v/>
      </c>
      <c r="B67" s="1">
        <v>61</v>
      </c>
      <c r="C67" s="1" t="str">
        <f t="shared" si="5"/>
        <v/>
      </c>
      <c r="F67" s="23" t="str">
        <f t="shared" si="6"/>
        <v/>
      </c>
      <c r="G67" s="23" t="str">
        <f t="shared" si="7"/>
        <v/>
      </c>
      <c r="H67" s="23" t="str">
        <f t="shared" si="8"/>
        <v/>
      </c>
      <c r="I67" s="23" t="str">
        <f t="shared" si="3"/>
        <v/>
      </c>
      <c r="J67" s="23" t="str">
        <f t="shared" si="3"/>
        <v/>
      </c>
      <c r="K67" s="23" t="str">
        <f t="shared" si="3"/>
        <v/>
      </c>
      <c r="L67" s="23"/>
      <c r="M67" s="23" cm="1">
        <f t="array" aca="1" ref="M67" ca="1">IF($I67="",0,INDIRECT(ADDRESS($I67,COLUMN(AA$1))))+IF($J67="",0,INDIRECT(ADDRESS($J67,COLUMN(AA$1)))+AA$14)+IF($K67="",0,INDIRECT(ADDRESS($K67,COLUMN(AA$1))))</f>
        <v>0</v>
      </c>
      <c r="N67" s="23" cm="1">
        <f t="array" aca="1" ref="N67" ca="1">IF($I67="",0,INDIRECT(ADDRESS($I67,COLUMN(AB$1))))+IF($J67="",0,INDIRECT(ADDRESS($J67,COLUMN(AB$1)))+AB$14)+IF($K67="",0,INDIRECT(ADDRESS($K67,COLUMN(AB$1))))</f>
        <v>0</v>
      </c>
      <c r="O67" s="23" cm="1">
        <f t="array" aca="1" ref="O67" ca="1">IF($I67="",0,INDIRECT(ADDRESS($I67,COLUMN(AC$1))))+IF($J67="",0,INDIRECT(ADDRESS($J67,COLUMN(AC$1)))+AC$14)+IF($K67="",0,INDIRECT(ADDRESS($K67,COLUMN(AC$1))))</f>
        <v>0</v>
      </c>
      <c r="P67" s="23" cm="1">
        <f t="array" aca="1" ref="P67" ca="1">IF($I67="",0,INDIRECT(ADDRESS($I67,COLUMN(AD$1))))+IF($J67="",0,INDIRECT(ADDRESS($J67,COLUMN(AD$1)))+AD$14)+IF($K67="",0,INDIRECT(ADDRESS($K67,COLUMN(AD$1))))</f>
        <v>0</v>
      </c>
      <c r="Q67" s="23" cm="1">
        <f t="array" aca="1" ref="Q67" ca="1">IF($I67="",0,INDIRECT(ADDRESS($I67,COLUMN(AE$1))))+IF($J67="",0,INDIRECT(ADDRESS($J67,COLUMN(AE$1)))+AE$14)+IF($K67="",0,INDIRECT(ADDRESS($K67,COLUMN(AE$1))))</f>
        <v>0</v>
      </c>
      <c r="R67" s="23" cm="1">
        <f t="array" aca="1" ref="R67" ca="1">IF($I67="",0,INDIRECT(ADDRESS($I67,COLUMN(AF$1))))+IF($J67="",0,INDIRECT(ADDRESS($J67,COLUMN(AF$1)))+AF$14)+IF($K67="",0,INDIRECT(ADDRESS($K67,COLUMN(AF$1))))</f>
        <v>0</v>
      </c>
      <c r="S67" s="1" t="str">
        <f t="shared" si="9"/>
        <v/>
      </c>
    </row>
    <row r="68" spans="1:19" x14ac:dyDescent="0.25">
      <c r="A68" s="1" t="str">
        <f t="shared" si="10"/>
        <v/>
      </c>
      <c r="B68" s="31">
        <v>62</v>
      </c>
      <c r="C68" s="1" t="str">
        <f t="shared" si="5"/>
        <v/>
      </c>
      <c r="F68" s="23" t="str">
        <f t="shared" si="6"/>
        <v/>
      </c>
      <c r="G68" s="23" t="str">
        <f t="shared" si="7"/>
        <v/>
      </c>
      <c r="H68" s="23" t="str">
        <f t="shared" si="8"/>
        <v/>
      </c>
      <c r="I68" s="23" t="str">
        <f t="shared" si="3"/>
        <v/>
      </c>
      <c r="J68" s="23" t="str">
        <f t="shared" si="3"/>
        <v/>
      </c>
      <c r="K68" s="23" t="str">
        <f t="shared" si="3"/>
        <v/>
      </c>
      <c r="L68" s="23"/>
      <c r="M68" s="23" cm="1">
        <f t="array" aca="1" ref="M68" ca="1">IF($I68="",0,INDIRECT(ADDRESS($I68,COLUMN(AA$1))))+IF($J68="",0,INDIRECT(ADDRESS($J68,COLUMN(AA$1)))+AA$14)+IF($K68="",0,INDIRECT(ADDRESS($K68,COLUMN(AA$1))))</f>
        <v>0</v>
      </c>
      <c r="N68" s="23" cm="1">
        <f t="array" aca="1" ref="N68" ca="1">IF($I68="",0,INDIRECT(ADDRESS($I68,COLUMN(AB$1))))+IF($J68="",0,INDIRECT(ADDRESS($J68,COLUMN(AB$1)))+AB$14)+IF($K68="",0,INDIRECT(ADDRESS($K68,COLUMN(AB$1))))</f>
        <v>0</v>
      </c>
      <c r="O68" s="23" cm="1">
        <f t="array" aca="1" ref="O68" ca="1">IF($I68="",0,INDIRECT(ADDRESS($I68,COLUMN(AC$1))))+IF($J68="",0,INDIRECT(ADDRESS($J68,COLUMN(AC$1)))+AC$14)+IF($K68="",0,INDIRECT(ADDRESS($K68,COLUMN(AC$1))))</f>
        <v>0</v>
      </c>
      <c r="P68" s="23" cm="1">
        <f t="array" aca="1" ref="P68" ca="1">IF($I68="",0,INDIRECT(ADDRESS($I68,COLUMN(AD$1))))+IF($J68="",0,INDIRECT(ADDRESS($J68,COLUMN(AD$1)))+AD$14)+IF($K68="",0,INDIRECT(ADDRESS($K68,COLUMN(AD$1))))</f>
        <v>0</v>
      </c>
      <c r="Q68" s="23" cm="1">
        <f t="array" aca="1" ref="Q68" ca="1">IF($I68="",0,INDIRECT(ADDRESS($I68,COLUMN(AE$1))))+IF($J68="",0,INDIRECT(ADDRESS($J68,COLUMN(AE$1)))+AE$14)+IF($K68="",0,INDIRECT(ADDRESS($K68,COLUMN(AE$1))))</f>
        <v>0</v>
      </c>
      <c r="R68" s="23" cm="1">
        <f t="array" aca="1" ref="R68" ca="1">IF($I68="",0,INDIRECT(ADDRESS($I68,COLUMN(AF$1))))+IF($J68="",0,INDIRECT(ADDRESS($J68,COLUMN(AF$1)))+AF$14)+IF($K68="",0,INDIRECT(ADDRESS($K68,COLUMN(AF$1))))</f>
        <v>0</v>
      </c>
      <c r="S68" s="1" t="str">
        <f t="shared" si="9"/>
        <v/>
      </c>
    </row>
    <row r="69" spans="1:19" x14ac:dyDescent="0.25">
      <c r="A69" s="1" t="str">
        <f t="shared" si="10"/>
        <v/>
      </c>
      <c r="B69" s="1">
        <v>63</v>
      </c>
      <c r="C69" s="1" t="str">
        <f t="shared" si="5"/>
        <v/>
      </c>
      <c r="F69" s="23" t="str">
        <f t="shared" si="6"/>
        <v/>
      </c>
      <c r="G69" s="23" t="str">
        <f t="shared" si="7"/>
        <v/>
      </c>
      <c r="H69" s="23" t="str">
        <f t="shared" si="8"/>
        <v/>
      </c>
      <c r="I69" s="23" t="str">
        <f t="shared" si="3"/>
        <v/>
      </c>
      <c r="J69" s="23" t="str">
        <f t="shared" si="3"/>
        <v/>
      </c>
      <c r="K69" s="23" t="str">
        <f t="shared" si="3"/>
        <v/>
      </c>
      <c r="L69" s="23"/>
      <c r="M69" s="23" cm="1">
        <f t="array" aca="1" ref="M69" ca="1">IF($I69="",0,INDIRECT(ADDRESS($I69,COLUMN(AA$1))))+IF($J69="",0,INDIRECT(ADDRESS($J69,COLUMN(AA$1)))+AA$14)+IF($K69="",0,INDIRECT(ADDRESS($K69,COLUMN(AA$1))))</f>
        <v>0</v>
      </c>
      <c r="N69" s="23" cm="1">
        <f t="array" aca="1" ref="N69" ca="1">IF($I69="",0,INDIRECT(ADDRESS($I69,COLUMN(AB$1))))+IF($J69="",0,INDIRECT(ADDRESS($J69,COLUMN(AB$1)))+AB$14)+IF($K69="",0,INDIRECT(ADDRESS($K69,COLUMN(AB$1))))</f>
        <v>0</v>
      </c>
      <c r="O69" s="23" cm="1">
        <f t="array" aca="1" ref="O69" ca="1">IF($I69="",0,INDIRECT(ADDRESS($I69,COLUMN(AC$1))))+IF($J69="",0,INDIRECT(ADDRESS($J69,COLUMN(AC$1)))+AC$14)+IF($K69="",0,INDIRECT(ADDRESS($K69,COLUMN(AC$1))))</f>
        <v>0</v>
      </c>
      <c r="P69" s="23" cm="1">
        <f t="array" aca="1" ref="P69" ca="1">IF($I69="",0,INDIRECT(ADDRESS($I69,COLUMN(AD$1))))+IF($J69="",0,INDIRECT(ADDRESS($J69,COLUMN(AD$1)))+AD$14)+IF($K69="",0,INDIRECT(ADDRESS($K69,COLUMN(AD$1))))</f>
        <v>0</v>
      </c>
      <c r="Q69" s="23" cm="1">
        <f t="array" aca="1" ref="Q69" ca="1">IF($I69="",0,INDIRECT(ADDRESS($I69,COLUMN(AE$1))))+IF($J69="",0,INDIRECT(ADDRESS($J69,COLUMN(AE$1)))+AE$14)+IF($K69="",0,INDIRECT(ADDRESS($K69,COLUMN(AE$1))))</f>
        <v>0</v>
      </c>
      <c r="R69" s="23" cm="1">
        <f t="array" aca="1" ref="R69" ca="1">IF($I69="",0,INDIRECT(ADDRESS($I69,COLUMN(AF$1))))+IF($J69="",0,INDIRECT(ADDRESS($J69,COLUMN(AF$1)))+AF$14)+IF($K69="",0,INDIRECT(ADDRESS($K69,COLUMN(AF$1))))</f>
        <v>0</v>
      </c>
      <c r="S69" s="1" t="str">
        <f t="shared" si="9"/>
        <v/>
      </c>
    </row>
    <row r="70" spans="1:19" x14ac:dyDescent="0.25">
      <c r="A70" s="1" t="str">
        <f t="shared" si="10"/>
        <v/>
      </c>
      <c r="B70" s="31">
        <v>64</v>
      </c>
      <c r="C70" s="1" t="str">
        <f t="shared" si="5"/>
        <v/>
      </c>
      <c r="F70" s="23" t="str">
        <f t="shared" si="6"/>
        <v/>
      </c>
      <c r="G70" s="23" t="str">
        <f t="shared" si="7"/>
        <v/>
      </c>
      <c r="H70" s="23" t="str">
        <f t="shared" si="8"/>
        <v/>
      </c>
      <c r="I70" s="23" t="str">
        <f t="shared" si="3"/>
        <v/>
      </c>
      <c r="J70" s="23" t="str">
        <f t="shared" si="3"/>
        <v/>
      </c>
      <c r="K70" s="23" t="str">
        <f t="shared" si="3"/>
        <v/>
      </c>
      <c r="L70" s="23"/>
      <c r="M70" s="23" cm="1">
        <f t="array" aca="1" ref="M70" ca="1">IF($I70="",0,INDIRECT(ADDRESS($I70,COLUMN(AA$1))))+IF($J70="",0,INDIRECT(ADDRESS($J70,COLUMN(AA$1)))+AA$14)+IF($K70="",0,INDIRECT(ADDRESS($K70,COLUMN(AA$1))))</f>
        <v>0</v>
      </c>
      <c r="N70" s="23" cm="1">
        <f t="array" aca="1" ref="N70" ca="1">IF($I70="",0,INDIRECT(ADDRESS($I70,COLUMN(AB$1))))+IF($J70="",0,INDIRECT(ADDRESS($J70,COLUMN(AB$1)))+AB$14)+IF($K70="",0,INDIRECT(ADDRESS($K70,COLUMN(AB$1))))</f>
        <v>0</v>
      </c>
      <c r="O70" s="23" cm="1">
        <f t="array" aca="1" ref="O70" ca="1">IF($I70="",0,INDIRECT(ADDRESS($I70,COLUMN(AC$1))))+IF($J70="",0,INDIRECT(ADDRESS($J70,COLUMN(AC$1)))+AC$14)+IF($K70="",0,INDIRECT(ADDRESS($K70,COLUMN(AC$1))))</f>
        <v>0</v>
      </c>
      <c r="P70" s="23" cm="1">
        <f t="array" aca="1" ref="P70" ca="1">IF($I70="",0,INDIRECT(ADDRESS($I70,COLUMN(AD$1))))+IF($J70="",0,INDIRECT(ADDRESS($J70,COLUMN(AD$1)))+AD$14)+IF($K70="",0,INDIRECT(ADDRESS($K70,COLUMN(AD$1))))</f>
        <v>0</v>
      </c>
      <c r="Q70" s="23" cm="1">
        <f t="array" aca="1" ref="Q70" ca="1">IF($I70="",0,INDIRECT(ADDRESS($I70,COLUMN(AE$1))))+IF($J70="",0,INDIRECT(ADDRESS($J70,COLUMN(AE$1)))+AE$14)+IF($K70="",0,INDIRECT(ADDRESS($K70,COLUMN(AE$1))))</f>
        <v>0</v>
      </c>
      <c r="R70" s="23" cm="1">
        <f t="array" aca="1" ref="R70" ca="1">IF($I70="",0,INDIRECT(ADDRESS($I70,COLUMN(AF$1))))+IF($J70="",0,INDIRECT(ADDRESS($J70,COLUMN(AF$1)))+AF$14)+IF($K70="",0,INDIRECT(ADDRESS($K70,COLUMN(AF$1))))</f>
        <v>0</v>
      </c>
      <c r="S70" s="1" t="str">
        <f t="shared" si="9"/>
        <v/>
      </c>
    </row>
    <row r="71" spans="1:19" x14ac:dyDescent="0.25">
      <c r="A71" s="1" t="str">
        <f t="shared" si="10"/>
        <v/>
      </c>
      <c r="B71" s="1">
        <v>65</v>
      </c>
      <c r="C71" s="1" t="str">
        <f t="shared" si="5"/>
        <v/>
      </c>
      <c r="F71" s="23" t="str">
        <f t="shared" si="6"/>
        <v/>
      </c>
      <c r="G71" s="23" t="str">
        <f t="shared" si="7"/>
        <v/>
      </c>
      <c r="H71" s="23" t="str">
        <f t="shared" si="8"/>
        <v/>
      </c>
      <c r="I71" s="23" t="str">
        <f t="shared" ref="I71:K106" si="15">IF(F71="","",MATCH(F71,$X:$X,0))</f>
        <v/>
      </c>
      <c r="J71" s="23" t="str">
        <f t="shared" si="15"/>
        <v/>
      </c>
      <c r="K71" s="23" t="str">
        <f t="shared" si="15"/>
        <v/>
      </c>
      <c r="L71" s="23"/>
      <c r="M71" s="23" cm="1">
        <f t="array" aca="1" ref="M71" ca="1">IF($I71="",0,INDIRECT(ADDRESS($I71,COLUMN(AA$1))))+IF($J71="",0,INDIRECT(ADDRESS($J71,COLUMN(AA$1)))+AA$14)+IF($K71="",0,INDIRECT(ADDRESS($K71,COLUMN(AA$1))))</f>
        <v>0</v>
      </c>
      <c r="N71" s="23" cm="1">
        <f t="array" aca="1" ref="N71" ca="1">IF($I71="",0,INDIRECT(ADDRESS($I71,COLUMN(AB$1))))+IF($J71="",0,INDIRECT(ADDRESS($J71,COLUMN(AB$1)))+AB$14)+IF($K71="",0,INDIRECT(ADDRESS($K71,COLUMN(AB$1))))</f>
        <v>0</v>
      </c>
      <c r="O71" s="23" cm="1">
        <f t="array" aca="1" ref="O71" ca="1">IF($I71="",0,INDIRECT(ADDRESS($I71,COLUMN(AC$1))))+IF($J71="",0,INDIRECT(ADDRESS($J71,COLUMN(AC$1)))+AC$14)+IF($K71="",0,INDIRECT(ADDRESS($K71,COLUMN(AC$1))))</f>
        <v>0</v>
      </c>
      <c r="P71" s="23" cm="1">
        <f t="array" aca="1" ref="P71" ca="1">IF($I71="",0,INDIRECT(ADDRESS($I71,COLUMN(AD$1))))+IF($J71="",0,INDIRECT(ADDRESS($J71,COLUMN(AD$1)))+AD$14)+IF($K71="",0,INDIRECT(ADDRESS($K71,COLUMN(AD$1))))</f>
        <v>0</v>
      </c>
      <c r="Q71" s="23" cm="1">
        <f t="array" aca="1" ref="Q71" ca="1">IF($I71="",0,INDIRECT(ADDRESS($I71,COLUMN(AE$1))))+IF($J71="",0,INDIRECT(ADDRESS($J71,COLUMN(AE$1)))+AE$14)+IF($K71="",0,INDIRECT(ADDRESS($K71,COLUMN(AE$1))))</f>
        <v>0</v>
      </c>
      <c r="R71" s="23" cm="1">
        <f t="array" aca="1" ref="R71" ca="1">IF($I71="",0,INDIRECT(ADDRESS($I71,COLUMN(AF$1))))+IF($J71="",0,INDIRECT(ADDRESS($J71,COLUMN(AF$1)))+AF$14)+IF($K71="",0,INDIRECT(ADDRESS($K71,COLUMN(AF$1))))</f>
        <v>0</v>
      </c>
      <c r="S71" s="1" t="str">
        <f t="shared" si="9"/>
        <v/>
      </c>
    </row>
    <row r="72" spans="1:19" x14ac:dyDescent="0.25">
      <c r="A72" s="1" t="str">
        <f t="shared" si="10"/>
        <v/>
      </c>
      <c r="B72" s="31">
        <v>66</v>
      </c>
      <c r="C72" s="1" t="str">
        <f t="shared" ref="C72:C106" si="16">IF(B72&lt;=B$4,MID(A$7,(B72-1)*4+3,3),"")</f>
        <v/>
      </c>
      <c r="F72" s="23" t="str">
        <f t="shared" ref="F72:F106" si="17">IF(B72&lt;B$4,LEFT(C72,1),IF(B72=B$4,3,""))</f>
        <v/>
      </c>
      <c r="G72" s="23" t="str">
        <f t="shared" ref="G72:G106" si="18">IF(B72&lt;B$4,MID(C72,2,1),"")</f>
        <v/>
      </c>
      <c r="H72" s="23" t="str">
        <f t="shared" ref="H72:H106" si="19">IF(B72&lt;B$4,MID(C72,3,1),"")</f>
        <v/>
      </c>
      <c r="I72" s="23" t="str">
        <f t="shared" si="15"/>
        <v/>
      </c>
      <c r="J72" s="23" t="str">
        <f t="shared" si="15"/>
        <v/>
      </c>
      <c r="K72" s="23" t="str">
        <f t="shared" si="15"/>
        <v/>
      </c>
      <c r="L72" s="23"/>
      <c r="M72" s="23" cm="1">
        <f t="array" aca="1" ref="M72" ca="1">IF($I72="",0,INDIRECT(ADDRESS($I72,COLUMN(AA$1))))+IF($J72="",0,INDIRECT(ADDRESS($J72,COLUMN(AA$1)))+AA$14)+IF($K72="",0,INDIRECT(ADDRESS($K72,COLUMN(AA$1))))</f>
        <v>0</v>
      </c>
      <c r="N72" s="23" cm="1">
        <f t="array" aca="1" ref="N72" ca="1">IF($I72="",0,INDIRECT(ADDRESS($I72,COLUMN(AB$1))))+IF($J72="",0,INDIRECT(ADDRESS($J72,COLUMN(AB$1)))+AB$14)+IF($K72="",0,INDIRECT(ADDRESS($K72,COLUMN(AB$1))))</f>
        <v>0</v>
      </c>
      <c r="O72" s="23" cm="1">
        <f t="array" aca="1" ref="O72" ca="1">IF($I72="",0,INDIRECT(ADDRESS($I72,COLUMN(AC$1))))+IF($J72="",0,INDIRECT(ADDRESS($J72,COLUMN(AC$1)))+AC$14)+IF($K72="",0,INDIRECT(ADDRESS($K72,COLUMN(AC$1))))</f>
        <v>0</v>
      </c>
      <c r="P72" s="23" cm="1">
        <f t="array" aca="1" ref="P72" ca="1">IF($I72="",0,INDIRECT(ADDRESS($I72,COLUMN(AD$1))))+IF($J72="",0,INDIRECT(ADDRESS($J72,COLUMN(AD$1)))+AD$14)+IF($K72="",0,INDIRECT(ADDRESS($K72,COLUMN(AD$1))))</f>
        <v>0</v>
      </c>
      <c r="Q72" s="23" cm="1">
        <f t="array" aca="1" ref="Q72" ca="1">IF($I72="",0,INDIRECT(ADDRESS($I72,COLUMN(AE$1))))+IF($J72="",0,INDIRECT(ADDRESS($J72,COLUMN(AE$1)))+AE$14)+IF($K72="",0,INDIRECT(ADDRESS($K72,COLUMN(AE$1))))</f>
        <v>0</v>
      </c>
      <c r="R72" s="23" cm="1">
        <f t="array" aca="1" ref="R72" ca="1">IF($I72="",0,INDIRECT(ADDRESS($I72,COLUMN(AF$1))))+IF($J72="",0,INDIRECT(ADDRESS($J72,COLUMN(AF$1)))+AF$14)+IF($K72="",0,INDIRECT(ADDRESS($K72,COLUMN(AF$1))))</f>
        <v>0</v>
      </c>
      <c r="S72" s="1" t="str">
        <f t="shared" ref="S72:S106" si="20">CONCATENATE(F72,S73)</f>
        <v/>
      </c>
    </row>
    <row r="73" spans="1:19" x14ac:dyDescent="0.25">
      <c r="A73" s="1" t="str">
        <f t="shared" ref="A73:A91" si="21">IF(ROW()-40&gt;A$40,"",CONCATENATE(MID(A$5,ROW()-40,1),"rp-",A74))</f>
        <v/>
      </c>
      <c r="B73" s="1">
        <v>67</v>
      </c>
      <c r="C73" s="1" t="str">
        <f t="shared" si="16"/>
        <v/>
      </c>
      <c r="F73" s="23" t="str">
        <f t="shared" si="17"/>
        <v/>
      </c>
      <c r="G73" s="23" t="str">
        <f t="shared" si="18"/>
        <v/>
      </c>
      <c r="H73" s="23" t="str">
        <f t="shared" si="19"/>
        <v/>
      </c>
      <c r="I73" s="23" t="str">
        <f t="shared" si="15"/>
        <v/>
      </c>
      <c r="J73" s="23" t="str">
        <f t="shared" si="15"/>
        <v/>
      </c>
      <c r="K73" s="23" t="str">
        <f t="shared" si="15"/>
        <v/>
      </c>
      <c r="L73" s="23"/>
      <c r="M73" s="23" cm="1">
        <f t="array" aca="1" ref="M73" ca="1">IF($I73="",0,INDIRECT(ADDRESS($I73,COLUMN(AA$1))))+IF($J73="",0,INDIRECT(ADDRESS($J73,COLUMN(AA$1)))+AA$14)+IF($K73="",0,INDIRECT(ADDRESS($K73,COLUMN(AA$1))))</f>
        <v>0</v>
      </c>
      <c r="N73" s="23" cm="1">
        <f t="array" aca="1" ref="N73" ca="1">IF($I73="",0,INDIRECT(ADDRESS($I73,COLUMN(AB$1))))+IF($J73="",0,INDIRECT(ADDRESS($J73,COLUMN(AB$1)))+AB$14)+IF($K73="",0,INDIRECT(ADDRESS($K73,COLUMN(AB$1))))</f>
        <v>0</v>
      </c>
      <c r="O73" s="23" cm="1">
        <f t="array" aca="1" ref="O73" ca="1">IF($I73="",0,INDIRECT(ADDRESS($I73,COLUMN(AC$1))))+IF($J73="",0,INDIRECT(ADDRESS($J73,COLUMN(AC$1)))+AC$14)+IF($K73="",0,INDIRECT(ADDRESS($K73,COLUMN(AC$1))))</f>
        <v>0</v>
      </c>
      <c r="P73" s="23" cm="1">
        <f t="array" aca="1" ref="P73" ca="1">IF($I73="",0,INDIRECT(ADDRESS($I73,COLUMN(AD$1))))+IF($J73="",0,INDIRECT(ADDRESS($J73,COLUMN(AD$1)))+AD$14)+IF($K73="",0,INDIRECT(ADDRESS($K73,COLUMN(AD$1))))</f>
        <v>0</v>
      </c>
      <c r="Q73" s="23" cm="1">
        <f t="array" aca="1" ref="Q73" ca="1">IF($I73="",0,INDIRECT(ADDRESS($I73,COLUMN(AE$1))))+IF($J73="",0,INDIRECT(ADDRESS($J73,COLUMN(AE$1)))+AE$14)+IF($K73="",0,INDIRECT(ADDRESS($K73,COLUMN(AE$1))))</f>
        <v>0</v>
      </c>
      <c r="R73" s="23" cm="1">
        <f t="array" aca="1" ref="R73" ca="1">IF($I73="",0,INDIRECT(ADDRESS($I73,COLUMN(AF$1))))+IF($J73="",0,INDIRECT(ADDRESS($J73,COLUMN(AF$1)))+AF$14)+IF($K73="",0,INDIRECT(ADDRESS($K73,COLUMN(AF$1))))</f>
        <v>0</v>
      </c>
      <c r="S73" s="1" t="str">
        <f t="shared" si="20"/>
        <v/>
      </c>
    </row>
    <row r="74" spans="1:19" x14ac:dyDescent="0.25">
      <c r="A74" s="1" t="str">
        <f t="shared" si="21"/>
        <v/>
      </c>
      <c r="B74" s="31">
        <v>68</v>
      </c>
      <c r="C74" s="1" t="str">
        <f t="shared" si="16"/>
        <v/>
      </c>
      <c r="F74" s="23" t="str">
        <f t="shared" si="17"/>
        <v/>
      </c>
      <c r="G74" s="23" t="str">
        <f t="shared" si="18"/>
        <v/>
      </c>
      <c r="H74" s="23" t="str">
        <f t="shared" si="19"/>
        <v/>
      </c>
      <c r="I74" s="23" t="str">
        <f t="shared" si="15"/>
        <v/>
      </c>
      <c r="J74" s="23" t="str">
        <f t="shared" si="15"/>
        <v/>
      </c>
      <c r="K74" s="23" t="str">
        <f t="shared" si="15"/>
        <v/>
      </c>
      <c r="L74" s="23"/>
      <c r="M74" s="23" cm="1">
        <f t="array" aca="1" ref="M74" ca="1">IF($I74="",0,INDIRECT(ADDRESS($I74,COLUMN(AA$1))))+IF($J74="",0,INDIRECT(ADDRESS($J74,COLUMN(AA$1)))+AA$14)+IF($K74="",0,INDIRECT(ADDRESS($K74,COLUMN(AA$1))))</f>
        <v>0</v>
      </c>
      <c r="N74" s="23" cm="1">
        <f t="array" aca="1" ref="N74" ca="1">IF($I74="",0,INDIRECT(ADDRESS($I74,COLUMN(AB$1))))+IF($J74="",0,INDIRECT(ADDRESS($J74,COLUMN(AB$1)))+AB$14)+IF($K74="",0,INDIRECT(ADDRESS($K74,COLUMN(AB$1))))</f>
        <v>0</v>
      </c>
      <c r="O74" s="23" cm="1">
        <f t="array" aca="1" ref="O74" ca="1">IF($I74="",0,INDIRECT(ADDRESS($I74,COLUMN(AC$1))))+IF($J74="",0,INDIRECT(ADDRESS($J74,COLUMN(AC$1)))+AC$14)+IF($K74="",0,INDIRECT(ADDRESS($K74,COLUMN(AC$1))))</f>
        <v>0</v>
      </c>
      <c r="P74" s="23" cm="1">
        <f t="array" aca="1" ref="P74" ca="1">IF($I74="",0,INDIRECT(ADDRESS($I74,COLUMN(AD$1))))+IF($J74="",0,INDIRECT(ADDRESS($J74,COLUMN(AD$1)))+AD$14)+IF($K74="",0,INDIRECT(ADDRESS($K74,COLUMN(AD$1))))</f>
        <v>0</v>
      </c>
      <c r="Q74" s="23" cm="1">
        <f t="array" aca="1" ref="Q74" ca="1">IF($I74="",0,INDIRECT(ADDRESS($I74,COLUMN(AE$1))))+IF($J74="",0,INDIRECT(ADDRESS($J74,COLUMN(AE$1)))+AE$14)+IF($K74="",0,INDIRECT(ADDRESS($K74,COLUMN(AE$1))))</f>
        <v>0</v>
      </c>
      <c r="R74" s="23" cm="1">
        <f t="array" aca="1" ref="R74" ca="1">IF($I74="",0,INDIRECT(ADDRESS($I74,COLUMN(AF$1))))+IF($J74="",0,INDIRECT(ADDRESS($J74,COLUMN(AF$1)))+AF$14)+IF($K74="",0,INDIRECT(ADDRESS($K74,COLUMN(AF$1))))</f>
        <v>0</v>
      </c>
      <c r="S74" s="1" t="str">
        <f t="shared" si="20"/>
        <v/>
      </c>
    </row>
    <row r="75" spans="1:19" x14ac:dyDescent="0.25">
      <c r="A75" s="1" t="str">
        <f t="shared" si="21"/>
        <v/>
      </c>
      <c r="B75" s="1">
        <v>69</v>
      </c>
      <c r="C75" s="1" t="str">
        <f t="shared" si="16"/>
        <v/>
      </c>
      <c r="F75" s="23" t="str">
        <f t="shared" si="17"/>
        <v/>
      </c>
      <c r="G75" s="23" t="str">
        <f t="shared" si="18"/>
        <v/>
      </c>
      <c r="H75" s="23" t="str">
        <f t="shared" si="19"/>
        <v/>
      </c>
      <c r="I75" s="23" t="str">
        <f t="shared" si="15"/>
        <v/>
      </c>
      <c r="J75" s="23" t="str">
        <f t="shared" si="15"/>
        <v/>
      </c>
      <c r="K75" s="23" t="str">
        <f t="shared" si="15"/>
        <v/>
      </c>
      <c r="L75" s="23"/>
      <c r="M75" s="23" cm="1">
        <f t="array" aca="1" ref="M75" ca="1">IF($I75="",0,INDIRECT(ADDRESS($I75,COLUMN(AA$1))))+IF($J75="",0,INDIRECT(ADDRESS($J75,COLUMN(AA$1)))+AA$14)+IF($K75="",0,INDIRECT(ADDRESS($K75,COLUMN(AA$1))))</f>
        <v>0</v>
      </c>
      <c r="N75" s="23" cm="1">
        <f t="array" aca="1" ref="N75" ca="1">IF($I75="",0,INDIRECT(ADDRESS($I75,COLUMN(AB$1))))+IF($J75="",0,INDIRECT(ADDRESS($J75,COLUMN(AB$1)))+AB$14)+IF($K75="",0,INDIRECT(ADDRESS($K75,COLUMN(AB$1))))</f>
        <v>0</v>
      </c>
      <c r="O75" s="23" cm="1">
        <f t="array" aca="1" ref="O75" ca="1">IF($I75="",0,INDIRECT(ADDRESS($I75,COLUMN(AC$1))))+IF($J75="",0,INDIRECT(ADDRESS($J75,COLUMN(AC$1)))+AC$14)+IF($K75="",0,INDIRECT(ADDRESS($K75,COLUMN(AC$1))))</f>
        <v>0</v>
      </c>
      <c r="P75" s="23" cm="1">
        <f t="array" aca="1" ref="P75" ca="1">IF($I75="",0,INDIRECT(ADDRESS($I75,COLUMN(AD$1))))+IF($J75="",0,INDIRECT(ADDRESS($J75,COLUMN(AD$1)))+AD$14)+IF($K75="",0,INDIRECT(ADDRESS($K75,COLUMN(AD$1))))</f>
        <v>0</v>
      </c>
      <c r="Q75" s="23" cm="1">
        <f t="array" aca="1" ref="Q75" ca="1">IF($I75="",0,INDIRECT(ADDRESS($I75,COLUMN(AE$1))))+IF($J75="",0,INDIRECT(ADDRESS($J75,COLUMN(AE$1)))+AE$14)+IF($K75="",0,INDIRECT(ADDRESS($K75,COLUMN(AE$1))))</f>
        <v>0</v>
      </c>
      <c r="R75" s="23" cm="1">
        <f t="array" aca="1" ref="R75" ca="1">IF($I75="",0,INDIRECT(ADDRESS($I75,COLUMN(AF$1))))+IF($J75="",0,INDIRECT(ADDRESS($J75,COLUMN(AF$1)))+AF$14)+IF($K75="",0,INDIRECT(ADDRESS($K75,COLUMN(AF$1))))</f>
        <v>0</v>
      </c>
      <c r="S75" s="1" t="str">
        <f t="shared" si="20"/>
        <v/>
      </c>
    </row>
    <row r="76" spans="1:19" x14ac:dyDescent="0.25">
      <c r="A76" s="1" t="str">
        <f t="shared" si="21"/>
        <v/>
      </c>
      <c r="B76" s="31">
        <v>70</v>
      </c>
      <c r="C76" s="1" t="str">
        <f t="shared" si="16"/>
        <v/>
      </c>
      <c r="F76" s="23" t="str">
        <f t="shared" si="17"/>
        <v/>
      </c>
      <c r="G76" s="23" t="str">
        <f t="shared" si="18"/>
        <v/>
      </c>
      <c r="H76" s="23" t="str">
        <f t="shared" si="19"/>
        <v/>
      </c>
      <c r="I76" s="23" t="str">
        <f t="shared" si="15"/>
        <v/>
      </c>
      <c r="J76" s="23" t="str">
        <f t="shared" si="15"/>
        <v/>
      </c>
      <c r="K76" s="23" t="str">
        <f t="shared" si="15"/>
        <v/>
      </c>
      <c r="L76" s="23"/>
      <c r="M76" s="23" cm="1">
        <f t="array" aca="1" ref="M76" ca="1">IF($I76="",0,INDIRECT(ADDRESS($I76,COLUMN(AA$1))))+IF($J76="",0,INDIRECT(ADDRESS($J76,COLUMN(AA$1)))+AA$14)+IF($K76="",0,INDIRECT(ADDRESS($K76,COLUMN(AA$1))))</f>
        <v>0</v>
      </c>
      <c r="N76" s="23" cm="1">
        <f t="array" aca="1" ref="N76" ca="1">IF($I76="",0,INDIRECT(ADDRESS($I76,COLUMN(AB$1))))+IF($J76="",0,INDIRECT(ADDRESS($J76,COLUMN(AB$1)))+AB$14)+IF($K76="",0,INDIRECT(ADDRESS($K76,COLUMN(AB$1))))</f>
        <v>0</v>
      </c>
      <c r="O76" s="23" cm="1">
        <f t="array" aca="1" ref="O76" ca="1">IF($I76="",0,INDIRECT(ADDRESS($I76,COLUMN(AC$1))))+IF($J76="",0,INDIRECT(ADDRESS($J76,COLUMN(AC$1)))+AC$14)+IF($K76="",0,INDIRECT(ADDRESS($K76,COLUMN(AC$1))))</f>
        <v>0</v>
      </c>
      <c r="P76" s="23" cm="1">
        <f t="array" aca="1" ref="P76" ca="1">IF($I76="",0,INDIRECT(ADDRESS($I76,COLUMN(AD$1))))+IF($J76="",0,INDIRECT(ADDRESS($J76,COLUMN(AD$1)))+AD$14)+IF($K76="",0,INDIRECT(ADDRESS($K76,COLUMN(AD$1))))</f>
        <v>0</v>
      </c>
      <c r="Q76" s="23" cm="1">
        <f t="array" aca="1" ref="Q76" ca="1">IF($I76="",0,INDIRECT(ADDRESS($I76,COLUMN(AE$1))))+IF($J76="",0,INDIRECT(ADDRESS($J76,COLUMN(AE$1)))+AE$14)+IF($K76="",0,INDIRECT(ADDRESS($K76,COLUMN(AE$1))))</f>
        <v>0</v>
      </c>
      <c r="R76" s="23" cm="1">
        <f t="array" aca="1" ref="R76" ca="1">IF($I76="",0,INDIRECT(ADDRESS($I76,COLUMN(AF$1))))+IF($J76="",0,INDIRECT(ADDRESS($J76,COLUMN(AF$1)))+AF$14)+IF($K76="",0,INDIRECT(ADDRESS($K76,COLUMN(AF$1))))</f>
        <v>0</v>
      </c>
      <c r="S76" s="1" t="str">
        <f t="shared" si="20"/>
        <v/>
      </c>
    </row>
    <row r="77" spans="1:19" x14ac:dyDescent="0.25">
      <c r="A77" s="1" t="str">
        <f t="shared" si="21"/>
        <v/>
      </c>
      <c r="B77" s="1">
        <v>71</v>
      </c>
      <c r="C77" s="1" t="str">
        <f t="shared" si="16"/>
        <v/>
      </c>
      <c r="F77" s="23" t="str">
        <f t="shared" si="17"/>
        <v/>
      </c>
      <c r="G77" s="23" t="str">
        <f t="shared" si="18"/>
        <v/>
      </c>
      <c r="H77" s="23" t="str">
        <f t="shared" si="19"/>
        <v/>
      </c>
      <c r="I77" s="23" t="str">
        <f t="shared" si="15"/>
        <v/>
      </c>
      <c r="J77" s="23" t="str">
        <f t="shared" si="15"/>
        <v/>
      </c>
      <c r="K77" s="23" t="str">
        <f t="shared" si="15"/>
        <v/>
      </c>
      <c r="L77" s="23"/>
      <c r="M77" s="23" cm="1">
        <f t="array" aca="1" ref="M77" ca="1">IF($I77="",0,INDIRECT(ADDRESS($I77,COLUMN(AA$1))))+IF($J77="",0,INDIRECT(ADDRESS($J77,COLUMN(AA$1)))+AA$14)+IF($K77="",0,INDIRECT(ADDRESS($K77,COLUMN(AA$1))))</f>
        <v>0</v>
      </c>
      <c r="N77" s="23" cm="1">
        <f t="array" aca="1" ref="N77" ca="1">IF($I77="",0,INDIRECT(ADDRESS($I77,COLUMN(AB$1))))+IF($J77="",0,INDIRECT(ADDRESS($J77,COLUMN(AB$1)))+AB$14)+IF($K77="",0,INDIRECT(ADDRESS($K77,COLUMN(AB$1))))</f>
        <v>0</v>
      </c>
      <c r="O77" s="23" cm="1">
        <f t="array" aca="1" ref="O77" ca="1">IF($I77="",0,INDIRECT(ADDRESS($I77,COLUMN(AC$1))))+IF($J77="",0,INDIRECT(ADDRESS($J77,COLUMN(AC$1)))+AC$14)+IF($K77="",0,INDIRECT(ADDRESS($K77,COLUMN(AC$1))))</f>
        <v>0</v>
      </c>
      <c r="P77" s="23" cm="1">
        <f t="array" aca="1" ref="P77" ca="1">IF($I77="",0,INDIRECT(ADDRESS($I77,COLUMN(AD$1))))+IF($J77="",0,INDIRECT(ADDRESS($J77,COLUMN(AD$1)))+AD$14)+IF($K77="",0,INDIRECT(ADDRESS($K77,COLUMN(AD$1))))</f>
        <v>0</v>
      </c>
      <c r="Q77" s="23" cm="1">
        <f t="array" aca="1" ref="Q77" ca="1">IF($I77="",0,INDIRECT(ADDRESS($I77,COLUMN(AE$1))))+IF($J77="",0,INDIRECT(ADDRESS($J77,COLUMN(AE$1)))+AE$14)+IF($K77="",0,INDIRECT(ADDRESS($K77,COLUMN(AE$1))))</f>
        <v>0</v>
      </c>
      <c r="R77" s="23" cm="1">
        <f t="array" aca="1" ref="R77" ca="1">IF($I77="",0,INDIRECT(ADDRESS($I77,COLUMN(AF$1))))+IF($J77="",0,INDIRECT(ADDRESS($J77,COLUMN(AF$1)))+AF$14)+IF($K77="",0,INDIRECT(ADDRESS($K77,COLUMN(AF$1))))</f>
        <v>0</v>
      </c>
      <c r="S77" s="1" t="str">
        <f t="shared" si="20"/>
        <v/>
      </c>
    </row>
    <row r="78" spans="1:19" x14ac:dyDescent="0.25">
      <c r="A78" s="1" t="str">
        <f t="shared" si="21"/>
        <v/>
      </c>
      <c r="B78" s="31">
        <v>72</v>
      </c>
      <c r="C78" s="1" t="str">
        <f t="shared" si="16"/>
        <v/>
      </c>
      <c r="F78" s="23" t="str">
        <f t="shared" si="17"/>
        <v/>
      </c>
      <c r="G78" s="23" t="str">
        <f t="shared" si="18"/>
        <v/>
      </c>
      <c r="H78" s="23" t="str">
        <f t="shared" si="19"/>
        <v/>
      </c>
      <c r="I78" s="23" t="str">
        <f t="shared" si="15"/>
        <v/>
      </c>
      <c r="J78" s="23" t="str">
        <f t="shared" si="15"/>
        <v/>
      </c>
      <c r="K78" s="23" t="str">
        <f t="shared" si="15"/>
        <v/>
      </c>
      <c r="L78" s="23"/>
      <c r="M78" s="23" cm="1">
        <f t="array" aca="1" ref="M78" ca="1">IF($I78="",0,INDIRECT(ADDRESS($I78,COLUMN(AA$1))))+IF($J78="",0,INDIRECT(ADDRESS($J78,COLUMN(AA$1)))+AA$14)+IF($K78="",0,INDIRECT(ADDRESS($K78,COLUMN(AA$1))))</f>
        <v>0</v>
      </c>
      <c r="N78" s="23" cm="1">
        <f t="array" aca="1" ref="N78" ca="1">IF($I78="",0,INDIRECT(ADDRESS($I78,COLUMN(AB$1))))+IF($J78="",0,INDIRECT(ADDRESS($J78,COLUMN(AB$1)))+AB$14)+IF($K78="",0,INDIRECT(ADDRESS($K78,COLUMN(AB$1))))</f>
        <v>0</v>
      </c>
      <c r="O78" s="23" cm="1">
        <f t="array" aca="1" ref="O78" ca="1">IF($I78="",0,INDIRECT(ADDRESS($I78,COLUMN(AC$1))))+IF($J78="",0,INDIRECT(ADDRESS($J78,COLUMN(AC$1)))+AC$14)+IF($K78="",0,INDIRECT(ADDRESS($K78,COLUMN(AC$1))))</f>
        <v>0</v>
      </c>
      <c r="P78" s="23" cm="1">
        <f t="array" aca="1" ref="P78" ca="1">IF($I78="",0,INDIRECT(ADDRESS($I78,COLUMN(AD$1))))+IF($J78="",0,INDIRECT(ADDRESS($J78,COLUMN(AD$1)))+AD$14)+IF($K78="",0,INDIRECT(ADDRESS($K78,COLUMN(AD$1))))</f>
        <v>0</v>
      </c>
      <c r="Q78" s="23" cm="1">
        <f t="array" aca="1" ref="Q78" ca="1">IF($I78="",0,INDIRECT(ADDRESS($I78,COLUMN(AE$1))))+IF($J78="",0,INDIRECT(ADDRESS($J78,COLUMN(AE$1)))+AE$14)+IF($K78="",0,INDIRECT(ADDRESS($K78,COLUMN(AE$1))))</f>
        <v>0</v>
      </c>
      <c r="R78" s="23" cm="1">
        <f t="array" aca="1" ref="R78" ca="1">IF($I78="",0,INDIRECT(ADDRESS($I78,COLUMN(AF$1))))+IF($J78="",0,INDIRECT(ADDRESS($J78,COLUMN(AF$1)))+AF$14)+IF($K78="",0,INDIRECT(ADDRESS($K78,COLUMN(AF$1))))</f>
        <v>0</v>
      </c>
      <c r="S78" s="1" t="str">
        <f t="shared" si="20"/>
        <v/>
      </c>
    </row>
    <row r="79" spans="1:19" x14ac:dyDescent="0.25">
      <c r="A79" s="1" t="str">
        <f t="shared" si="21"/>
        <v/>
      </c>
      <c r="B79" s="1">
        <v>73</v>
      </c>
      <c r="C79" s="1" t="str">
        <f t="shared" si="16"/>
        <v/>
      </c>
      <c r="F79" s="23" t="str">
        <f t="shared" si="17"/>
        <v/>
      </c>
      <c r="G79" s="23" t="str">
        <f t="shared" si="18"/>
        <v/>
      </c>
      <c r="H79" s="23" t="str">
        <f t="shared" si="19"/>
        <v/>
      </c>
      <c r="I79" s="23" t="str">
        <f t="shared" si="15"/>
        <v/>
      </c>
      <c r="J79" s="23" t="str">
        <f t="shared" si="15"/>
        <v/>
      </c>
      <c r="K79" s="23" t="str">
        <f t="shared" si="15"/>
        <v/>
      </c>
      <c r="L79" s="23"/>
      <c r="M79" s="23" cm="1">
        <f t="array" aca="1" ref="M79" ca="1">IF($I79="",0,INDIRECT(ADDRESS($I79,COLUMN(AA$1))))+IF($J79="",0,INDIRECT(ADDRESS($J79,COLUMN(AA$1)))+AA$14)+IF($K79="",0,INDIRECT(ADDRESS($K79,COLUMN(AA$1))))</f>
        <v>0</v>
      </c>
      <c r="N79" s="23" cm="1">
        <f t="array" aca="1" ref="N79" ca="1">IF($I79="",0,INDIRECT(ADDRESS($I79,COLUMN(AB$1))))+IF($J79="",0,INDIRECT(ADDRESS($J79,COLUMN(AB$1)))+AB$14)+IF($K79="",0,INDIRECT(ADDRESS($K79,COLUMN(AB$1))))</f>
        <v>0</v>
      </c>
      <c r="O79" s="23" cm="1">
        <f t="array" aca="1" ref="O79" ca="1">IF($I79="",0,INDIRECT(ADDRESS($I79,COLUMN(AC$1))))+IF($J79="",0,INDIRECT(ADDRESS($J79,COLUMN(AC$1)))+AC$14)+IF($K79="",0,INDIRECT(ADDRESS($K79,COLUMN(AC$1))))</f>
        <v>0</v>
      </c>
      <c r="P79" s="23" cm="1">
        <f t="array" aca="1" ref="P79" ca="1">IF($I79="",0,INDIRECT(ADDRESS($I79,COLUMN(AD$1))))+IF($J79="",0,INDIRECT(ADDRESS($J79,COLUMN(AD$1)))+AD$14)+IF($K79="",0,INDIRECT(ADDRESS($K79,COLUMN(AD$1))))</f>
        <v>0</v>
      </c>
      <c r="Q79" s="23" cm="1">
        <f t="array" aca="1" ref="Q79" ca="1">IF($I79="",0,INDIRECT(ADDRESS($I79,COLUMN(AE$1))))+IF($J79="",0,INDIRECT(ADDRESS($J79,COLUMN(AE$1)))+AE$14)+IF($K79="",0,INDIRECT(ADDRESS($K79,COLUMN(AE$1))))</f>
        <v>0</v>
      </c>
      <c r="R79" s="23" cm="1">
        <f t="array" aca="1" ref="R79" ca="1">IF($I79="",0,INDIRECT(ADDRESS($I79,COLUMN(AF$1))))+IF($J79="",0,INDIRECT(ADDRESS($J79,COLUMN(AF$1)))+AF$14)+IF($K79="",0,INDIRECT(ADDRESS($K79,COLUMN(AF$1))))</f>
        <v>0</v>
      </c>
      <c r="S79" s="1" t="str">
        <f t="shared" si="20"/>
        <v/>
      </c>
    </row>
    <row r="80" spans="1:19" x14ac:dyDescent="0.25">
      <c r="A80" s="1" t="str">
        <f t="shared" si="21"/>
        <v/>
      </c>
      <c r="B80" s="31">
        <v>74</v>
      </c>
      <c r="C80" s="1" t="str">
        <f t="shared" si="16"/>
        <v/>
      </c>
      <c r="F80" s="23" t="str">
        <f t="shared" si="17"/>
        <v/>
      </c>
      <c r="G80" s="23" t="str">
        <f t="shared" si="18"/>
        <v/>
      </c>
      <c r="H80" s="23" t="str">
        <f t="shared" si="19"/>
        <v/>
      </c>
      <c r="I80" s="23" t="str">
        <f t="shared" si="15"/>
        <v/>
      </c>
      <c r="J80" s="23" t="str">
        <f t="shared" si="15"/>
        <v/>
      </c>
      <c r="K80" s="23" t="str">
        <f t="shared" si="15"/>
        <v/>
      </c>
      <c r="L80" s="23"/>
      <c r="M80" s="23" cm="1">
        <f t="array" aca="1" ref="M80" ca="1">IF($I80="",0,INDIRECT(ADDRESS($I80,COLUMN(AA$1))))+IF($J80="",0,INDIRECT(ADDRESS($J80,COLUMN(AA$1)))+AA$14)+IF($K80="",0,INDIRECT(ADDRESS($K80,COLUMN(AA$1))))</f>
        <v>0</v>
      </c>
      <c r="N80" s="23" cm="1">
        <f t="array" aca="1" ref="N80" ca="1">IF($I80="",0,INDIRECT(ADDRESS($I80,COLUMN(AB$1))))+IF($J80="",0,INDIRECT(ADDRESS($J80,COLUMN(AB$1)))+AB$14)+IF($K80="",0,INDIRECT(ADDRESS($K80,COLUMN(AB$1))))</f>
        <v>0</v>
      </c>
      <c r="O80" s="23" cm="1">
        <f t="array" aca="1" ref="O80" ca="1">IF($I80="",0,INDIRECT(ADDRESS($I80,COLUMN(AC$1))))+IF($J80="",0,INDIRECT(ADDRESS($J80,COLUMN(AC$1)))+AC$14)+IF($K80="",0,INDIRECT(ADDRESS($K80,COLUMN(AC$1))))</f>
        <v>0</v>
      </c>
      <c r="P80" s="23" cm="1">
        <f t="array" aca="1" ref="P80" ca="1">IF($I80="",0,INDIRECT(ADDRESS($I80,COLUMN(AD$1))))+IF($J80="",0,INDIRECT(ADDRESS($J80,COLUMN(AD$1)))+AD$14)+IF($K80="",0,INDIRECT(ADDRESS($K80,COLUMN(AD$1))))</f>
        <v>0</v>
      </c>
      <c r="Q80" s="23" cm="1">
        <f t="array" aca="1" ref="Q80" ca="1">IF($I80="",0,INDIRECT(ADDRESS($I80,COLUMN(AE$1))))+IF($J80="",0,INDIRECT(ADDRESS($J80,COLUMN(AE$1)))+AE$14)+IF($K80="",0,INDIRECT(ADDRESS($K80,COLUMN(AE$1))))</f>
        <v>0</v>
      </c>
      <c r="R80" s="23" cm="1">
        <f t="array" aca="1" ref="R80" ca="1">IF($I80="",0,INDIRECT(ADDRESS($I80,COLUMN(AF$1))))+IF($J80="",0,INDIRECT(ADDRESS($J80,COLUMN(AF$1)))+AF$14)+IF($K80="",0,INDIRECT(ADDRESS($K80,COLUMN(AF$1))))</f>
        <v>0</v>
      </c>
      <c r="S80" s="1" t="str">
        <f t="shared" si="20"/>
        <v/>
      </c>
    </row>
    <row r="81" spans="1:19" x14ac:dyDescent="0.25">
      <c r="A81" s="1" t="str">
        <f t="shared" si="21"/>
        <v/>
      </c>
      <c r="B81" s="1">
        <v>75</v>
      </c>
      <c r="C81" s="1" t="str">
        <f t="shared" si="16"/>
        <v/>
      </c>
      <c r="F81" s="23" t="str">
        <f t="shared" si="17"/>
        <v/>
      </c>
      <c r="G81" s="23" t="str">
        <f t="shared" si="18"/>
        <v/>
      </c>
      <c r="H81" s="23" t="str">
        <f t="shared" si="19"/>
        <v/>
      </c>
      <c r="I81" s="23" t="str">
        <f t="shared" si="15"/>
        <v/>
      </c>
      <c r="J81" s="23" t="str">
        <f t="shared" si="15"/>
        <v/>
      </c>
      <c r="K81" s="23" t="str">
        <f t="shared" si="15"/>
        <v/>
      </c>
      <c r="L81" s="23"/>
      <c r="M81" s="23" cm="1">
        <f t="array" aca="1" ref="M81" ca="1">IF($I81="",0,INDIRECT(ADDRESS($I81,COLUMN(AA$1))))+IF($J81="",0,INDIRECT(ADDRESS($J81,COLUMN(AA$1)))+AA$14)+IF($K81="",0,INDIRECT(ADDRESS($K81,COLUMN(AA$1))))</f>
        <v>0</v>
      </c>
      <c r="N81" s="23" cm="1">
        <f t="array" aca="1" ref="N81" ca="1">IF($I81="",0,INDIRECT(ADDRESS($I81,COLUMN(AB$1))))+IF($J81="",0,INDIRECT(ADDRESS($J81,COLUMN(AB$1)))+AB$14)+IF($K81="",0,INDIRECT(ADDRESS($K81,COLUMN(AB$1))))</f>
        <v>0</v>
      </c>
      <c r="O81" s="23" cm="1">
        <f t="array" aca="1" ref="O81" ca="1">IF($I81="",0,INDIRECT(ADDRESS($I81,COLUMN(AC$1))))+IF($J81="",0,INDIRECT(ADDRESS($J81,COLUMN(AC$1)))+AC$14)+IF($K81="",0,INDIRECT(ADDRESS($K81,COLUMN(AC$1))))</f>
        <v>0</v>
      </c>
      <c r="P81" s="23" cm="1">
        <f t="array" aca="1" ref="P81" ca="1">IF($I81="",0,INDIRECT(ADDRESS($I81,COLUMN(AD$1))))+IF($J81="",0,INDIRECT(ADDRESS($J81,COLUMN(AD$1)))+AD$14)+IF($K81="",0,INDIRECT(ADDRESS($K81,COLUMN(AD$1))))</f>
        <v>0</v>
      </c>
      <c r="Q81" s="23" cm="1">
        <f t="array" aca="1" ref="Q81" ca="1">IF($I81="",0,INDIRECT(ADDRESS($I81,COLUMN(AE$1))))+IF($J81="",0,INDIRECT(ADDRESS($J81,COLUMN(AE$1)))+AE$14)+IF($K81="",0,INDIRECT(ADDRESS($K81,COLUMN(AE$1))))</f>
        <v>0</v>
      </c>
      <c r="R81" s="23" cm="1">
        <f t="array" aca="1" ref="R81" ca="1">IF($I81="",0,INDIRECT(ADDRESS($I81,COLUMN(AF$1))))+IF($J81="",0,INDIRECT(ADDRESS($J81,COLUMN(AF$1)))+AF$14)+IF($K81="",0,INDIRECT(ADDRESS($K81,COLUMN(AF$1))))</f>
        <v>0</v>
      </c>
      <c r="S81" s="1" t="str">
        <f t="shared" si="20"/>
        <v/>
      </c>
    </row>
    <row r="82" spans="1:19" x14ac:dyDescent="0.25">
      <c r="A82" s="1" t="str">
        <f t="shared" si="21"/>
        <v/>
      </c>
      <c r="B82" s="31">
        <v>76</v>
      </c>
      <c r="C82" s="1" t="str">
        <f t="shared" si="16"/>
        <v/>
      </c>
      <c r="F82" s="23" t="str">
        <f t="shared" si="17"/>
        <v/>
      </c>
      <c r="G82" s="23" t="str">
        <f t="shared" si="18"/>
        <v/>
      </c>
      <c r="H82" s="23" t="str">
        <f t="shared" si="19"/>
        <v/>
      </c>
      <c r="I82" s="23" t="str">
        <f t="shared" si="15"/>
        <v/>
      </c>
      <c r="J82" s="23" t="str">
        <f t="shared" si="15"/>
        <v/>
      </c>
      <c r="K82" s="23" t="str">
        <f t="shared" si="15"/>
        <v/>
      </c>
      <c r="L82" s="23"/>
      <c r="M82" s="23" cm="1">
        <f t="array" aca="1" ref="M82" ca="1">IF($I82="",0,INDIRECT(ADDRESS($I82,COLUMN(AA$1))))+IF($J82="",0,INDIRECT(ADDRESS($J82,COLUMN(AA$1)))+AA$14)+IF($K82="",0,INDIRECT(ADDRESS($K82,COLUMN(AA$1))))</f>
        <v>0</v>
      </c>
      <c r="N82" s="23" cm="1">
        <f t="array" aca="1" ref="N82" ca="1">IF($I82="",0,INDIRECT(ADDRESS($I82,COLUMN(AB$1))))+IF($J82="",0,INDIRECT(ADDRESS($J82,COLUMN(AB$1)))+AB$14)+IF($K82="",0,INDIRECT(ADDRESS($K82,COLUMN(AB$1))))</f>
        <v>0</v>
      </c>
      <c r="O82" s="23" cm="1">
        <f t="array" aca="1" ref="O82" ca="1">IF($I82="",0,INDIRECT(ADDRESS($I82,COLUMN(AC$1))))+IF($J82="",0,INDIRECT(ADDRESS($J82,COLUMN(AC$1)))+AC$14)+IF($K82="",0,INDIRECT(ADDRESS($K82,COLUMN(AC$1))))</f>
        <v>0</v>
      </c>
      <c r="P82" s="23" cm="1">
        <f t="array" aca="1" ref="P82" ca="1">IF($I82="",0,INDIRECT(ADDRESS($I82,COLUMN(AD$1))))+IF($J82="",0,INDIRECT(ADDRESS($J82,COLUMN(AD$1)))+AD$14)+IF($K82="",0,INDIRECT(ADDRESS($K82,COLUMN(AD$1))))</f>
        <v>0</v>
      </c>
      <c r="Q82" s="23" cm="1">
        <f t="array" aca="1" ref="Q82" ca="1">IF($I82="",0,INDIRECT(ADDRESS($I82,COLUMN(AE$1))))+IF($J82="",0,INDIRECT(ADDRESS($J82,COLUMN(AE$1)))+AE$14)+IF($K82="",0,INDIRECT(ADDRESS($K82,COLUMN(AE$1))))</f>
        <v>0</v>
      </c>
      <c r="R82" s="23" cm="1">
        <f t="array" aca="1" ref="R82" ca="1">IF($I82="",0,INDIRECT(ADDRESS($I82,COLUMN(AF$1))))+IF($J82="",0,INDIRECT(ADDRESS($J82,COLUMN(AF$1)))+AF$14)+IF($K82="",0,INDIRECT(ADDRESS($K82,COLUMN(AF$1))))</f>
        <v>0</v>
      </c>
      <c r="S82" s="1" t="str">
        <f t="shared" si="20"/>
        <v/>
      </c>
    </row>
    <row r="83" spans="1:19" x14ac:dyDescent="0.25">
      <c r="A83" s="1" t="str">
        <f t="shared" si="21"/>
        <v/>
      </c>
      <c r="B83" s="1">
        <v>77</v>
      </c>
      <c r="C83" s="1" t="str">
        <f t="shared" si="16"/>
        <v/>
      </c>
      <c r="F83" s="23" t="str">
        <f t="shared" si="17"/>
        <v/>
      </c>
      <c r="G83" s="23" t="str">
        <f t="shared" si="18"/>
        <v/>
      </c>
      <c r="H83" s="23" t="str">
        <f t="shared" si="19"/>
        <v/>
      </c>
      <c r="I83" s="23" t="str">
        <f t="shared" si="15"/>
        <v/>
      </c>
      <c r="J83" s="23" t="str">
        <f t="shared" si="15"/>
        <v/>
      </c>
      <c r="K83" s="23" t="str">
        <f t="shared" si="15"/>
        <v/>
      </c>
      <c r="L83" s="23"/>
      <c r="M83" s="23" cm="1">
        <f t="array" aca="1" ref="M83" ca="1">IF($I83="",0,INDIRECT(ADDRESS($I83,COLUMN(AA$1))))+IF($J83="",0,INDIRECT(ADDRESS($J83,COLUMN(AA$1)))+AA$14)+IF($K83="",0,INDIRECT(ADDRESS($K83,COLUMN(AA$1))))</f>
        <v>0</v>
      </c>
      <c r="N83" s="23" cm="1">
        <f t="array" aca="1" ref="N83" ca="1">IF($I83="",0,INDIRECT(ADDRESS($I83,COLUMN(AB$1))))+IF($J83="",0,INDIRECT(ADDRESS($J83,COLUMN(AB$1)))+AB$14)+IF($K83="",0,INDIRECT(ADDRESS($K83,COLUMN(AB$1))))</f>
        <v>0</v>
      </c>
      <c r="O83" s="23" cm="1">
        <f t="array" aca="1" ref="O83" ca="1">IF($I83="",0,INDIRECT(ADDRESS($I83,COLUMN(AC$1))))+IF($J83="",0,INDIRECT(ADDRESS($J83,COLUMN(AC$1)))+AC$14)+IF($K83="",0,INDIRECT(ADDRESS($K83,COLUMN(AC$1))))</f>
        <v>0</v>
      </c>
      <c r="P83" s="23" cm="1">
        <f t="array" aca="1" ref="P83" ca="1">IF($I83="",0,INDIRECT(ADDRESS($I83,COLUMN(AD$1))))+IF($J83="",0,INDIRECT(ADDRESS($J83,COLUMN(AD$1)))+AD$14)+IF($K83="",0,INDIRECT(ADDRESS($K83,COLUMN(AD$1))))</f>
        <v>0</v>
      </c>
      <c r="Q83" s="23" cm="1">
        <f t="array" aca="1" ref="Q83" ca="1">IF($I83="",0,INDIRECT(ADDRESS($I83,COLUMN(AE$1))))+IF($J83="",0,INDIRECT(ADDRESS($J83,COLUMN(AE$1)))+AE$14)+IF($K83="",0,INDIRECT(ADDRESS($K83,COLUMN(AE$1))))</f>
        <v>0</v>
      </c>
      <c r="R83" s="23" cm="1">
        <f t="array" aca="1" ref="R83" ca="1">IF($I83="",0,INDIRECT(ADDRESS($I83,COLUMN(AF$1))))+IF($J83="",0,INDIRECT(ADDRESS($J83,COLUMN(AF$1)))+AF$14)+IF($K83="",0,INDIRECT(ADDRESS($K83,COLUMN(AF$1))))</f>
        <v>0</v>
      </c>
      <c r="S83" s="1" t="str">
        <f t="shared" si="20"/>
        <v/>
      </c>
    </row>
    <row r="84" spans="1:19" x14ac:dyDescent="0.25">
      <c r="A84" s="1" t="str">
        <f t="shared" si="21"/>
        <v/>
      </c>
      <c r="B84" s="31">
        <v>78</v>
      </c>
      <c r="C84" s="1" t="str">
        <f t="shared" si="16"/>
        <v/>
      </c>
      <c r="F84" s="23" t="str">
        <f t="shared" si="17"/>
        <v/>
      </c>
      <c r="G84" s="23" t="str">
        <f t="shared" si="18"/>
        <v/>
      </c>
      <c r="H84" s="23" t="str">
        <f t="shared" si="19"/>
        <v/>
      </c>
      <c r="I84" s="23" t="str">
        <f t="shared" si="15"/>
        <v/>
      </c>
      <c r="J84" s="23" t="str">
        <f t="shared" si="15"/>
        <v/>
      </c>
      <c r="K84" s="23" t="str">
        <f t="shared" si="15"/>
        <v/>
      </c>
      <c r="L84" s="23"/>
      <c r="M84" s="23" cm="1">
        <f t="array" aca="1" ref="M84" ca="1">IF($I84="",0,INDIRECT(ADDRESS($I84,COLUMN(AA$1))))+IF($J84="",0,INDIRECT(ADDRESS($J84,COLUMN(AA$1)))+AA$14)+IF($K84="",0,INDIRECT(ADDRESS($K84,COLUMN(AA$1))))</f>
        <v>0</v>
      </c>
      <c r="N84" s="23" cm="1">
        <f t="array" aca="1" ref="N84" ca="1">IF($I84="",0,INDIRECT(ADDRESS($I84,COLUMN(AB$1))))+IF($J84="",0,INDIRECT(ADDRESS($J84,COLUMN(AB$1)))+AB$14)+IF($K84="",0,INDIRECT(ADDRESS($K84,COLUMN(AB$1))))</f>
        <v>0</v>
      </c>
      <c r="O84" s="23" cm="1">
        <f t="array" aca="1" ref="O84" ca="1">IF($I84="",0,INDIRECT(ADDRESS($I84,COLUMN(AC$1))))+IF($J84="",0,INDIRECT(ADDRESS($J84,COLUMN(AC$1)))+AC$14)+IF($K84="",0,INDIRECT(ADDRESS($K84,COLUMN(AC$1))))</f>
        <v>0</v>
      </c>
      <c r="P84" s="23" cm="1">
        <f t="array" aca="1" ref="P84" ca="1">IF($I84="",0,INDIRECT(ADDRESS($I84,COLUMN(AD$1))))+IF($J84="",0,INDIRECT(ADDRESS($J84,COLUMN(AD$1)))+AD$14)+IF($K84="",0,INDIRECT(ADDRESS($K84,COLUMN(AD$1))))</f>
        <v>0</v>
      </c>
      <c r="Q84" s="23" cm="1">
        <f t="array" aca="1" ref="Q84" ca="1">IF($I84="",0,INDIRECT(ADDRESS($I84,COLUMN(AE$1))))+IF($J84="",0,INDIRECT(ADDRESS($J84,COLUMN(AE$1)))+AE$14)+IF($K84="",0,INDIRECT(ADDRESS($K84,COLUMN(AE$1))))</f>
        <v>0</v>
      </c>
      <c r="R84" s="23" cm="1">
        <f t="array" aca="1" ref="R84" ca="1">IF($I84="",0,INDIRECT(ADDRESS($I84,COLUMN(AF$1))))+IF($J84="",0,INDIRECT(ADDRESS($J84,COLUMN(AF$1)))+AF$14)+IF($K84="",0,INDIRECT(ADDRESS($K84,COLUMN(AF$1))))</f>
        <v>0</v>
      </c>
      <c r="S84" s="1" t="str">
        <f t="shared" si="20"/>
        <v/>
      </c>
    </row>
    <row r="85" spans="1:19" x14ac:dyDescent="0.25">
      <c r="A85" s="1" t="str">
        <f t="shared" si="21"/>
        <v/>
      </c>
      <c r="B85" s="1">
        <v>79</v>
      </c>
      <c r="C85" s="1" t="str">
        <f t="shared" si="16"/>
        <v/>
      </c>
      <c r="F85" s="23" t="str">
        <f t="shared" si="17"/>
        <v/>
      </c>
      <c r="G85" s="23" t="str">
        <f t="shared" si="18"/>
        <v/>
      </c>
      <c r="H85" s="23" t="str">
        <f t="shared" si="19"/>
        <v/>
      </c>
      <c r="I85" s="23" t="str">
        <f t="shared" si="15"/>
        <v/>
      </c>
      <c r="J85" s="23" t="str">
        <f t="shared" si="15"/>
        <v/>
      </c>
      <c r="K85" s="23" t="str">
        <f t="shared" si="15"/>
        <v/>
      </c>
      <c r="L85" s="23"/>
      <c r="M85" s="23" cm="1">
        <f t="array" aca="1" ref="M85" ca="1">IF($I85="",0,INDIRECT(ADDRESS($I85,COLUMN(AA$1))))+IF($J85="",0,INDIRECT(ADDRESS($J85,COLUMN(AA$1)))+AA$14)+IF($K85="",0,INDIRECT(ADDRESS($K85,COLUMN(AA$1))))</f>
        <v>0</v>
      </c>
      <c r="N85" s="23" cm="1">
        <f t="array" aca="1" ref="N85" ca="1">IF($I85="",0,INDIRECT(ADDRESS($I85,COLUMN(AB$1))))+IF($J85="",0,INDIRECT(ADDRESS($J85,COLUMN(AB$1)))+AB$14)+IF($K85="",0,INDIRECT(ADDRESS($K85,COLUMN(AB$1))))</f>
        <v>0</v>
      </c>
      <c r="O85" s="23" cm="1">
        <f t="array" aca="1" ref="O85" ca="1">IF($I85="",0,INDIRECT(ADDRESS($I85,COLUMN(AC$1))))+IF($J85="",0,INDIRECT(ADDRESS($J85,COLUMN(AC$1)))+AC$14)+IF($K85="",0,INDIRECT(ADDRESS($K85,COLUMN(AC$1))))</f>
        <v>0</v>
      </c>
      <c r="P85" s="23" cm="1">
        <f t="array" aca="1" ref="P85" ca="1">IF($I85="",0,INDIRECT(ADDRESS($I85,COLUMN(AD$1))))+IF($J85="",0,INDIRECT(ADDRESS($J85,COLUMN(AD$1)))+AD$14)+IF($K85="",0,INDIRECT(ADDRESS($K85,COLUMN(AD$1))))</f>
        <v>0</v>
      </c>
      <c r="Q85" s="23" cm="1">
        <f t="array" aca="1" ref="Q85" ca="1">IF($I85="",0,INDIRECT(ADDRESS($I85,COLUMN(AE$1))))+IF($J85="",0,INDIRECT(ADDRESS($J85,COLUMN(AE$1)))+AE$14)+IF($K85="",0,INDIRECT(ADDRESS($K85,COLUMN(AE$1))))</f>
        <v>0</v>
      </c>
      <c r="R85" s="23" cm="1">
        <f t="array" aca="1" ref="R85" ca="1">IF($I85="",0,INDIRECT(ADDRESS($I85,COLUMN(AF$1))))+IF($J85="",0,INDIRECT(ADDRESS($J85,COLUMN(AF$1)))+AF$14)+IF($K85="",0,INDIRECT(ADDRESS($K85,COLUMN(AF$1))))</f>
        <v>0</v>
      </c>
      <c r="S85" s="1" t="str">
        <f t="shared" si="20"/>
        <v/>
      </c>
    </row>
    <row r="86" spans="1:19" x14ac:dyDescent="0.25">
      <c r="A86" s="1" t="str">
        <f t="shared" si="21"/>
        <v/>
      </c>
      <c r="B86" s="31">
        <v>80</v>
      </c>
      <c r="C86" s="1" t="str">
        <f t="shared" si="16"/>
        <v/>
      </c>
      <c r="F86" s="23" t="str">
        <f t="shared" si="17"/>
        <v/>
      </c>
      <c r="G86" s="23" t="str">
        <f t="shared" si="18"/>
        <v/>
      </c>
      <c r="H86" s="23" t="str">
        <f t="shared" si="19"/>
        <v/>
      </c>
      <c r="I86" s="23" t="str">
        <f t="shared" si="15"/>
        <v/>
      </c>
      <c r="J86" s="23" t="str">
        <f t="shared" si="15"/>
        <v/>
      </c>
      <c r="K86" s="23" t="str">
        <f t="shared" si="15"/>
        <v/>
      </c>
      <c r="L86" s="23"/>
      <c r="M86" s="23" cm="1">
        <f t="array" aca="1" ref="M86" ca="1">IF($I86="",0,INDIRECT(ADDRESS($I86,COLUMN(AA$1))))+IF($J86="",0,INDIRECT(ADDRESS($J86,COLUMN(AA$1)))+AA$14)+IF($K86="",0,INDIRECT(ADDRESS($K86,COLUMN(AA$1))))</f>
        <v>0</v>
      </c>
      <c r="N86" s="23" cm="1">
        <f t="array" aca="1" ref="N86" ca="1">IF($I86="",0,INDIRECT(ADDRESS($I86,COLUMN(AB$1))))+IF($J86="",0,INDIRECT(ADDRESS($J86,COLUMN(AB$1)))+AB$14)+IF($K86="",0,INDIRECT(ADDRESS($K86,COLUMN(AB$1))))</f>
        <v>0</v>
      </c>
      <c r="O86" s="23" cm="1">
        <f t="array" aca="1" ref="O86" ca="1">IF($I86="",0,INDIRECT(ADDRESS($I86,COLUMN(AC$1))))+IF($J86="",0,INDIRECT(ADDRESS($J86,COLUMN(AC$1)))+AC$14)+IF($K86="",0,INDIRECT(ADDRESS($K86,COLUMN(AC$1))))</f>
        <v>0</v>
      </c>
      <c r="P86" s="23" cm="1">
        <f t="array" aca="1" ref="P86" ca="1">IF($I86="",0,INDIRECT(ADDRESS($I86,COLUMN(AD$1))))+IF($J86="",0,INDIRECT(ADDRESS($J86,COLUMN(AD$1)))+AD$14)+IF($K86="",0,INDIRECT(ADDRESS($K86,COLUMN(AD$1))))</f>
        <v>0</v>
      </c>
      <c r="Q86" s="23" cm="1">
        <f t="array" aca="1" ref="Q86" ca="1">IF($I86="",0,INDIRECT(ADDRESS($I86,COLUMN(AE$1))))+IF($J86="",0,INDIRECT(ADDRESS($J86,COLUMN(AE$1)))+AE$14)+IF($K86="",0,INDIRECT(ADDRESS($K86,COLUMN(AE$1))))</f>
        <v>0</v>
      </c>
      <c r="R86" s="23" cm="1">
        <f t="array" aca="1" ref="R86" ca="1">IF($I86="",0,INDIRECT(ADDRESS($I86,COLUMN(AF$1))))+IF($J86="",0,INDIRECT(ADDRESS($J86,COLUMN(AF$1)))+AF$14)+IF($K86="",0,INDIRECT(ADDRESS($K86,COLUMN(AF$1))))</f>
        <v>0</v>
      </c>
      <c r="S86" s="1" t="str">
        <f t="shared" si="20"/>
        <v/>
      </c>
    </row>
    <row r="87" spans="1:19" x14ac:dyDescent="0.25">
      <c r="A87" s="1" t="str">
        <f t="shared" si="21"/>
        <v/>
      </c>
      <c r="B87" s="1">
        <v>81</v>
      </c>
      <c r="C87" s="1" t="str">
        <f t="shared" si="16"/>
        <v/>
      </c>
      <c r="F87" s="23" t="str">
        <f t="shared" si="17"/>
        <v/>
      </c>
      <c r="G87" s="23" t="str">
        <f t="shared" si="18"/>
        <v/>
      </c>
      <c r="H87" s="23" t="str">
        <f t="shared" si="19"/>
        <v/>
      </c>
      <c r="I87" s="23" t="str">
        <f t="shared" si="15"/>
        <v/>
      </c>
      <c r="J87" s="23" t="str">
        <f t="shared" si="15"/>
        <v/>
      </c>
      <c r="K87" s="23" t="str">
        <f t="shared" si="15"/>
        <v/>
      </c>
      <c r="L87" s="23"/>
      <c r="M87" s="23" cm="1">
        <f t="array" aca="1" ref="M87" ca="1">IF($I87="",0,INDIRECT(ADDRESS($I87,COLUMN(AA$1))))+IF($J87="",0,INDIRECT(ADDRESS($J87,COLUMN(AA$1)))+AA$14)+IF($K87="",0,INDIRECT(ADDRESS($K87,COLUMN(AA$1))))</f>
        <v>0</v>
      </c>
      <c r="N87" s="23" cm="1">
        <f t="array" aca="1" ref="N87" ca="1">IF($I87="",0,INDIRECT(ADDRESS($I87,COLUMN(AB$1))))+IF($J87="",0,INDIRECT(ADDRESS($J87,COLUMN(AB$1)))+AB$14)+IF($K87="",0,INDIRECT(ADDRESS($K87,COLUMN(AB$1))))</f>
        <v>0</v>
      </c>
      <c r="O87" s="23" cm="1">
        <f t="array" aca="1" ref="O87" ca="1">IF($I87="",0,INDIRECT(ADDRESS($I87,COLUMN(AC$1))))+IF($J87="",0,INDIRECT(ADDRESS($J87,COLUMN(AC$1)))+AC$14)+IF($K87="",0,INDIRECT(ADDRESS($K87,COLUMN(AC$1))))</f>
        <v>0</v>
      </c>
      <c r="P87" s="23" cm="1">
        <f t="array" aca="1" ref="P87" ca="1">IF($I87="",0,INDIRECT(ADDRESS($I87,COLUMN(AD$1))))+IF($J87="",0,INDIRECT(ADDRESS($J87,COLUMN(AD$1)))+AD$14)+IF($K87="",0,INDIRECT(ADDRESS($K87,COLUMN(AD$1))))</f>
        <v>0</v>
      </c>
      <c r="Q87" s="23" cm="1">
        <f t="array" aca="1" ref="Q87" ca="1">IF($I87="",0,INDIRECT(ADDRESS($I87,COLUMN(AE$1))))+IF($J87="",0,INDIRECT(ADDRESS($J87,COLUMN(AE$1)))+AE$14)+IF($K87="",0,INDIRECT(ADDRESS($K87,COLUMN(AE$1))))</f>
        <v>0</v>
      </c>
      <c r="R87" s="23" cm="1">
        <f t="array" aca="1" ref="R87" ca="1">IF($I87="",0,INDIRECT(ADDRESS($I87,COLUMN(AF$1))))+IF($J87="",0,INDIRECT(ADDRESS($J87,COLUMN(AF$1)))+AF$14)+IF($K87="",0,INDIRECT(ADDRESS($K87,COLUMN(AF$1))))</f>
        <v>0</v>
      </c>
      <c r="S87" s="1" t="str">
        <f t="shared" si="20"/>
        <v/>
      </c>
    </row>
    <row r="88" spans="1:19" x14ac:dyDescent="0.25">
      <c r="A88" s="1" t="str">
        <f t="shared" si="21"/>
        <v/>
      </c>
      <c r="B88" s="31">
        <v>82</v>
      </c>
      <c r="C88" s="1" t="str">
        <f t="shared" si="16"/>
        <v/>
      </c>
      <c r="F88" s="23" t="str">
        <f t="shared" si="17"/>
        <v/>
      </c>
      <c r="G88" s="23" t="str">
        <f t="shared" si="18"/>
        <v/>
      </c>
      <c r="H88" s="23" t="str">
        <f t="shared" si="19"/>
        <v/>
      </c>
      <c r="I88" s="23" t="str">
        <f t="shared" si="15"/>
        <v/>
      </c>
      <c r="J88" s="23" t="str">
        <f t="shared" si="15"/>
        <v/>
      </c>
      <c r="K88" s="23" t="str">
        <f t="shared" si="15"/>
        <v/>
      </c>
      <c r="L88" s="23"/>
      <c r="M88" s="23" cm="1">
        <f t="array" aca="1" ref="M88" ca="1">IF($I88="",0,INDIRECT(ADDRESS($I88,COLUMN(AA$1))))+IF($J88="",0,INDIRECT(ADDRESS($J88,COLUMN(AA$1)))+AA$14)+IF($K88="",0,INDIRECT(ADDRESS($K88,COLUMN(AA$1))))</f>
        <v>0</v>
      </c>
      <c r="N88" s="23" cm="1">
        <f t="array" aca="1" ref="N88" ca="1">IF($I88="",0,INDIRECT(ADDRESS($I88,COLUMN(AB$1))))+IF($J88="",0,INDIRECT(ADDRESS($J88,COLUMN(AB$1)))+AB$14)+IF($K88="",0,INDIRECT(ADDRESS($K88,COLUMN(AB$1))))</f>
        <v>0</v>
      </c>
      <c r="O88" s="23" cm="1">
        <f t="array" aca="1" ref="O88" ca="1">IF($I88="",0,INDIRECT(ADDRESS($I88,COLUMN(AC$1))))+IF($J88="",0,INDIRECT(ADDRESS($J88,COLUMN(AC$1)))+AC$14)+IF($K88="",0,INDIRECT(ADDRESS($K88,COLUMN(AC$1))))</f>
        <v>0</v>
      </c>
      <c r="P88" s="23" cm="1">
        <f t="array" aca="1" ref="P88" ca="1">IF($I88="",0,INDIRECT(ADDRESS($I88,COLUMN(AD$1))))+IF($J88="",0,INDIRECT(ADDRESS($J88,COLUMN(AD$1)))+AD$14)+IF($K88="",0,INDIRECT(ADDRESS($K88,COLUMN(AD$1))))</f>
        <v>0</v>
      </c>
      <c r="Q88" s="23" cm="1">
        <f t="array" aca="1" ref="Q88" ca="1">IF($I88="",0,INDIRECT(ADDRESS($I88,COLUMN(AE$1))))+IF($J88="",0,INDIRECT(ADDRESS($J88,COLUMN(AE$1)))+AE$14)+IF($K88="",0,INDIRECT(ADDRESS($K88,COLUMN(AE$1))))</f>
        <v>0</v>
      </c>
      <c r="R88" s="23" cm="1">
        <f t="array" aca="1" ref="R88" ca="1">IF($I88="",0,INDIRECT(ADDRESS($I88,COLUMN(AF$1))))+IF($J88="",0,INDIRECT(ADDRESS($J88,COLUMN(AF$1)))+AF$14)+IF($K88="",0,INDIRECT(ADDRESS($K88,COLUMN(AF$1))))</f>
        <v>0</v>
      </c>
      <c r="S88" s="1" t="str">
        <f t="shared" si="20"/>
        <v/>
      </c>
    </row>
    <row r="89" spans="1:19" x14ac:dyDescent="0.25">
      <c r="A89" s="1" t="str">
        <f t="shared" si="21"/>
        <v/>
      </c>
      <c r="B89" s="1">
        <v>83</v>
      </c>
      <c r="C89" s="1" t="str">
        <f t="shared" si="16"/>
        <v/>
      </c>
      <c r="F89" s="23" t="str">
        <f t="shared" si="17"/>
        <v/>
      </c>
      <c r="G89" s="23" t="str">
        <f t="shared" si="18"/>
        <v/>
      </c>
      <c r="H89" s="23" t="str">
        <f t="shared" si="19"/>
        <v/>
      </c>
      <c r="I89" s="23" t="str">
        <f t="shared" si="15"/>
        <v/>
      </c>
      <c r="J89" s="23" t="str">
        <f t="shared" si="15"/>
        <v/>
      </c>
      <c r="K89" s="23" t="str">
        <f t="shared" si="15"/>
        <v/>
      </c>
      <c r="L89" s="23"/>
      <c r="M89" s="23" cm="1">
        <f t="array" aca="1" ref="M89" ca="1">IF($I89="",0,INDIRECT(ADDRESS($I89,COLUMN(AA$1))))+IF($J89="",0,INDIRECT(ADDRESS($J89,COLUMN(AA$1)))+AA$14)+IF($K89="",0,INDIRECT(ADDRESS($K89,COLUMN(AA$1))))</f>
        <v>0</v>
      </c>
      <c r="N89" s="23" cm="1">
        <f t="array" aca="1" ref="N89" ca="1">IF($I89="",0,INDIRECT(ADDRESS($I89,COLUMN(AB$1))))+IF($J89="",0,INDIRECT(ADDRESS($J89,COLUMN(AB$1)))+AB$14)+IF($K89="",0,INDIRECT(ADDRESS($K89,COLUMN(AB$1))))</f>
        <v>0</v>
      </c>
      <c r="O89" s="23" cm="1">
        <f t="array" aca="1" ref="O89" ca="1">IF($I89="",0,INDIRECT(ADDRESS($I89,COLUMN(AC$1))))+IF($J89="",0,INDIRECT(ADDRESS($J89,COLUMN(AC$1)))+AC$14)+IF($K89="",0,INDIRECT(ADDRESS($K89,COLUMN(AC$1))))</f>
        <v>0</v>
      </c>
      <c r="P89" s="23" cm="1">
        <f t="array" aca="1" ref="P89" ca="1">IF($I89="",0,INDIRECT(ADDRESS($I89,COLUMN(AD$1))))+IF($J89="",0,INDIRECT(ADDRESS($J89,COLUMN(AD$1)))+AD$14)+IF($K89="",0,INDIRECT(ADDRESS($K89,COLUMN(AD$1))))</f>
        <v>0</v>
      </c>
      <c r="Q89" s="23" cm="1">
        <f t="array" aca="1" ref="Q89" ca="1">IF($I89="",0,INDIRECT(ADDRESS($I89,COLUMN(AE$1))))+IF($J89="",0,INDIRECT(ADDRESS($J89,COLUMN(AE$1)))+AE$14)+IF($K89="",0,INDIRECT(ADDRESS($K89,COLUMN(AE$1))))</f>
        <v>0</v>
      </c>
      <c r="R89" s="23" cm="1">
        <f t="array" aca="1" ref="R89" ca="1">IF($I89="",0,INDIRECT(ADDRESS($I89,COLUMN(AF$1))))+IF($J89="",0,INDIRECT(ADDRESS($J89,COLUMN(AF$1)))+AF$14)+IF($K89="",0,INDIRECT(ADDRESS($K89,COLUMN(AF$1))))</f>
        <v>0</v>
      </c>
      <c r="S89" s="1" t="str">
        <f t="shared" si="20"/>
        <v/>
      </c>
    </row>
    <row r="90" spans="1:19" x14ac:dyDescent="0.25">
      <c r="A90" s="1" t="str">
        <f t="shared" si="21"/>
        <v/>
      </c>
      <c r="B90" s="31">
        <v>84</v>
      </c>
      <c r="C90" s="1" t="str">
        <f t="shared" si="16"/>
        <v/>
      </c>
      <c r="F90" s="23" t="str">
        <f t="shared" si="17"/>
        <v/>
      </c>
      <c r="G90" s="23" t="str">
        <f t="shared" si="18"/>
        <v/>
      </c>
      <c r="H90" s="23" t="str">
        <f t="shared" si="19"/>
        <v/>
      </c>
      <c r="I90" s="23" t="str">
        <f t="shared" si="15"/>
        <v/>
      </c>
      <c r="J90" s="23" t="str">
        <f t="shared" si="15"/>
        <v/>
      </c>
      <c r="K90" s="23" t="str">
        <f t="shared" si="15"/>
        <v/>
      </c>
      <c r="L90" s="23"/>
      <c r="M90" s="23" cm="1">
        <f t="array" aca="1" ref="M90" ca="1">IF($I90="",0,INDIRECT(ADDRESS($I90,COLUMN(AA$1))))+IF($J90="",0,INDIRECT(ADDRESS($J90,COLUMN(AA$1)))+AA$14)+IF($K90="",0,INDIRECT(ADDRESS($K90,COLUMN(AA$1))))</f>
        <v>0</v>
      </c>
      <c r="N90" s="23" cm="1">
        <f t="array" aca="1" ref="N90" ca="1">IF($I90="",0,INDIRECT(ADDRESS($I90,COLUMN(AB$1))))+IF($J90="",0,INDIRECT(ADDRESS($J90,COLUMN(AB$1)))+AB$14)+IF($K90="",0,INDIRECT(ADDRESS($K90,COLUMN(AB$1))))</f>
        <v>0</v>
      </c>
      <c r="O90" s="23" cm="1">
        <f t="array" aca="1" ref="O90" ca="1">IF($I90="",0,INDIRECT(ADDRESS($I90,COLUMN(AC$1))))+IF($J90="",0,INDIRECT(ADDRESS($J90,COLUMN(AC$1)))+AC$14)+IF($K90="",0,INDIRECT(ADDRESS($K90,COLUMN(AC$1))))</f>
        <v>0</v>
      </c>
      <c r="P90" s="23" cm="1">
        <f t="array" aca="1" ref="P90" ca="1">IF($I90="",0,INDIRECT(ADDRESS($I90,COLUMN(AD$1))))+IF($J90="",0,INDIRECT(ADDRESS($J90,COLUMN(AD$1)))+AD$14)+IF($K90="",0,INDIRECT(ADDRESS($K90,COLUMN(AD$1))))</f>
        <v>0</v>
      </c>
      <c r="Q90" s="23" cm="1">
        <f t="array" aca="1" ref="Q90" ca="1">IF($I90="",0,INDIRECT(ADDRESS($I90,COLUMN(AE$1))))+IF($J90="",0,INDIRECT(ADDRESS($J90,COLUMN(AE$1)))+AE$14)+IF($K90="",0,INDIRECT(ADDRESS($K90,COLUMN(AE$1))))</f>
        <v>0</v>
      </c>
      <c r="R90" s="23" cm="1">
        <f t="array" aca="1" ref="R90" ca="1">IF($I90="",0,INDIRECT(ADDRESS($I90,COLUMN(AF$1))))+IF($J90="",0,INDIRECT(ADDRESS($J90,COLUMN(AF$1)))+AF$14)+IF($K90="",0,INDIRECT(ADDRESS($K90,COLUMN(AF$1))))</f>
        <v>0</v>
      </c>
      <c r="S90" s="1" t="str">
        <f t="shared" si="20"/>
        <v/>
      </c>
    </row>
    <row r="91" spans="1:19" x14ac:dyDescent="0.25">
      <c r="A91" s="1" t="str">
        <f t="shared" si="21"/>
        <v/>
      </c>
      <c r="B91" s="1">
        <v>85</v>
      </c>
      <c r="C91" s="1" t="str">
        <f t="shared" si="16"/>
        <v/>
      </c>
      <c r="F91" s="23" t="str">
        <f t="shared" si="17"/>
        <v/>
      </c>
      <c r="G91" s="23" t="str">
        <f t="shared" si="18"/>
        <v/>
      </c>
      <c r="H91" s="23" t="str">
        <f t="shared" si="19"/>
        <v/>
      </c>
      <c r="I91" s="23" t="str">
        <f t="shared" si="15"/>
        <v/>
      </c>
      <c r="J91" s="23" t="str">
        <f t="shared" si="15"/>
        <v/>
      </c>
      <c r="K91" s="23" t="str">
        <f t="shared" si="15"/>
        <v/>
      </c>
      <c r="L91" s="23"/>
      <c r="M91" s="23" cm="1">
        <f t="array" aca="1" ref="M91" ca="1">IF($I91="",0,INDIRECT(ADDRESS($I91,COLUMN(AA$1))))+IF($J91="",0,INDIRECT(ADDRESS($J91,COLUMN(AA$1)))+AA$14)+IF($K91="",0,INDIRECT(ADDRESS($K91,COLUMN(AA$1))))</f>
        <v>0</v>
      </c>
      <c r="N91" s="23" cm="1">
        <f t="array" aca="1" ref="N91" ca="1">IF($I91="",0,INDIRECT(ADDRESS($I91,COLUMN(AB$1))))+IF($J91="",0,INDIRECT(ADDRESS($J91,COLUMN(AB$1)))+AB$14)+IF($K91="",0,INDIRECT(ADDRESS($K91,COLUMN(AB$1))))</f>
        <v>0</v>
      </c>
      <c r="O91" s="23" cm="1">
        <f t="array" aca="1" ref="O91" ca="1">IF($I91="",0,INDIRECT(ADDRESS($I91,COLUMN(AC$1))))+IF($J91="",0,INDIRECT(ADDRESS($J91,COLUMN(AC$1)))+AC$14)+IF($K91="",0,INDIRECT(ADDRESS($K91,COLUMN(AC$1))))</f>
        <v>0</v>
      </c>
      <c r="P91" s="23" cm="1">
        <f t="array" aca="1" ref="P91" ca="1">IF($I91="",0,INDIRECT(ADDRESS($I91,COLUMN(AD$1))))+IF($J91="",0,INDIRECT(ADDRESS($J91,COLUMN(AD$1)))+AD$14)+IF($K91="",0,INDIRECT(ADDRESS($K91,COLUMN(AD$1))))</f>
        <v>0</v>
      </c>
      <c r="Q91" s="23" cm="1">
        <f t="array" aca="1" ref="Q91" ca="1">IF($I91="",0,INDIRECT(ADDRESS($I91,COLUMN(AE$1))))+IF($J91="",0,INDIRECT(ADDRESS($J91,COLUMN(AE$1)))+AE$14)+IF($K91="",0,INDIRECT(ADDRESS($K91,COLUMN(AE$1))))</f>
        <v>0</v>
      </c>
      <c r="R91" s="23" cm="1">
        <f t="array" aca="1" ref="R91" ca="1">IF($I91="",0,INDIRECT(ADDRESS($I91,COLUMN(AF$1))))+IF($J91="",0,INDIRECT(ADDRESS($J91,COLUMN(AF$1)))+AF$14)+IF($K91="",0,INDIRECT(ADDRESS($K91,COLUMN(AF$1))))</f>
        <v>0</v>
      </c>
      <c r="S91" s="1" t="str">
        <f t="shared" si="20"/>
        <v/>
      </c>
    </row>
    <row r="92" spans="1:19" x14ac:dyDescent="0.25">
      <c r="B92" s="31">
        <v>86</v>
      </c>
      <c r="C92" s="1" t="str">
        <f t="shared" si="16"/>
        <v/>
      </c>
      <c r="F92" s="23" t="str">
        <f t="shared" si="17"/>
        <v/>
      </c>
      <c r="G92" s="23" t="str">
        <f t="shared" si="18"/>
        <v/>
      </c>
      <c r="H92" s="23" t="str">
        <f t="shared" si="19"/>
        <v/>
      </c>
      <c r="I92" s="23" t="str">
        <f t="shared" si="15"/>
        <v/>
      </c>
      <c r="J92" s="23" t="str">
        <f t="shared" si="15"/>
        <v/>
      </c>
      <c r="K92" s="23" t="str">
        <f t="shared" si="15"/>
        <v/>
      </c>
      <c r="L92" s="23"/>
      <c r="M92" s="23" cm="1">
        <f t="array" aca="1" ref="M92" ca="1">IF($I92="",0,INDIRECT(ADDRESS($I92,COLUMN(AA$1))))+IF($J92="",0,INDIRECT(ADDRESS($J92,COLUMN(AA$1)))+AA$14)+IF($K92="",0,INDIRECT(ADDRESS($K92,COLUMN(AA$1))))</f>
        <v>0</v>
      </c>
      <c r="N92" s="23" cm="1">
        <f t="array" aca="1" ref="N92" ca="1">IF($I92="",0,INDIRECT(ADDRESS($I92,COLUMN(AB$1))))+IF($J92="",0,INDIRECT(ADDRESS($J92,COLUMN(AB$1)))+AB$14)+IF($K92="",0,INDIRECT(ADDRESS($K92,COLUMN(AB$1))))</f>
        <v>0</v>
      </c>
      <c r="O92" s="23" cm="1">
        <f t="array" aca="1" ref="O92" ca="1">IF($I92="",0,INDIRECT(ADDRESS($I92,COLUMN(AC$1))))+IF($J92="",0,INDIRECT(ADDRESS($J92,COLUMN(AC$1)))+AC$14)+IF($K92="",0,INDIRECT(ADDRESS($K92,COLUMN(AC$1))))</f>
        <v>0</v>
      </c>
      <c r="P92" s="23" cm="1">
        <f t="array" aca="1" ref="P92" ca="1">IF($I92="",0,INDIRECT(ADDRESS($I92,COLUMN(AD$1))))+IF($J92="",0,INDIRECT(ADDRESS($J92,COLUMN(AD$1)))+AD$14)+IF($K92="",0,INDIRECT(ADDRESS($K92,COLUMN(AD$1))))</f>
        <v>0</v>
      </c>
      <c r="Q92" s="23" cm="1">
        <f t="array" aca="1" ref="Q92" ca="1">IF($I92="",0,INDIRECT(ADDRESS($I92,COLUMN(AE$1))))+IF($J92="",0,INDIRECT(ADDRESS($J92,COLUMN(AE$1)))+AE$14)+IF($K92="",0,INDIRECT(ADDRESS($K92,COLUMN(AE$1))))</f>
        <v>0</v>
      </c>
      <c r="R92" s="23" cm="1">
        <f t="array" aca="1" ref="R92" ca="1">IF($I92="",0,INDIRECT(ADDRESS($I92,COLUMN(AF$1))))+IF($J92="",0,INDIRECT(ADDRESS($J92,COLUMN(AF$1)))+AF$14)+IF($K92="",0,INDIRECT(ADDRESS($K92,COLUMN(AF$1))))</f>
        <v>0</v>
      </c>
      <c r="S92" s="1" t="str">
        <f t="shared" si="20"/>
        <v/>
      </c>
    </row>
    <row r="93" spans="1:19" x14ac:dyDescent="0.25">
      <c r="B93" s="1">
        <v>87</v>
      </c>
      <c r="C93" s="1" t="str">
        <f t="shared" si="16"/>
        <v/>
      </c>
      <c r="F93" s="23" t="str">
        <f t="shared" si="17"/>
        <v/>
      </c>
      <c r="G93" s="23" t="str">
        <f t="shared" si="18"/>
        <v/>
      </c>
      <c r="H93" s="23" t="str">
        <f t="shared" si="19"/>
        <v/>
      </c>
      <c r="I93" s="23" t="str">
        <f t="shared" si="15"/>
        <v/>
      </c>
      <c r="J93" s="23" t="str">
        <f t="shared" si="15"/>
        <v/>
      </c>
      <c r="K93" s="23" t="str">
        <f t="shared" si="15"/>
        <v/>
      </c>
      <c r="L93" s="23"/>
      <c r="M93" s="23" cm="1">
        <f t="array" aca="1" ref="M93" ca="1">IF($I93="",0,INDIRECT(ADDRESS($I93,COLUMN(AA$1))))+IF($J93="",0,INDIRECT(ADDRESS($J93,COLUMN(AA$1)))+AA$14)+IF($K93="",0,INDIRECT(ADDRESS($K93,COLUMN(AA$1))))</f>
        <v>0</v>
      </c>
      <c r="N93" s="23" cm="1">
        <f t="array" aca="1" ref="N93" ca="1">IF($I93="",0,INDIRECT(ADDRESS($I93,COLUMN(AB$1))))+IF($J93="",0,INDIRECT(ADDRESS($J93,COLUMN(AB$1)))+AB$14)+IF($K93="",0,INDIRECT(ADDRESS($K93,COLUMN(AB$1))))</f>
        <v>0</v>
      </c>
      <c r="O93" s="23" cm="1">
        <f t="array" aca="1" ref="O93" ca="1">IF($I93="",0,INDIRECT(ADDRESS($I93,COLUMN(AC$1))))+IF($J93="",0,INDIRECT(ADDRESS($J93,COLUMN(AC$1)))+AC$14)+IF($K93="",0,INDIRECT(ADDRESS($K93,COLUMN(AC$1))))</f>
        <v>0</v>
      </c>
      <c r="P93" s="23" cm="1">
        <f t="array" aca="1" ref="P93" ca="1">IF($I93="",0,INDIRECT(ADDRESS($I93,COLUMN(AD$1))))+IF($J93="",0,INDIRECT(ADDRESS($J93,COLUMN(AD$1)))+AD$14)+IF($K93="",0,INDIRECT(ADDRESS($K93,COLUMN(AD$1))))</f>
        <v>0</v>
      </c>
      <c r="Q93" s="23" cm="1">
        <f t="array" aca="1" ref="Q93" ca="1">IF($I93="",0,INDIRECT(ADDRESS($I93,COLUMN(AE$1))))+IF($J93="",0,INDIRECT(ADDRESS($J93,COLUMN(AE$1)))+AE$14)+IF($K93="",0,INDIRECT(ADDRESS($K93,COLUMN(AE$1))))</f>
        <v>0</v>
      </c>
      <c r="R93" s="23" cm="1">
        <f t="array" aca="1" ref="R93" ca="1">IF($I93="",0,INDIRECT(ADDRESS($I93,COLUMN(AF$1))))+IF($J93="",0,INDIRECT(ADDRESS($J93,COLUMN(AF$1)))+AF$14)+IF($K93="",0,INDIRECT(ADDRESS($K93,COLUMN(AF$1))))</f>
        <v>0</v>
      </c>
      <c r="S93" s="1" t="str">
        <f t="shared" si="20"/>
        <v/>
      </c>
    </row>
    <row r="94" spans="1:19" x14ac:dyDescent="0.25">
      <c r="B94" s="31">
        <v>88</v>
      </c>
      <c r="C94" s="1" t="str">
        <f t="shared" si="16"/>
        <v/>
      </c>
      <c r="F94" s="23" t="str">
        <f t="shared" si="17"/>
        <v/>
      </c>
      <c r="G94" s="23" t="str">
        <f t="shared" si="18"/>
        <v/>
      </c>
      <c r="H94" s="23" t="str">
        <f t="shared" si="19"/>
        <v/>
      </c>
      <c r="I94" s="23" t="str">
        <f t="shared" si="15"/>
        <v/>
      </c>
      <c r="J94" s="23" t="str">
        <f t="shared" si="15"/>
        <v/>
      </c>
      <c r="K94" s="23" t="str">
        <f t="shared" si="15"/>
        <v/>
      </c>
      <c r="L94" s="23"/>
      <c r="M94" s="23" cm="1">
        <f t="array" aca="1" ref="M94" ca="1">IF($I94="",0,INDIRECT(ADDRESS($I94,COLUMN(AA$1))))+IF($J94="",0,INDIRECT(ADDRESS($J94,COLUMN(AA$1)))+AA$14)+IF($K94="",0,INDIRECT(ADDRESS($K94,COLUMN(AA$1))))</f>
        <v>0</v>
      </c>
      <c r="N94" s="23" cm="1">
        <f t="array" aca="1" ref="N94" ca="1">IF($I94="",0,INDIRECT(ADDRESS($I94,COLUMN(AB$1))))+IF($J94="",0,INDIRECT(ADDRESS($J94,COLUMN(AB$1)))+AB$14)+IF($K94="",0,INDIRECT(ADDRESS($K94,COLUMN(AB$1))))</f>
        <v>0</v>
      </c>
      <c r="O94" s="23" cm="1">
        <f t="array" aca="1" ref="O94" ca="1">IF($I94="",0,INDIRECT(ADDRESS($I94,COLUMN(AC$1))))+IF($J94="",0,INDIRECT(ADDRESS($J94,COLUMN(AC$1)))+AC$14)+IF($K94="",0,INDIRECT(ADDRESS($K94,COLUMN(AC$1))))</f>
        <v>0</v>
      </c>
      <c r="P94" s="23" cm="1">
        <f t="array" aca="1" ref="P94" ca="1">IF($I94="",0,INDIRECT(ADDRESS($I94,COLUMN(AD$1))))+IF($J94="",0,INDIRECT(ADDRESS($J94,COLUMN(AD$1)))+AD$14)+IF($K94="",0,INDIRECT(ADDRESS($K94,COLUMN(AD$1))))</f>
        <v>0</v>
      </c>
      <c r="Q94" s="23" cm="1">
        <f t="array" aca="1" ref="Q94" ca="1">IF($I94="",0,INDIRECT(ADDRESS($I94,COLUMN(AE$1))))+IF($J94="",0,INDIRECT(ADDRESS($J94,COLUMN(AE$1)))+AE$14)+IF($K94="",0,INDIRECT(ADDRESS($K94,COLUMN(AE$1))))</f>
        <v>0</v>
      </c>
      <c r="R94" s="23" cm="1">
        <f t="array" aca="1" ref="R94" ca="1">IF($I94="",0,INDIRECT(ADDRESS($I94,COLUMN(AF$1))))+IF($J94="",0,INDIRECT(ADDRESS($J94,COLUMN(AF$1)))+AF$14)+IF($K94="",0,INDIRECT(ADDRESS($K94,COLUMN(AF$1))))</f>
        <v>0</v>
      </c>
      <c r="S94" s="1" t="str">
        <f t="shared" si="20"/>
        <v/>
      </c>
    </row>
    <row r="95" spans="1:19" x14ac:dyDescent="0.25">
      <c r="B95" s="1">
        <v>89</v>
      </c>
      <c r="C95" s="1" t="str">
        <f t="shared" si="16"/>
        <v/>
      </c>
      <c r="F95" s="23" t="str">
        <f t="shared" si="17"/>
        <v/>
      </c>
      <c r="G95" s="23" t="str">
        <f t="shared" si="18"/>
        <v/>
      </c>
      <c r="H95" s="23" t="str">
        <f t="shared" si="19"/>
        <v/>
      </c>
      <c r="I95" s="23" t="str">
        <f t="shared" si="15"/>
        <v/>
      </c>
      <c r="J95" s="23" t="str">
        <f t="shared" si="15"/>
        <v/>
      </c>
      <c r="K95" s="23" t="str">
        <f t="shared" si="15"/>
        <v/>
      </c>
      <c r="L95" s="23"/>
      <c r="M95" s="23" cm="1">
        <f t="array" aca="1" ref="M95" ca="1">IF($I95="",0,INDIRECT(ADDRESS($I95,COLUMN(AA$1))))+IF($J95="",0,INDIRECT(ADDRESS($J95,COLUMN(AA$1)))+AA$14)+IF($K95="",0,INDIRECT(ADDRESS($K95,COLUMN(AA$1))))</f>
        <v>0</v>
      </c>
      <c r="N95" s="23" cm="1">
        <f t="array" aca="1" ref="N95" ca="1">IF($I95="",0,INDIRECT(ADDRESS($I95,COLUMN(AB$1))))+IF($J95="",0,INDIRECT(ADDRESS($J95,COLUMN(AB$1)))+AB$14)+IF($K95="",0,INDIRECT(ADDRESS($K95,COLUMN(AB$1))))</f>
        <v>0</v>
      </c>
      <c r="O95" s="23" cm="1">
        <f t="array" aca="1" ref="O95" ca="1">IF($I95="",0,INDIRECT(ADDRESS($I95,COLUMN(AC$1))))+IF($J95="",0,INDIRECT(ADDRESS($J95,COLUMN(AC$1)))+AC$14)+IF($K95="",0,INDIRECT(ADDRESS($K95,COLUMN(AC$1))))</f>
        <v>0</v>
      </c>
      <c r="P95" s="23" cm="1">
        <f t="array" aca="1" ref="P95" ca="1">IF($I95="",0,INDIRECT(ADDRESS($I95,COLUMN(AD$1))))+IF($J95="",0,INDIRECT(ADDRESS($J95,COLUMN(AD$1)))+AD$14)+IF($K95="",0,INDIRECT(ADDRESS($K95,COLUMN(AD$1))))</f>
        <v>0</v>
      </c>
      <c r="Q95" s="23" cm="1">
        <f t="array" aca="1" ref="Q95" ca="1">IF($I95="",0,INDIRECT(ADDRESS($I95,COLUMN(AE$1))))+IF($J95="",0,INDIRECT(ADDRESS($J95,COLUMN(AE$1)))+AE$14)+IF($K95="",0,INDIRECT(ADDRESS($K95,COLUMN(AE$1))))</f>
        <v>0</v>
      </c>
      <c r="R95" s="23" cm="1">
        <f t="array" aca="1" ref="R95" ca="1">IF($I95="",0,INDIRECT(ADDRESS($I95,COLUMN(AF$1))))+IF($J95="",0,INDIRECT(ADDRESS($J95,COLUMN(AF$1)))+AF$14)+IF($K95="",0,INDIRECT(ADDRESS($K95,COLUMN(AF$1))))</f>
        <v>0</v>
      </c>
      <c r="S95" s="1" t="str">
        <f t="shared" si="20"/>
        <v/>
      </c>
    </row>
    <row r="96" spans="1:19" x14ac:dyDescent="0.25">
      <c r="B96" s="31">
        <v>90</v>
      </c>
      <c r="C96" s="1" t="str">
        <f t="shared" si="16"/>
        <v/>
      </c>
      <c r="F96" s="23" t="str">
        <f t="shared" si="17"/>
        <v/>
      </c>
      <c r="G96" s="23" t="str">
        <f t="shared" si="18"/>
        <v/>
      </c>
      <c r="H96" s="23" t="str">
        <f t="shared" si="19"/>
        <v/>
      </c>
      <c r="I96" s="23" t="str">
        <f t="shared" si="15"/>
        <v/>
      </c>
      <c r="J96" s="23" t="str">
        <f t="shared" si="15"/>
        <v/>
      </c>
      <c r="K96" s="23" t="str">
        <f t="shared" si="15"/>
        <v/>
      </c>
      <c r="L96" s="23"/>
      <c r="M96" s="23" cm="1">
        <f t="array" aca="1" ref="M96" ca="1">IF($I96="",0,INDIRECT(ADDRESS($I96,COLUMN(AA$1))))+IF($J96="",0,INDIRECT(ADDRESS($J96,COLUMN(AA$1)))+AA$14)+IF($K96="",0,INDIRECT(ADDRESS($K96,COLUMN(AA$1))))</f>
        <v>0</v>
      </c>
      <c r="N96" s="23" cm="1">
        <f t="array" aca="1" ref="N96" ca="1">IF($I96="",0,INDIRECT(ADDRESS($I96,COLUMN(AB$1))))+IF($J96="",0,INDIRECT(ADDRESS($J96,COLUMN(AB$1)))+AB$14)+IF($K96="",0,INDIRECT(ADDRESS($K96,COLUMN(AB$1))))</f>
        <v>0</v>
      </c>
      <c r="O96" s="23" cm="1">
        <f t="array" aca="1" ref="O96" ca="1">IF($I96="",0,INDIRECT(ADDRESS($I96,COLUMN(AC$1))))+IF($J96="",0,INDIRECT(ADDRESS($J96,COLUMN(AC$1)))+AC$14)+IF($K96="",0,INDIRECT(ADDRESS($K96,COLUMN(AC$1))))</f>
        <v>0</v>
      </c>
      <c r="P96" s="23" cm="1">
        <f t="array" aca="1" ref="P96" ca="1">IF($I96="",0,INDIRECT(ADDRESS($I96,COLUMN(AD$1))))+IF($J96="",0,INDIRECT(ADDRESS($J96,COLUMN(AD$1)))+AD$14)+IF($K96="",0,INDIRECT(ADDRESS($K96,COLUMN(AD$1))))</f>
        <v>0</v>
      </c>
      <c r="Q96" s="23" cm="1">
        <f t="array" aca="1" ref="Q96" ca="1">IF($I96="",0,INDIRECT(ADDRESS($I96,COLUMN(AE$1))))+IF($J96="",0,INDIRECT(ADDRESS($J96,COLUMN(AE$1)))+AE$14)+IF($K96="",0,INDIRECT(ADDRESS($K96,COLUMN(AE$1))))</f>
        <v>0</v>
      </c>
      <c r="R96" s="23" cm="1">
        <f t="array" aca="1" ref="R96" ca="1">IF($I96="",0,INDIRECT(ADDRESS($I96,COLUMN(AF$1))))+IF($J96="",0,INDIRECT(ADDRESS($J96,COLUMN(AF$1)))+AF$14)+IF($K96="",0,INDIRECT(ADDRESS($K96,COLUMN(AF$1))))</f>
        <v>0</v>
      </c>
      <c r="S96" s="1" t="str">
        <f t="shared" si="20"/>
        <v/>
      </c>
    </row>
    <row r="97" spans="2:19" x14ac:dyDescent="0.25">
      <c r="B97" s="1">
        <v>91</v>
      </c>
      <c r="C97" s="1" t="str">
        <f t="shared" si="16"/>
        <v/>
      </c>
      <c r="F97" s="23" t="str">
        <f t="shared" si="17"/>
        <v/>
      </c>
      <c r="G97" s="23" t="str">
        <f t="shared" si="18"/>
        <v/>
      </c>
      <c r="H97" s="23" t="str">
        <f t="shared" si="19"/>
        <v/>
      </c>
      <c r="I97" s="23" t="str">
        <f t="shared" si="15"/>
        <v/>
      </c>
      <c r="J97" s="23" t="str">
        <f t="shared" si="15"/>
        <v/>
      </c>
      <c r="K97" s="23" t="str">
        <f t="shared" si="15"/>
        <v/>
      </c>
      <c r="L97" s="23"/>
      <c r="M97" s="23" cm="1">
        <f t="array" aca="1" ref="M97" ca="1">IF($I97="",0,INDIRECT(ADDRESS($I97,COLUMN(AA$1))))+IF($J97="",0,INDIRECT(ADDRESS($J97,COLUMN(AA$1)))+AA$14)+IF($K97="",0,INDIRECT(ADDRESS($K97,COLUMN(AA$1))))</f>
        <v>0</v>
      </c>
      <c r="N97" s="23" cm="1">
        <f t="array" aca="1" ref="N97" ca="1">IF($I97="",0,INDIRECT(ADDRESS($I97,COLUMN(AB$1))))+IF($J97="",0,INDIRECT(ADDRESS($J97,COLUMN(AB$1)))+AB$14)+IF($K97="",0,INDIRECT(ADDRESS($K97,COLUMN(AB$1))))</f>
        <v>0</v>
      </c>
      <c r="O97" s="23" cm="1">
        <f t="array" aca="1" ref="O97" ca="1">IF($I97="",0,INDIRECT(ADDRESS($I97,COLUMN(AC$1))))+IF($J97="",0,INDIRECT(ADDRESS($J97,COLUMN(AC$1)))+AC$14)+IF($K97="",0,INDIRECT(ADDRESS($K97,COLUMN(AC$1))))</f>
        <v>0</v>
      </c>
      <c r="P97" s="23" cm="1">
        <f t="array" aca="1" ref="P97" ca="1">IF($I97="",0,INDIRECT(ADDRESS($I97,COLUMN(AD$1))))+IF($J97="",0,INDIRECT(ADDRESS($J97,COLUMN(AD$1)))+AD$14)+IF($K97="",0,INDIRECT(ADDRESS($K97,COLUMN(AD$1))))</f>
        <v>0</v>
      </c>
      <c r="Q97" s="23" cm="1">
        <f t="array" aca="1" ref="Q97" ca="1">IF($I97="",0,INDIRECT(ADDRESS($I97,COLUMN(AE$1))))+IF($J97="",0,INDIRECT(ADDRESS($J97,COLUMN(AE$1)))+AE$14)+IF($K97="",0,INDIRECT(ADDRESS($K97,COLUMN(AE$1))))</f>
        <v>0</v>
      </c>
      <c r="R97" s="23" cm="1">
        <f t="array" aca="1" ref="R97" ca="1">IF($I97="",0,INDIRECT(ADDRESS($I97,COLUMN(AF$1))))+IF($J97="",0,INDIRECT(ADDRESS($J97,COLUMN(AF$1)))+AF$14)+IF($K97="",0,INDIRECT(ADDRESS($K97,COLUMN(AF$1))))</f>
        <v>0</v>
      </c>
      <c r="S97" s="1" t="str">
        <f t="shared" si="20"/>
        <v/>
      </c>
    </row>
    <row r="98" spans="2:19" x14ac:dyDescent="0.25">
      <c r="B98" s="31">
        <v>92</v>
      </c>
      <c r="C98" s="1" t="str">
        <f t="shared" si="16"/>
        <v/>
      </c>
      <c r="F98" s="23" t="str">
        <f t="shared" si="17"/>
        <v/>
      </c>
      <c r="G98" s="23" t="str">
        <f t="shared" si="18"/>
        <v/>
      </c>
      <c r="H98" s="23" t="str">
        <f t="shared" si="19"/>
        <v/>
      </c>
      <c r="I98" s="23" t="str">
        <f t="shared" si="15"/>
        <v/>
      </c>
      <c r="J98" s="23" t="str">
        <f t="shared" si="15"/>
        <v/>
      </c>
      <c r="K98" s="23" t="str">
        <f t="shared" si="15"/>
        <v/>
      </c>
      <c r="L98" s="23"/>
      <c r="M98" s="23" cm="1">
        <f t="array" aca="1" ref="M98" ca="1">IF($I98="",0,INDIRECT(ADDRESS($I98,COLUMN(AA$1))))+IF($J98="",0,INDIRECT(ADDRESS($J98,COLUMN(AA$1)))+AA$14)+IF($K98="",0,INDIRECT(ADDRESS($K98,COLUMN(AA$1))))</f>
        <v>0</v>
      </c>
      <c r="N98" s="23" cm="1">
        <f t="array" aca="1" ref="N98" ca="1">IF($I98="",0,INDIRECT(ADDRESS($I98,COLUMN(AB$1))))+IF($J98="",0,INDIRECT(ADDRESS($J98,COLUMN(AB$1)))+AB$14)+IF($K98="",0,INDIRECT(ADDRESS($K98,COLUMN(AB$1))))</f>
        <v>0</v>
      </c>
      <c r="O98" s="23" cm="1">
        <f t="array" aca="1" ref="O98" ca="1">IF($I98="",0,INDIRECT(ADDRESS($I98,COLUMN(AC$1))))+IF($J98="",0,INDIRECT(ADDRESS($J98,COLUMN(AC$1)))+AC$14)+IF($K98="",0,INDIRECT(ADDRESS($K98,COLUMN(AC$1))))</f>
        <v>0</v>
      </c>
      <c r="P98" s="23" cm="1">
        <f t="array" aca="1" ref="P98" ca="1">IF($I98="",0,INDIRECT(ADDRESS($I98,COLUMN(AD$1))))+IF($J98="",0,INDIRECT(ADDRESS($J98,COLUMN(AD$1)))+AD$14)+IF($K98="",0,INDIRECT(ADDRESS($K98,COLUMN(AD$1))))</f>
        <v>0</v>
      </c>
      <c r="Q98" s="23" cm="1">
        <f t="array" aca="1" ref="Q98" ca="1">IF($I98="",0,INDIRECT(ADDRESS($I98,COLUMN(AE$1))))+IF($J98="",0,INDIRECT(ADDRESS($J98,COLUMN(AE$1)))+AE$14)+IF($K98="",0,INDIRECT(ADDRESS($K98,COLUMN(AE$1))))</f>
        <v>0</v>
      </c>
      <c r="R98" s="23" cm="1">
        <f t="array" aca="1" ref="R98" ca="1">IF($I98="",0,INDIRECT(ADDRESS($I98,COLUMN(AF$1))))+IF($J98="",0,INDIRECT(ADDRESS($J98,COLUMN(AF$1)))+AF$14)+IF($K98="",0,INDIRECT(ADDRESS($K98,COLUMN(AF$1))))</f>
        <v>0</v>
      </c>
      <c r="S98" s="1" t="str">
        <f t="shared" si="20"/>
        <v/>
      </c>
    </row>
    <row r="99" spans="2:19" x14ac:dyDescent="0.25">
      <c r="B99" s="1">
        <v>93</v>
      </c>
      <c r="C99" s="1" t="str">
        <f t="shared" si="16"/>
        <v/>
      </c>
      <c r="F99" s="23" t="str">
        <f t="shared" si="17"/>
        <v/>
      </c>
      <c r="G99" s="23" t="str">
        <f t="shared" si="18"/>
        <v/>
      </c>
      <c r="H99" s="23" t="str">
        <f t="shared" si="19"/>
        <v/>
      </c>
      <c r="I99" s="23" t="str">
        <f t="shared" si="15"/>
        <v/>
      </c>
      <c r="J99" s="23" t="str">
        <f t="shared" si="15"/>
        <v/>
      </c>
      <c r="K99" s="23" t="str">
        <f t="shared" si="15"/>
        <v/>
      </c>
      <c r="L99" s="23"/>
      <c r="M99" s="23" cm="1">
        <f t="array" aca="1" ref="M99" ca="1">IF($I99="",0,INDIRECT(ADDRESS($I99,COLUMN(AA$1))))+IF($J99="",0,INDIRECT(ADDRESS($J99,COLUMN(AA$1)))+AA$14)+IF($K99="",0,INDIRECT(ADDRESS($K99,COLUMN(AA$1))))</f>
        <v>0</v>
      </c>
      <c r="N99" s="23" cm="1">
        <f t="array" aca="1" ref="N99" ca="1">IF($I99="",0,INDIRECT(ADDRESS($I99,COLUMN(AB$1))))+IF($J99="",0,INDIRECT(ADDRESS($J99,COLUMN(AB$1)))+AB$14)+IF($K99="",0,INDIRECT(ADDRESS($K99,COLUMN(AB$1))))</f>
        <v>0</v>
      </c>
      <c r="O99" s="23" cm="1">
        <f t="array" aca="1" ref="O99" ca="1">IF($I99="",0,INDIRECT(ADDRESS($I99,COLUMN(AC$1))))+IF($J99="",0,INDIRECT(ADDRESS($J99,COLUMN(AC$1)))+AC$14)+IF($K99="",0,INDIRECT(ADDRESS($K99,COLUMN(AC$1))))</f>
        <v>0</v>
      </c>
      <c r="P99" s="23" cm="1">
        <f t="array" aca="1" ref="P99" ca="1">IF($I99="",0,INDIRECT(ADDRESS($I99,COLUMN(AD$1))))+IF($J99="",0,INDIRECT(ADDRESS($J99,COLUMN(AD$1)))+AD$14)+IF($K99="",0,INDIRECT(ADDRESS($K99,COLUMN(AD$1))))</f>
        <v>0</v>
      </c>
      <c r="Q99" s="23" cm="1">
        <f t="array" aca="1" ref="Q99" ca="1">IF($I99="",0,INDIRECT(ADDRESS($I99,COLUMN(AE$1))))+IF($J99="",0,INDIRECT(ADDRESS($J99,COLUMN(AE$1)))+AE$14)+IF($K99="",0,INDIRECT(ADDRESS($K99,COLUMN(AE$1))))</f>
        <v>0</v>
      </c>
      <c r="R99" s="23" cm="1">
        <f t="array" aca="1" ref="R99" ca="1">IF($I99="",0,INDIRECT(ADDRESS($I99,COLUMN(AF$1))))+IF($J99="",0,INDIRECT(ADDRESS($J99,COLUMN(AF$1)))+AF$14)+IF($K99="",0,INDIRECT(ADDRESS($K99,COLUMN(AF$1))))</f>
        <v>0</v>
      </c>
      <c r="S99" s="1" t="str">
        <f t="shared" si="20"/>
        <v/>
      </c>
    </row>
    <row r="100" spans="2:19" x14ac:dyDescent="0.25">
      <c r="B100" s="31">
        <v>94</v>
      </c>
      <c r="C100" s="1" t="str">
        <f t="shared" si="16"/>
        <v/>
      </c>
      <c r="F100" s="23" t="str">
        <f t="shared" si="17"/>
        <v/>
      </c>
      <c r="G100" s="23" t="str">
        <f t="shared" si="18"/>
        <v/>
      </c>
      <c r="H100" s="23" t="str">
        <f t="shared" si="19"/>
        <v/>
      </c>
      <c r="I100" s="23" t="str">
        <f t="shared" si="15"/>
        <v/>
      </c>
      <c r="J100" s="23" t="str">
        <f t="shared" si="15"/>
        <v/>
      </c>
      <c r="K100" s="23" t="str">
        <f t="shared" si="15"/>
        <v/>
      </c>
      <c r="L100" s="23"/>
      <c r="M100" s="23" cm="1">
        <f t="array" aca="1" ref="M100" ca="1">IF($I100="",0,INDIRECT(ADDRESS($I100,COLUMN(AA$1))))+IF($J100="",0,INDIRECT(ADDRESS($J100,COLUMN(AA$1)))+AA$14)+IF($K100="",0,INDIRECT(ADDRESS($K100,COLUMN(AA$1))))</f>
        <v>0</v>
      </c>
      <c r="N100" s="23" cm="1">
        <f t="array" aca="1" ref="N100" ca="1">IF($I100="",0,INDIRECT(ADDRESS($I100,COLUMN(AB$1))))+IF($J100="",0,INDIRECT(ADDRESS($J100,COLUMN(AB$1)))+AB$14)+IF($K100="",0,INDIRECT(ADDRESS($K100,COLUMN(AB$1))))</f>
        <v>0</v>
      </c>
      <c r="O100" s="23" cm="1">
        <f t="array" aca="1" ref="O100" ca="1">IF($I100="",0,INDIRECT(ADDRESS($I100,COLUMN(AC$1))))+IF($J100="",0,INDIRECT(ADDRESS($J100,COLUMN(AC$1)))+AC$14)+IF($K100="",0,INDIRECT(ADDRESS($K100,COLUMN(AC$1))))</f>
        <v>0</v>
      </c>
      <c r="P100" s="23" cm="1">
        <f t="array" aca="1" ref="P100" ca="1">IF($I100="",0,INDIRECT(ADDRESS($I100,COLUMN(AD$1))))+IF($J100="",0,INDIRECT(ADDRESS($J100,COLUMN(AD$1)))+AD$14)+IF($K100="",0,INDIRECT(ADDRESS($K100,COLUMN(AD$1))))</f>
        <v>0</v>
      </c>
      <c r="Q100" s="23" cm="1">
        <f t="array" aca="1" ref="Q100" ca="1">IF($I100="",0,INDIRECT(ADDRESS($I100,COLUMN(AE$1))))+IF($J100="",0,INDIRECT(ADDRESS($J100,COLUMN(AE$1)))+AE$14)+IF($K100="",0,INDIRECT(ADDRESS($K100,COLUMN(AE$1))))</f>
        <v>0</v>
      </c>
      <c r="R100" s="23" cm="1">
        <f t="array" aca="1" ref="R100" ca="1">IF($I100="",0,INDIRECT(ADDRESS($I100,COLUMN(AF$1))))+IF($J100="",0,INDIRECT(ADDRESS($J100,COLUMN(AF$1)))+AF$14)+IF($K100="",0,INDIRECT(ADDRESS($K100,COLUMN(AF$1))))</f>
        <v>0</v>
      </c>
      <c r="S100" s="1" t="str">
        <f t="shared" si="20"/>
        <v/>
      </c>
    </row>
    <row r="101" spans="2:19" x14ac:dyDescent="0.25">
      <c r="B101" s="1">
        <v>95</v>
      </c>
      <c r="C101" s="1" t="str">
        <f t="shared" si="16"/>
        <v/>
      </c>
      <c r="F101" s="23" t="str">
        <f t="shared" si="17"/>
        <v/>
      </c>
      <c r="G101" s="23" t="str">
        <f t="shared" si="18"/>
        <v/>
      </c>
      <c r="H101" s="23" t="str">
        <f t="shared" si="19"/>
        <v/>
      </c>
      <c r="I101" s="23" t="str">
        <f t="shared" si="15"/>
        <v/>
      </c>
      <c r="J101" s="23" t="str">
        <f t="shared" si="15"/>
        <v/>
      </c>
      <c r="K101" s="23" t="str">
        <f t="shared" si="15"/>
        <v/>
      </c>
      <c r="L101" s="23"/>
      <c r="M101" s="23" cm="1">
        <f t="array" aca="1" ref="M101" ca="1">IF($I101="",0,INDIRECT(ADDRESS($I101,COLUMN(AA$1))))+IF($J101="",0,INDIRECT(ADDRESS($J101,COLUMN(AA$1)))+AA$14)+IF($K101="",0,INDIRECT(ADDRESS($K101,COLUMN(AA$1))))</f>
        <v>0</v>
      </c>
      <c r="N101" s="23" cm="1">
        <f t="array" aca="1" ref="N101" ca="1">IF($I101="",0,INDIRECT(ADDRESS($I101,COLUMN(AB$1))))+IF($J101="",0,INDIRECT(ADDRESS($J101,COLUMN(AB$1)))+AB$14)+IF($K101="",0,INDIRECT(ADDRESS($K101,COLUMN(AB$1))))</f>
        <v>0</v>
      </c>
      <c r="O101" s="23" cm="1">
        <f t="array" aca="1" ref="O101" ca="1">IF($I101="",0,INDIRECT(ADDRESS($I101,COLUMN(AC$1))))+IF($J101="",0,INDIRECT(ADDRESS($J101,COLUMN(AC$1)))+AC$14)+IF($K101="",0,INDIRECT(ADDRESS($K101,COLUMN(AC$1))))</f>
        <v>0</v>
      </c>
      <c r="P101" s="23" cm="1">
        <f t="array" aca="1" ref="P101" ca="1">IF($I101="",0,INDIRECT(ADDRESS($I101,COLUMN(AD$1))))+IF($J101="",0,INDIRECT(ADDRESS($J101,COLUMN(AD$1)))+AD$14)+IF($K101="",0,INDIRECT(ADDRESS($K101,COLUMN(AD$1))))</f>
        <v>0</v>
      </c>
      <c r="Q101" s="23" cm="1">
        <f t="array" aca="1" ref="Q101" ca="1">IF($I101="",0,INDIRECT(ADDRESS($I101,COLUMN(AE$1))))+IF($J101="",0,INDIRECT(ADDRESS($J101,COLUMN(AE$1)))+AE$14)+IF($K101="",0,INDIRECT(ADDRESS($K101,COLUMN(AE$1))))</f>
        <v>0</v>
      </c>
      <c r="R101" s="23" cm="1">
        <f t="array" aca="1" ref="R101" ca="1">IF($I101="",0,INDIRECT(ADDRESS($I101,COLUMN(AF$1))))+IF($J101="",0,INDIRECT(ADDRESS($J101,COLUMN(AF$1)))+AF$14)+IF($K101="",0,INDIRECT(ADDRESS($K101,COLUMN(AF$1))))</f>
        <v>0</v>
      </c>
      <c r="S101" s="1" t="str">
        <f t="shared" si="20"/>
        <v/>
      </c>
    </row>
    <row r="102" spans="2:19" x14ac:dyDescent="0.25">
      <c r="B102" s="31">
        <v>96</v>
      </c>
      <c r="C102" s="1" t="str">
        <f t="shared" si="16"/>
        <v/>
      </c>
      <c r="F102" s="23" t="str">
        <f t="shared" si="17"/>
        <v/>
      </c>
      <c r="G102" s="23" t="str">
        <f t="shared" si="18"/>
        <v/>
      </c>
      <c r="H102" s="23" t="str">
        <f t="shared" si="19"/>
        <v/>
      </c>
      <c r="I102" s="23" t="str">
        <f t="shared" si="15"/>
        <v/>
      </c>
      <c r="J102" s="23" t="str">
        <f t="shared" si="15"/>
        <v/>
      </c>
      <c r="K102" s="23" t="str">
        <f t="shared" si="15"/>
        <v/>
      </c>
      <c r="L102" s="23"/>
      <c r="M102" s="23" cm="1">
        <f t="array" aca="1" ref="M102" ca="1">IF($I102="",0,INDIRECT(ADDRESS($I102,COLUMN(AA$1))))+IF($J102="",0,INDIRECT(ADDRESS($J102,COLUMN(AA$1)))+AA$14)+IF($K102="",0,INDIRECT(ADDRESS($K102,COLUMN(AA$1))))</f>
        <v>0</v>
      </c>
      <c r="N102" s="23" cm="1">
        <f t="array" aca="1" ref="N102" ca="1">IF($I102="",0,INDIRECT(ADDRESS($I102,COLUMN(AB$1))))+IF($J102="",0,INDIRECT(ADDRESS($J102,COLUMN(AB$1)))+AB$14)+IF($K102="",0,INDIRECT(ADDRESS($K102,COLUMN(AB$1))))</f>
        <v>0</v>
      </c>
      <c r="O102" s="23" cm="1">
        <f t="array" aca="1" ref="O102" ca="1">IF($I102="",0,INDIRECT(ADDRESS($I102,COLUMN(AC$1))))+IF($J102="",0,INDIRECT(ADDRESS($J102,COLUMN(AC$1)))+AC$14)+IF($K102="",0,INDIRECT(ADDRESS($K102,COLUMN(AC$1))))</f>
        <v>0</v>
      </c>
      <c r="P102" s="23" cm="1">
        <f t="array" aca="1" ref="P102" ca="1">IF($I102="",0,INDIRECT(ADDRESS($I102,COLUMN(AD$1))))+IF($J102="",0,INDIRECT(ADDRESS($J102,COLUMN(AD$1)))+AD$14)+IF($K102="",0,INDIRECT(ADDRESS($K102,COLUMN(AD$1))))</f>
        <v>0</v>
      </c>
      <c r="Q102" s="23" cm="1">
        <f t="array" aca="1" ref="Q102" ca="1">IF($I102="",0,INDIRECT(ADDRESS($I102,COLUMN(AE$1))))+IF($J102="",0,INDIRECT(ADDRESS($J102,COLUMN(AE$1)))+AE$14)+IF($K102="",0,INDIRECT(ADDRESS($K102,COLUMN(AE$1))))</f>
        <v>0</v>
      </c>
      <c r="R102" s="23" cm="1">
        <f t="array" aca="1" ref="R102" ca="1">IF($I102="",0,INDIRECT(ADDRESS($I102,COLUMN(AF$1))))+IF($J102="",0,INDIRECT(ADDRESS($J102,COLUMN(AF$1)))+AF$14)+IF($K102="",0,INDIRECT(ADDRESS($K102,COLUMN(AF$1))))</f>
        <v>0</v>
      </c>
      <c r="S102" s="1" t="str">
        <f t="shared" si="20"/>
        <v/>
      </c>
    </row>
    <row r="103" spans="2:19" x14ac:dyDescent="0.25">
      <c r="B103" s="1">
        <v>97</v>
      </c>
      <c r="C103" s="1" t="str">
        <f t="shared" si="16"/>
        <v/>
      </c>
      <c r="F103" s="23" t="str">
        <f t="shared" si="17"/>
        <v/>
      </c>
      <c r="G103" s="23" t="str">
        <f t="shared" si="18"/>
        <v/>
      </c>
      <c r="H103" s="23" t="str">
        <f t="shared" si="19"/>
        <v/>
      </c>
      <c r="I103" s="23" t="str">
        <f t="shared" si="15"/>
        <v/>
      </c>
      <c r="J103" s="23" t="str">
        <f t="shared" si="15"/>
        <v/>
      </c>
      <c r="K103" s="23" t="str">
        <f t="shared" si="15"/>
        <v/>
      </c>
      <c r="L103" s="23"/>
      <c r="M103" s="23" cm="1">
        <f t="array" aca="1" ref="M103" ca="1">IF($I103="",0,INDIRECT(ADDRESS($I103,COLUMN(AA$1))))+IF($J103="",0,INDIRECT(ADDRESS($J103,COLUMN(AA$1)))+AA$14)+IF($K103="",0,INDIRECT(ADDRESS($K103,COLUMN(AA$1))))</f>
        <v>0</v>
      </c>
      <c r="N103" s="23" cm="1">
        <f t="array" aca="1" ref="N103" ca="1">IF($I103="",0,INDIRECT(ADDRESS($I103,COLUMN(AB$1))))+IF($J103="",0,INDIRECT(ADDRESS($J103,COLUMN(AB$1)))+AB$14)+IF($K103="",0,INDIRECT(ADDRESS($K103,COLUMN(AB$1))))</f>
        <v>0</v>
      </c>
      <c r="O103" s="23" cm="1">
        <f t="array" aca="1" ref="O103" ca="1">IF($I103="",0,INDIRECT(ADDRESS($I103,COLUMN(AC$1))))+IF($J103="",0,INDIRECT(ADDRESS($J103,COLUMN(AC$1)))+AC$14)+IF($K103="",0,INDIRECT(ADDRESS($K103,COLUMN(AC$1))))</f>
        <v>0</v>
      </c>
      <c r="P103" s="23" cm="1">
        <f t="array" aca="1" ref="P103" ca="1">IF($I103="",0,INDIRECT(ADDRESS($I103,COLUMN(AD$1))))+IF($J103="",0,INDIRECT(ADDRESS($J103,COLUMN(AD$1)))+AD$14)+IF($K103="",0,INDIRECT(ADDRESS($K103,COLUMN(AD$1))))</f>
        <v>0</v>
      </c>
      <c r="Q103" s="23" cm="1">
        <f t="array" aca="1" ref="Q103" ca="1">IF($I103="",0,INDIRECT(ADDRESS($I103,COLUMN(AE$1))))+IF($J103="",0,INDIRECT(ADDRESS($J103,COLUMN(AE$1)))+AE$14)+IF($K103="",0,INDIRECT(ADDRESS($K103,COLUMN(AE$1))))</f>
        <v>0</v>
      </c>
      <c r="R103" s="23" cm="1">
        <f t="array" aca="1" ref="R103" ca="1">IF($I103="",0,INDIRECT(ADDRESS($I103,COLUMN(AF$1))))+IF($J103="",0,INDIRECT(ADDRESS($J103,COLUMN(AF$1)))+AF$14)+IF($K103="",0,INDIRECT(ADDRESS($K103,COLUMN(AF$1))))</f>
        <v>0</v>
      </c>
      <c r="S103" s="1" t="str">
        <f t="shared" si="20"/>
        <v/>
      </c>
    </row>
    <row r="104" spans="2:19" x14ac:dyDescent="0.25">
      <c r="B104" s="31">
        <v>98</v>
      </c>
      <c r="C104" s="1" t="str">
        <f t="shared" si="16"/>
        <v/>
      </c>
      <c r="F104" s="23" t="str">
        <f t="shared" si="17"/>
        <v/>
      </c>
      <c r="G104" s="23" t="str">
        <f t="shared" si="18"/>
        <v/>
      </c>
      <c r="H104" s="23" t="str">
        <f t="shared" si="19"/>
        <v/>
      </c>
      <c r="I104" s="23" t="str">
        <f t="shared" si="15"/>
        <v/>
      </c>
      <c r="J104" s="23" t="str">
        <f t="shared" si="15"/>
        <v/>
      </c>
      <c r="K104" s="23" t="str">
        <f t="shared" si="15"/>
        <v/>
      </c>
      <c r="L104" s="23"/>
      <c r="M104" s="23" cm="1">
        <f t="array" aca="1" ref="M104" ca="1">IF($I104="",0,INDIRECT(ADDRESS($I104,COLUMN(AA$1))))+IF($J104="",0,INDIRECT(ADDRESS($J104,COLUMN(AA$1)))+AA$14)+IF($K104="",0,INDIRECT(ADDRESS($K104,COLUMN(AA$1))))</f>
        <v>0</v>
      </c>
      <c r="N104" s="23" cm="1">
        <f t="array" aca="1" ref="N104" ca="1">IF($I104="",0,INDIRECT(ADDRESS($I104,COLUMN(AB$1))))+IF($J104="",0,INDIRECT(ADDRESS($J104,COLUMN(AB$1)))+AB$14)+IF($K104="",0,INDIRECT(ADDRESS($K104,COLUMN(AB$1))))</f>
        <v>0</v>
      </c>
      <c r="O104" s="23" cm="1">
        <f t="array" aca="1" ref="O104" ca="1">IF($I104="",0,INDIRECT(ADDRESS($I104,COLUMN(AC$1))))+IF($J104="",0,INDIRECT(ADDRESS($J104,COLUMN(AC$1)))+AC$14)+IF($K104="",0,INDIRECT(ADDRESS($K104,COLUMN(AC$1))))</f>
        <v>0</v>
      </c>
      <c r="P104" s="23" cm="1">
        <f t="array" aca="1" ref="P104" ca="1">IF($I104="",0,INDIRECT(ADDRESS($I104,COLUMN(AD$1))))+IF($J104="",0,INDIRECT(ADDRESS($J104,COLUMN(AD$1)))+AD$14)+IF($K104="",0,INDIRECT(ADDRESS($K104,COLUMN(AD$1))))</f>
        <v>0</v>
      </c>
      <c r="Q104" s="23" cm="1">
        <f t="array" aca="1" ref="Q104" ca="1">IF($I104="",0,INDIRECT(ADDRESS($I104,COLUMN(AE$1))))+IF($J104="",0,INDIRECT(ADDRESS($J104,COLUMN(AE$1)))+AE$14)+IF($K104="",0,INDIRECT(ADDRESS($K104,COLUMN(AE$1))))</f>
        <v>0</v>
      </c>
      <c r="R104" s="23" cm="1">
        <f t="array" aca="1" ref="R104" ca="1">IF($I104="",0,INDIRECT(ADDRESS($I104,COLUMN(AF$1))))+IF($J104="",0,INDIRECT(ADDRESS($J104,COLUMN(AF$1)))+AF$14)+IF($K104="",0,INDIRECT(ADDRESS($K104,COLUMN(AF$1))))</f>
        <v>0</v>
      </c>
      <c r="S104" s="1" t="str">
        <f t="shared" si="20"/>
        <v/>
      </c>
    </row>
    <row r="105" spans="2:19" x14ac:dyDescent="0.25">
      <c r="B105" s="1">
        <v>99</v>
      </c>
      <c r="C105" s="1" t="str">
        <f t="shared" si="16"/>
        <v/>
      </c>
      <c r="F105" s="23" t="str">
        <f t="shared" si="17"/>
        <v/>
      </c>
      <c r="G105" s="23" t="str">
        <f t="shared" si="18"/>
        <v/>
      </c>
      <c r="H105" s="23" t="str">
        <f t="shared" si="19"/>
        <v/>
      </c>
      <c r="I105" s="23" t="str">
        <f t="shared" si="15"/>
        <v/>
      </c>
      <c r="J105" s="23" t="str">
        <f t="shared" si="15"/>
        <v/>
      </c>
      <c r="K105" s="23" t="str">
        <f t="shared" si="15"/>
        <v/>
      </c>
      <c r="L105" s="23"/>
      <c r="M105" s="23" cm="1">
        <f t="array" aca="1" ref="M105" ca="1">IF($I105="",0,INDIRECT(ADDRESS($I105,COLUMN(AA$1))))+IF($J105="",0,INDIRECT(ADDRESS($J105,COLUMN(AA$1)))+AA$14)+IF($K105="",0,INDIRECT(ADDRESS($K105,COLUMN(AA$1))))</f>
        <v>0</v>
      </c>
      <c r="N105" s="23" cm="1">
        <f t="array" aca="1" ref="N105" ca="1">IF($I105="",0,INDIRECT(ADDRESS($I105,COLUMN(AB$1))))+IF($J105="",0,INDIRECT(ADDRESS($J105,COLUMN(AB$1)))+AB$14)+IF($K105="",0,INDIRECT(ADDRESS($K105,COLUMN(AB$1))))</f>
        <v>0</v>
      </c>
      <c r="O105" s="23" cm="1">
        <f t="array" aca="1" ref="O105" ca="1">IF($I105="",0,INDIRECT(ADDRESS($I105,COLUMN(AC$1))))+IF($J105="",0,INDIRECT(ADDRESS($J105,COLUMN(AC$1)))+AC$14)+IF($K105="",0,INDIRECT(ADDRESS($K105,COLUMN(AC$1))))</f>
        <v>0</v>
      </c>
      <c r="P105" s="23" cm="1">
        <f t="array" aca="1" ref="P105" ca="1">IF($I105="",0,INDIRECT(ADDRESS($I105,COLUMN(AD$1))))+IF($J105="",0,INDIRECT(ADDRESS($J105,COLUMN(AD$1)))+AD$14)+IF($K105="",0,INDIRECT(ADDRESS($K105,COLUMN(AD$1))))</f>
        <v>0</v>
      </c>
      <c r="Q105" s="23" cm="1">
        <f t="array" aca="1" ref="Q105" ca="1">IF($I105="",0,INDIRECT(ADDRESS($I105,COLUMN(AE$1))))+IF($J105="",0,INDIRECT(ADDRESS($J105,COLUMN(AE$1)))+AE$14)+IF($K105="",0,INDIRECT(ADDRESS($K105,COLUMN(AE$1))))</f>
        <v>0</v>
      </c>
      <c r="R105" s="23" cm="1">
        <f t="array" aca="1" ref="R105" ca="1">IF($I105="",0,INDIRECT(ADDRESS($I105,COLUMN(AF$1))))+IF($J105="",0,INDIRECT(ADDRESS($J105,COLUMN(AF$1)))+AF$14)+IF($K105="",0,INDIRECT(ADDRESS($K105,COLUMN(AF$1))))</f>
        <v>0</v>
      </c>
      <c r="S105" s="1" t="str">
        <f t="shared" si="20"/>
        <v/>
      </c>
    </row>
    <row r="106" spans="2:19" x14ac:dyDescent="0.25">
      <c r="B106" s="31">
        <v>100</v>
      </c>
      <c r="C106" s="1" t="str">
        <f t="shared" si="16"/>
        <v/>
      </c>
      <c r="F106" s="23" t="str">
        <f t="shared" si="17"/>
        <v/>
      </c>
      <c r="G106" s="23" t="str">
        <f t="shared" si="18"/>
        <v/>
      </c>
      <c r="H106" s="23" t="str">
        <f t="shared" si="19"/>
        <v/>
      </c>
      <c r="I106" s="23" t="str">
        <f t="shared" si="15"/>
        <v/>
      </c>
      <c r="J106" s="23" t="str">
        <f t="shared" si="15"/>
        <v/>
      </c>
      <c r="K106" s="23" t="str">
        <f t="shared" si="15"/>
        <v/>
      </c>
      <c r="L106" s="23"/>
      <c r="M106" s="23" cm="1">
        <f t="array" aca="1" ref="M106" ca="1">IF($I106="",0,INDIRECT(ADDRESS($I106,COLUMN(AA$1))))+IF($J106="",0,INDIRECT(ADDRESS($J106,COLUMN(AA$1)))+AA$14)+IF($K106="",0,INDIRECT(ADDRESS($K106,COLUMN(AA$1))))</f>
        <v>0</v>
      </c>
      <c r="N106" s="23" cm="1">
        <f t="array" aca="1" ref="N106" ca="1">IF($I106="",0,INDIRECT(ADDRESS($I106,COLUMN(AB$1))))+IF($J106="",0,INDIRECT(ADDRESS($J106,COLUMN(AB$1)))+AB$14)+IF($K106="",0,INDIRECT(ADDRESS($K106,COLUMN(AB$1))))</f>
        <v>0</v>
      </c>
      <c r="O106" s="23" cm="1">
        <f t="array" aca="1" ref="O106" ca="1">IF($I106="",0,INDIRECT(ADDRESS($I106,COLUMN(AC$1))))+IF($J106="",0,INDIRECT(ADDRESS($J106,COLUMN(AC$1)))+AC$14)+IF($K106="",0,INDIRECT(ADDRESS($K106,COLUMN(AC$1))))</f>
        <v>0</v>
      </c>
      <c r="P106" s="23" cm="1">
        <f t="array" aca="1" ref="P106" ca="1">IF($I106="",0,INDIRECT(ADDRESS($I106,COLUMN(AD$1))))+IF($J106="",0,INDIRECT(ADDRESS($J106,COLUMN(AD$1)))+AD$14)+IF($K106="",0,INDIRECT(ADDRESS($K106,COLUMN(AD$1))))</f>
        <v>0</v>
      </c>
      <c r="Q106" s="23" cm="1">
        <f t="array" aca="1" ref="Q106" ca="1">IF($I106="",0,INDIRECT(ADDRESS($I106,COLUMN(AE$1))))+IF($J106="",0,INDIRECT(ADDRESS($J106,COLUMN(AE$1)))+AE$14)+IF($K106="",0,INDIRECT(ADDRESS($K106,COLUMN(AE$1))))</f>
        <v>0</v>
      </c>
      <c r="R106" s="23" cm="1">
        <f t="array" aca="1" ref="R106" ca="1">IF($I106="",0,INDIRECT(ADDRESS($I106,COLUMN(AF$1))))+IF($J106="",0,INDIRECT(ADDRESS($J106,COLUMN(AF$1)))+AF$14)+IF($K106="",0,INDIRECT(ADDRESS($K106,COLUMN(AF$1))))</f>
        <v>0</v>
      </c>
      <c r="S106" s="1" t="str">
        <f t="shared" si="20"/>
        <v/>
      </c>
    </row>
  </sheetData>
  <mergeCells count="2">
    <mergeCell ref="D1:D5"/>
    <mergeCell ref="A1:A3"/>
  </mergeCells>
  <dataValidations count="1">
    <dataValidation type="list" allowBlank="1" showInputMessage="1" showErrorMessage="1" sqref="AG39:AG47 A21 A35" xr:uid="{67A35B9C-6164-4ECA-9C13-D5361259BCF6}">
      <formula1>$AK$1:$AK$2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est_MS2match">
                <anchor moveWithCells="1" sizeWithCells="1">
                  <from>
                    <xdr:col>0</xdr:col>
                    <xdr:colOff>171450</xdr:colOff>
                    <xdr:row>23</xdr:row>
                    <xdr:rowOff>114300</xdr:rowOff>
                  </from>
                  <to>
                    <xdr:col>0</xdr:col>
                    <xdr:colOff>2409825</xdr:colOff>
                    <xdr:row>28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910B4-F730-45A1-BD20-7FA0566C5343}">
  <sheetPr codeName="Sheet1"/>
  <dimension ref="A1:X19990"/>
  <sheetViews>
    <sheetView zoomScale="110" zoomScaleNormal="110" workbookViewId="0">
      <selection sqref="A1:B356"/>
    </sheetView>
  </sheetViews>
  <sheetFormatPr defaultColWidth="9.140625" defaultRowHeight="15" x14ac:dyDescent="0.25"/>
  <cols>
    <col min="1" max="1" width="8.85546875"/>
    <col min="2" max="2" width="8.85546875" customWidth="1"/>
    <col min="3" max="4" width="9.140625" style="4"/>
    <col min="5" max="5" width="12.28515625" style="4" bestFit="1" customWidth="1"/>
    <col min="6" max="16384" width="9.140625" style="5"/>
  </cols>
  <sheetData>
    <row r="1" spans="1:24" x14ac:dyDescent="0.25">
      <c r="A1" t="s">
        <v>174</v>
      </c>
      <c r="F1" s="5" t="s">
        <v>36</v>
      </c>
      <c r="X1" s="5" t="s">
        <v>37</v>
      </c>
    </row>
    <row r="2" spans="1:24" x14ac:dyDescent="0.25">
      <c r="A2" t="s">
        <v>176</v>
      </c>
      <c r="F2" s="4">
        <v>9</v>
      </c>
      <c r="G2" s="5" t="s">
        <v>38</v>
      </c>
      <c r="X2" s="5" t="s">
        <v>39</v>
      </c>
    </row>
    <row r="3" spans="1:24" x14ac:dyDescent="0.25">
      <c r="A3" t="s">
        <v>784</v>
      </c>
      <c r="F3" s="5" t="s">
        <v>40</v>
      </c>
    </row>
    <row r="4" spans="1:24" ht="13.5" customHeight="1" x14ac:dyDescent="0.25">
      <c r="A4" t="s">
        <v>785</v>
      </c>
      <c r="F4" s="4" t="s">
        <v>39</v>
      </c>
    </row>
    <row r="5" spans="1:24" x14ac:dyDescent="0.25">
      <c r="A5" t="s">
        <v>786</v>
      </c>
      <c r="Q5" s="6"/>
      <c r="R5" s="6"/>
    </row>
    <row r="6" spans="1:24" x14ac:dyDescent="0.25">
      <c r="A6" t="s">
        <v>787</v>
      </c>
      <c r="D6" s="20"/>
      <c r="M6" s="7"/>
      <c r="N6" s="8"/>
      <c r="O6" s="9"/>
    </row>
    <row r="7" spans="1:24" x14ac:dyDescent="0.25">
      <c r="A7" t="s">
        <v>788</v>
      </c>
      <c r="G7" s="10"/>
    </row>
    <row r="8" spans="1:24" x14ac:dyDescent="0.25">
      <c r="A8" t="s">
        <v>41</v>
      </c>
      <c r="B8" t="s">
        <v>175</v>
      </c>
      <c r="G8" s="11"/>
    </row>
    <row r="9" spans="1:24" x14ac:dyDescent="0.25">
      <c r="A9">
        <v>158.91828899999999</v>
      </c>
      <c r="B9">
        <v>307.33982300000002</v>
      </c>
      <c r="G9" s="10"/>
    </row>
    <row r="10" spans="1:24" x14ac:dyDescent="0.25">
      <c r="A10">
        <v>158.92530400000001</v>
      </c>
      <c r="B10">
        <v>10301.273762999999</v>
      </c>
      <c r="G10" s="10"/>
    </row>
    <row r="11" spans="1:24" x14ac:dyDescent="0.25">
      <c r="A11">
        <v>174.980096</v>
      </c>
      <c r="B11">
        <v>4712.360514</v>
      </c>
      <c r="G11" s="10"/>
    </row>
    <row r="12" spans="1:24" x14ac:dyDescent="0.25">
      <c r="A12">
        <v>175.286438</v>
      </c>
      <c r="B12">
        <v>165.476888</v>
      </c>
    </row>
    <row r="13" spans="1:24" x14ac:dyDescent="0.25">
      <c r="A13">
        <v>175.98378</v>
      </c>
      <c r="B13">
        <v>125.389893</v>
      </c>
    </row>
    <row r="14" spans="1:24" x14ac:dyDescent="0.25">
      <c r="A14">
        <v>176.93583699999999</v>
      </c>
      <c r="B14">
        <v>1306.980591</v>
      </c>
    </row>
    <row r="15" spans="1:24" x14ac:dyDescent="0.25">
      <c r="A15">
        <v>180.53239400000001</v>
      </c>
      <c r="B15">
        <v>141.62476599999999</v>
      </c>
    </row>
    <row r="16" spans="1:24" x14ac:dyDescent="0.25">
      <c r="A16">
        <v>181.66071600000001</v>
      </c>
      <c r="B16">
        <v>409.13586400000003</v>
      </c>
    </row>
    <row r="17" spans="1:2" x14ac:dyDescent="0.25">
      <c r="A17">
        <v>184.16802999999999</v>
      </c>
      <c r="B17">
        <v>155.58667</v>
      </c>
    </row>
    <row r="18" spans="1:2" x14ac:dyDescent="0.25">
      <c r="A18">
        <v>190.037094</v>
      </c>
      <c r="B18">
        <v>155.26696799999999</v>
      </c>
    </row>
    <row r="19" spans="1:2" x14ac:dyDescent="0.25">
      <c r="A19">
        <v>190.849762</v>
      </c>
      <c r="B19">
        <v>154.53488200000001</v>
      </c>
    </row>
    <row r="20" spans="1:2" x14ac:dyDescent="0.25">
      <c r="A20">
        <v>192.99061599999999</v>
      </c>
      <c r="B20">
        <v>2326.2614749999998</v>
      </c>
    </row>
    <row r="21" spans="1:2" x14ac:dyDescent="0.25">
      <c r="A21">
        <v>196.897705</v>
      </c>
      <c r="B21">
        <v>152.728363</v>
      </c>
    </row>
    <row r="22" spans="1:2" x14ac:dyDescent="0.25">
      <c r="A22">
        <v>208.81686400000001</v>
      </c>
      <c r="B22">
        <v>139.70520999999999</v>
      </c>
    </row>
    <row r="23" spans="1:2" x14ac:dyDescent="0.25">
      <c r="A23">
        <v>211.00136800000001</v>
      </c>
      <c r="B23">
        <v>7194.6712239999997</v>
      </c>
    </row>
    <row r="24" spans="1:2" x14ac:dyDescent="0.25">
      <c r="A24">
        <v>212.004639</v>
      </c>
      <c r="B24">
        <v>180.50427199999999</v>
      </c>
    </row>
    <row r="25" spans="1:2" x14ac:dyDescent="0.25">
      <c r="A25">
        <v>212.93614199999999</v>
      </c>
      <c r="B25">
        <v>178.96997099999999</v>
      </c>
    </row>
    <row r="26" spans="1:2" x14ac:dyDescent="0.25">
      <c r="A26">
        <v>214.01381900000001</v>
      </c>
      <c r="B26">
        <v>1194.2525430000001</v>
      </c>
    </row>
    <row r="27" spans="1:2" x14ac:dyDescent="0.25">
      <c r="A27">
        <v>248.29849200000001</v>
      </c>
      <c r="B27">
        <v>136.79420999999999</v>
      </c>
    </row>
    <row r="28" spans="1:2" x14ac:dyDescent="0.25">
      <c r="A28">
        <v>253.849457</v>
      </c>
      <c r="B28">
        <v>136.12410499999999</v>
      </c>
    </row>
    <row r="29" spans="1:2" x14ac:dyDescent="0.25">
      <c r="A29">
        <v>254.94672</v>
      </c>
      <c r="B29">
        <v>2030.383789</v>
      </c>
    </row>
    <row r="30" spans="1:2" x14ac:dyDescent="0.25">
      <c r="A30">
        <v>261.02932700000002</v>
      </c>
      <c r="B30">
        <v>202.70817099999999</v>
      </c>
    </row>
    <row r="31" spans="1:2" x14ac:dyDescent="0.25">
      <c r="A31">
        <v>272.95735300000001</v>
      </c>
      <c r="B31">
        <v>7332.8313799999996</v>
      </c>
    </row>
    <row r="32" spans="1:2" x14ac:dyDescent="0.25">
      <c r="A32">
        <v>273.96060199999999</v>
      </c>
      <c r="B32">
        <v>260.40732800000001</v>
      </c>
    </row>
    <row r="33" spans="1:2" x14ac:dyDescent="0.25">
      <c r="A33">
        <v>276.91644300000002</v>
      </c>
      <c r="B33">
        <v>156.615611</v>
      </c>
    </row>
    <row r="34" spans="1:2" x14ac:dyDescent="0.25">
      <c r="A34">
        <v>281.48156699999998</v>
      </c>
      <c r="B34">
        <v>153.13273100000001</v>
      </c>
    </row>
    <row r="35" spans="1:2" x14ac:dyDescent="0.25">
      <c r="A35">
        <v>286.02380099999999</v>
      </c>
      <c r="B35">
        <v>1078.5542809999999</v>
      </c>
    </row>
    <row r="36" spans="1:2" x14ac:dyDescent="0.25">
      <c r="A36">
        <v>290.96716300000003</v>
      </c>
      <c r="B36">
        <v>368.63855000000001</v>
      </c>
    </row>
    <row r="37" spans="1:2" x14ac:dyDescent="0.25">
      <c r="A37">
        <v>299.75030500000003</v>
      </c>
      <c r="B37">
        <v>136.506643</v>
      </c>
    </row>
    <row r="38" spans="1:2" x14ac:dyDescent="0.25">
      <c r="A38">
        <v>301.02322400000003</v>
      </c>
      <c r="B38">
        <v>2443.056763</v>
      </c>
    </row>
    <row r="39" spans="1:2" x14ac:dyDescent="0.25">
      <c r="A39">
        <v>304.03417200000001</v>
      </c>
      <c r="B39">
        <v>3559.5437830000001</v>
      </c>
    </row>
    <row r="40" spans="1:2" x14ac:dyDescent="0.25">
      <c r="A40">
        <v>305.03808600000002</v>
      </c>
      <c r="B40">
        <v>158.05702700000001</v>
      </c>
    </row>
    <row r="41" spans="1:2" x14ac:dyDescent="0.25">
      <c r="A41">
        <v>307.02209499999998</v>
      </c>
      <c r="B41">
        <v>161.70826199999999</v>
      </c>
    </row>
    <row r="42" spans="1:2" x14ac:dyDescent="0.25">
      <c r="A42">
        <v>308.96900499999998</v>
      </c>
      <c r="B42">
        <v>312.012899</v>
      </c>
    </row>
    <row r="43" spans="1:2" x14ac:dyDescent="0.25">
      <c r="A43">
        <v>310.03498400000001</v>
      </c>
      <c r="B43">
        <v>5309.4186200000004</v>
      </c>
    </row>
    <row r="44" spans="1:2" x14ac:dyDescent="0.25">
      <c r="A44">
        <v>311.03827699999999</v>
      </c>
      <c r="B44">
        <v>616.078532</v>
      </c>
    </row>
    <row r="45" spans="1:2" x14ac:dyDescent="0.25">
      <c r="A45">
        <v>312.31051600000001</v>
      </c>
      <c r="B45">
        <v>141.72082499999999</v>
      </c>
    </row>
    <row r="46" spans="1:2" x14ac:dyDescent="0.25">
      <c r="A46">
        <v>316.00018299999999</v>
      </c>
      <c r="B46">
        <v>158.29131100000001</v>
      </c>
    </row>
    <row r="47" spans="1:2" x14ac:dyDescent="0.25">
      <c r="A47">
        <v>319.03393599999998</v>
      </c>
      <c r="B47">
        <v>7603.8359380000002</v>
      </c>
    </row>
    <row r="48" spans="1:2" x14ac:dyDescent="0.25">
      <c r="A48">
        <v>320.037217</v>
      </c>
      <c r="B48">
        <v>610.27087400000005</v>
      </c>
    </row>
    <row r="49" spans="1:2" x14ac:dyDescent="0.25">
      <c r="A49">
        <v>322.04479300000003</v>
      </c>
      <c r="B49">
        <v>1343.7989909999999</v>
      </c>
    </row>
    <row r="50" spans="1:2" x14ac:dyDescent="0.25">
      <c r="A50">
        <v>323.40930200000003</v>
      </c>
      <c r="B50">
        <v>164.31689499999999</v>
      </c>
    </row>
    <row r="51" spans="1:2" x14ac:dyDescent="0.25">
      <c r="A51">
        <v>328.04544299999998</v>
      </c>
      <c r="B51">
        <v>8529.6048179999998</v>
      </c>
    </row>
    <row r="52" spans="1:2" x14ac:dyDescent="0.25">
      <c r="A52">
        <v>329.048224</v>
      </c>
      <c r="B52">
        <v>919.51037599999995</v>
      </c>
    </row>
    <row r="53" spans="1:2" x14ac:dyDescent="0.25">
      <c r="A53">
        <v>334.91286300000002</v>
      </c>
      <c r="B53">
        <v>686.93105100000002</v>
      </c>
    </row>
    <row r="54" spans="1:2" x14ac:dyDescent="0.25">
      <c r="A54">
        <v>337.04453799999999</v>
      </c>
      <c r="B54">
        <v>3085.1250810000001</v>
      </c>
    </row>
    <row r="55" spans="1:2" x14ac:dyDescent="0.25">
      <c r="A55">
        <v>338.04870599999998</v>
      </c>
      <c r="B55">
        <v>226.474569</v>
      </c>
    </row>
    <row r="56" spans="1:2" x14ac:dyDescent="0.25">
      <c r="A56">
        <v>340.99661300000002</v>
      </c>
      <c r="B56">
        <v>162.006215</v>
      </c>
    </row>
    <row r="57" spans="1:2" x14ac:dyDescent="0.25">
      <c r="A57">
        <v>346.05618700000002</v>
      </c>
      <c r="B57">
        <v>3879.2211910000001</v>
      </c>
    </row>
    <row r="58" spans="1:2" x14ac:dyDescent="0.25">
      <c r="A58">
        <v>347.058493</v>
      </c>
      <c r="B58">
        <v>374.42045100000001</v>
      </c>
    </row>
    <row r="59" spans="1:2" x14ac:dyDescent="0.25">
      <c r="A59">
        <v>365.98980399999999</v>
      </c>
      <c r="B59">
        <v>914.59643600000004</v>
      </c>
    </row>
    <row r="60" spans="1:2" x14ac:dyDescent="0.25">
      <c r="A60">
        <v>368.9785</v>
      </c>
      <c r="B60">
        <v>410.092265</v>
      </c>
    </row>
    <row r="61" spans="1:2" x14ac:dyDescent="0.25">
      <c r="A61">
        <v>376.240295</v>
      </c>
      <c r="B61">
        <v>154.241862</v>
      </c>
    </row>
    <row r="62" spans="1:2" x14ac:dyDescent="0.25">
      <c r="A62">
        <v>380.99008800000001</v>
      </c>
      <c r="B62">
        <v>2228.386841</v>
      </c>
    </row>
    <row r="63" spans="1:2" x14ac:dyDescent="0.25">
      <c r="A63">
        <v>384.00094200000001</v>
      </c>
      <c r="B63">
        <v>3261.3576250000001</v>
      </c>
    </row>
    <row r="64" spans="1:2" x14ac:dyDescent="0.25">
      <c r="A64">
        <v>386.988495</v>
      </c>
      <c r="B64">
        <v>237.72143600000001</v>
      </c>
    </row>
    <row r="65" spans="1:2" x14ac:dyDescent="0.25">
      <c r="A65">
        <v>390.00192099999998</v>
      </c>
      <c r="B65">
        <v>2336.420736</v>
      </c>
    </row>
    <row r="66" spans="1:2" x14ac:dyDescent="0.25">
      <c r="A66">
        <v>399.00062200000002</v>
      </c>
      <c r="B66">
        <v>8015.485514</v>
      </c>
    </row>
    <row r="67" spans="1:2" x14ac:dyDescent="0.25">
      <c r="A67">
        <v>400.003736</v>
      </c>
      <c r="B67">
        <v>585.30798300000004</v>
      </c>
    </row>
    <row r="68" spans="1:2" x14ac:dyDescent="0.25">
      <c r="A68">
        <v>402.013214</v>
      </c>
      <c r="B68">
        <v>139.08074999999999</v>
      </c>
    </row>
    <row r="69" spans="1:2" x14ac:dyDescent="0.25">
      <c r="A69">
        <v>403.84710699999999</v>
      </c>
      <c r="B69">
        <v>161.961151</v>
      </c>
    </row>
    <row r="70" spans="1:2" x14ac:dyDescent="0.25">
      <c r="A70">
        <v>408.01210700000001</v>
      </c>
      <c r="B70">
        <v>12349.573404999999</v>
      </c>
    </row>
    <row r="71" spans="1:2" x14ac:dyDescent="0.25">
      <c r="A71">
        <v>408.04135100000002</v>
      </c>
      <c r="B71">
        <v>285.44285100000002</v>
      </c>
    </row>
    <row r="72" spans="1:2" x14ac:dyDescent="0.25">
      <c r="A72">
        <v>409.01518900000002</v>
      </c>
      <c r="B72">
        <v>1569.3458860000001</v>
      </c>
    </row>
    <row r="73" spans="1:2" x14ac:dyDescent="0.25">
      <c r="A73">
        <v>417.00982199999999</v>
      </c>
      <c r="B73">
        <v>762.18807000000004</v>
      </c>
    </row>
    <row r="74" spans="1:2" x14ac:dyDescent="0.25">
      <c r="A74">
        <v>417.01242100000002</v>
      </c>
      <c r="B74">
        <v>331.62231400000002</v>
      </c>
    </row>
    <row r="75" spans="1:2" x14ac:dyDescent="0.25">
      <c r="A75">
        <v>424.06454500000001</v>
      </c>
      <c r="B75">
        <v>269.82198099999999</v>
      </c>
    </row>
    <row r="76" spans="1:2" x14ac:dyDescent="0.25">
      <c r="A76">
        <v>424.067047</v>
      </c>
      <c r="B76">
        <v>235.804159</v>
      </c>
    </row>
    <row r="77" spans="1:2" x14ac:dyDescent="0.25">
      <c r="A77">
        <v>426.022582</v>
      </c>
      <c r="B77">
        <v>1486.627258</v>
      </c>
    </row>
    <row r="78" spans="1:2" x14ac:dyDescent="0.25">
      <c r="A78">
        <v>442.07620200000002</v>
      </c>
      <c r="B78">
        <v>653.09863299999995</v>
      </c>
    </row>
    <row r="79" spans="1:2" x14ac:dyDescent="0.25">
      <c r="A79">
        <v>442.078485</v>
      </c>
      <c r="B79">
        <v>893.94388800000002</v>
      </c>
    </row>
    <row r="80" spans="1:2" x14ac:dyDescent="0.25">
      <c r="A80">
        <v>448.94360399999999</v>
      </c>
      <c r="B80">
        <v>172.345764</v>
      </c>
    </row>
    <row r="81" spans="1:2" x14ac:dyDescent="0.25">
      <c r="A81">
        <v>460.95519999999999</v>
      </c>
      <c r="B81">
        <v>264.46887199999998</v>
      </c>
    </row>
    <row r="82" spans="1:2" x14ac:dyDescent="0.25">
      <c r="A82">
        <v>460.95761099999999</v>
      </c>
      <c r="B82">
        <v>253.57035300000001</v>
      </c>
    </row>
    <row r="83" spans="1:2" x14ac:dyDescent="0.25">
      <c r="A83">
        <v>469.96785299999999</v>
      </c>
      <c r="B83">
        <v>708.85357699999997</v>
      </c>
    </row>
    <row r="84" spans="1:2" x14ac:dyDescent="0.25">
      <c r="A84">
        <v>478.96648299999998</v>
      </c>
      <c r="B84">
        <v>471.53775999999999</v>
      </c>
    </row>
    <row r="85" spans="1:2" x14ac:dyDescent="0.25">
      <c r="A85">
        <v>480.02307100000002</v>
      </c>
      <c r="B85">
        <v>173.00746699999999</v>
      </c>
    </row>
    <row r="86" spans="1:2" x14ac:dyDescent="0.25">
      <c r="A86">
        <v>483.07034299999998</v>
      </c>
      <c r="B86">
        <v>169.075368</v>
      </c>
    </row>
    <row r="87" spans="1:2" x14ac:dyDescent="0.25">
      <c r="A87">
        <v>487.97845999999998</v>
      </c>
      <c r="B87">
        <v>702.18379700000003</v>
      </c>
    </row>
    <row r="88" spans="1:2" x14ac:dyDescent="0.25">
      <c r="A88">
        <v>495.02243399999998</v>
      </c>
      <c r="B88">
        <v>489.65574099999998</v>
      </c>
    </row>
    <row r="89" spans="1:2" x14ac:dyDescent="0.25">
      <c r="A89">
        <v>498.03269299999999</v>
      </c>
      <c r="B89">
        <v>421.99849399999999</v>
      </c>
    </row>
    <row r="90" spans="1:2" x14ac:dyDescent="0.25">
      <c r="A90">
        <v>504.03290199999998</v>
      </c>
      <c r="B90">
        <v>1096.929077</v>
      </c>
    </row>
    <row r="91" spans="1:2" x14ac:dyDescent="0.25">
      <c r="A91">
        <v>505.03277600000001</v>
      </c>
      <c r="B91">
        <v>202.45878099999999</v>
      </c>
    </row>
    <row r="92" spans="1:2" x14ac:dyDescent="0.25">
      <c r="A92">
        <v>513.03269799999998</v>
      </c>
      <c r="B92">
        <v>904.37636299999997</v>
      </c>
    </row>
    <row r="93" spans="1:2" x14ac:dyDescent="0.25">
      <c r="A93">
        <v>518.86895800000002</v>
      </c>
      <c r="B93">
        <v>134.026622</v>
      </c>
    </row>
    <row r="94" spans="1:2" x14ac:dyDescent="0.25">
      <c r="A94">
        <v>522.04384100000004</v>
      </c>
      <c r="B94">
        <v>3730.780111</v>
      </c>
    </row>
    <row r="95" spans="1:2" x14ac:dyDescent="0.25">
      <c r="A95">
        <v>523.04768200000001</v>
      </c>
      <c r="B95">
        <v>705.98750800000005</v>
      </c>
    </row>
    <row r="96" spans="1:2" x14ac:dyDescent="0.25">
      <c r="A96">
        <v>526.09918000000005</v>
      </c>
      <c r="B96">
        <v>323.73360200000002</v>
      </c>
    </row>
    <row r="97" spans="1:2" x14ac:dyDescent="0.25">
      <c r="A97">
        <v>540.05242899999996</v>
      </c>
      <c r="B97">
        <v>321.794149</v>
      </c>
    </row>
    <row r="98" spans="1:2" x14ac:dyDescent="0.25">
      <c r="A98">
        <v>540.05706799999996</v>
      </c>
      <c r="B98">
        <v>394.95572900000002</v>
      </c>
    </row>
    <row r="99" spans="1:2" x14ac:dyDescent="0.25">
      <c r="A99">
        <v>544.10997099999997</v>
      </c>
      <c r="B99">
        <v>571.85180700000001</v>
      </c>
    </row>
    <row r="100" spans="1:2" x14ac:dyDescent="0.25">
      <c r="A100">
        <v>548.24255400000004</v>
      </c>
      <c r="B100">
        <v>141.76863599999999</v>
      </c>
    </row>
    <row r="101" spans="1:2" x14ac:dyDescent="0.25">
      <c r="A101">
        <v>553.12164299999995</v>
      </c>
      <c r="B101">
        <v>929.24338799999998</v>
      </c>
    </row>
    <row r="102" spans="1:2" x14ac:dyDescent="0.25">
      <c r="A102">
        <v>554.12835700000005</v>
      </c>
      <c r="B102">
        <v>167.10804200000001</v>
      </c>
    </row>
    <row r="103" spans="1:2" x14ac:dyDescent="0.25">
      <c r="A103">
        <v>558.69995100000006</v>
      </c>
      <c r="B103">
        <v>398.55114700000001</v>
      </c>
    </row>
    <row r="104" spans="1:2" x14ac:dyDescent="0.25">
      <c r="A104">
        <v>559.11070700000005</v>
      </c>
      <c r="B104">
        <v>885.996399</v>
      </c>
    </row>
    <row r="105" spans="1:2" x14ac:dyDescent="0.25">
      <c r="A105">
        <v>559.98370399999999</v>
      </c>
      <c r="B105">
        <v>136.85707600000001</v>
      </c>
    </row>
    <row r="106" spans="1:2" x14ac:dyDescent="0.25">
      <c r="A106">
        <v>562.11879599999997</v>
      </c>
      <c r="B106">
        <v>530.592265</v>
      </c>
    </row>
    <row r="107" spans="1:2" x14ac:dyDescent="0.25">
      <c r="A107">
        <v>571.126892</v>
      </c>
      <c r="B107">
        <v>195.83410599999999</v>
      </c>
    </row>
    <row r="108" spans="1:2" x14ac:dyDescent="0.25">
      <c r="A108">
        <v>571.13287400000002</v>
      </c>
      <c r="B108">
        <v>296.74326600000001</v>
      </c>
    </row>
    <row r="109" spans="1:2" x14ac:dyDescent="0.25">
      <c r="A109">
        <v>572.13391100000001</v>
      </c>
      <c r="B109">
        <v>134.19957500000001</v>
      </c>
    </row>
    <row r="110" spans="1:2" x14ac:dyDescent="0.25">
      <c r="A110">
        <v>574.98965899999996</v>
      </c>
      <c r="B110">
        <v>520.86236599999995</v>
      </c>
    </row>
    <row r="111" spans="1:2" x14ac:dyDescent="0.25">
      <c r="A111">
        <v>577.12171499999999</v>
      </c>
      <c r="B111">
        <v>707.07857300000001</v>
      </c>
    </row>
    <row r="112" spans="1:2" x14ac:dyDescent="0.25">
      <c r="A112">
        <v>578.00201400000003</v>
      </c>
      <c r="B112">
        <v>189.536011</v>
      </c>
    </row>
    <row r="113" spans="1:2" x14ac:dyDescent="0.25">
      <c r="A113">
        <v>584.00004899999999</v>
      </c>
      <c r="B113">
        <v>2119.6846110000001</v>
      </c>
    </row>
    <row r="114" spans="1:2" x14ac:dyDescent="0.25">
      <c r="A114">
        <v>585.00116000000003</v>
      </c>
      <c r="B114">
        <v>212.394633</v>
      </c>
    </row>
    <row r="115" spans="1:2" x14ac:dyDescent="0.25">
      <c r="A115">
        <v>592.99957300000005</v>
      </c>
      <c r="B115">
        <v>188.11110400000001</v>
      </c>
    </row>
    <row r="116" spans="1:2" x14ac:dyDescent="0.25">
      <c r="A116">
        <v>595.14013699999998</v>
      </c>
      <c r="B116">
        <v>429.165527</v>
      </c>
    </row>
    <row r="117" spans="1:2" x14ac:dyDescent="0.25">
      <c r="A117">
        <v>595.14318800000001</v>
      </c>
      <c r="B117">
        <v>533.13313800000003</v>
      </c>
    </row>
    <row r="118" spans="1:2" x14ac:dyDescent="0.25">
      <c r="A118">
        <v>597.06445299999996</v>
      </c>
      <c r="B118">
        <v>168.94048100000001</v>
      </c>
    </row>
    <row r="119" spans="1:2" x14ac:dyDescent="0.25">
      <c r="A119">
        <v>602.00997700000005</v>
      </c>
      <c r="B119">
        <v>2575.8220209999999</v>
      </c>
    </row>
    <row r="120" spans="1:2" x14ac:dyDescent="0.25">
      <c r="A120">
        <v>602.01324499999998</v>
      </c>
      <c r="B120">
        <v>728.76847299999997</v>
      </c>
    </row>
    <row r="121" spans="1:2" x14ac:dyDescent="0.25">
      <c r="A121">
        <v>606.06557099999998</v>
      </c>
      <c r="B121">
        <v>1654.5207519999999</v>
      </c>
    </row>
    <row r="122" spans="1:2" x14ac:dyDescent="0.25">
      <c r="A122">
        <v>607.06188999999995</v>
      </c>
      <c r="B122">
        <v>272.05297899999999</v>
      </c>
    </row>
    <row r="123" spans="1:2" x14ac:dyDescent="0.25">
      <c r="A123">
        <v>615.07797500000004</v>
      </c>
      <c r="B123">
        <v>1268.4102780000001</v>
      </c>
    </row>
    <row r="124" spans="1:2" x14ac:dyDescent="0.25">
      <c r="A124">
        <v>621.06487700000002</v>
      </c>
      <c r="B124">
        <v>2753.1398519999998</v>
      </c>
    </row>
    <row r="125" spans="1:2" x14ac:dyDescent="0.25">
      <c r="A125">
        <v>622.06420900000001</v>
      </c>
      <c r="B125">
        <v>181.25824</v>
      </c>
    </row>
    <row r="126" spans="1:2" x14ac:dyDescent="0.25">
      <c r="A126">
        <v>622.06787099999997</v>
      </c>
      <c r="B126">
        <v>189.52010100000001</v>
      </c>
    </row>
    <row r="127" spans="1:2" x14ac:dyDescent="0.25">
      <c r="A127">
        <v>622.07226600000001</v>
      </c>
      <c r="B127">
        <v>231.186768</v>
      </c>
    </row>
    <row r="128" spans="1:2" x14ac:dyDescent="0.25">
      <c r="A128">
        <v>624.07601199999999</v>
      </c>
      <c r="B128">
        <v>3048.8279219999999</v>
      </c>
    </row>
    <row r="129" spans="1:2" x14ac:dyDescent="0.25">
      <c r="A129">
        <v>625.07726600000001</v>
      </c>
      <c r="B129">
        <v>477.85677099999998</v>
      </c>
    </row>
    <row r="130" spans="1:2" x14ac:dyDescent="0.25">
      <c r="A130">
        <v>626.08093299999996</v>
      </c>
      <c r="B130">
        <v>160.054677</v>
      </c>
    </row>
    <row r="131" spans="1:2" x14ac:dyDescent="0.25">
      <c r="A131">
        <v>633.08758399999999</v>
      </c>
      <c r="B131">
        <v>2866.4547120000002</v>
      </c>
    </row>
    <row r="132" spans="1:2" x14ac:dyDescent="0.25">
      <c r="A132">
        <v>634.08943599999998</v>
      </c>
      <c r="B132">
        <v>426.67244499999998</v>
      </c>
    </row>
    <row r="133" spans="1:2" x14ac:dyDescent="0.25">
      <c r="A133">
        <v>634.09387200000003</v>
      </c>
      <c r="B133">
        <v>163.322622</v>
      </c>
    </row>
    <row r="134" spans="1:2" x14ac:dyDescent="0.25">
      <c r="A134">
        <v>638.22863800000005</v>
      </c>
      <c r="B134">
        <v>258.82552099999998</v>
      </c>
    </row>
    <row r="135" spans="1:2" x14ac:dyDescent="0.25">
      <c r="A135">
        <v>638.36962900000003</v>
      </c>
      <c r="B135">
        <v>984.50813800000003</v>
      </c>
    </row>
    <row r="136" spans="1:2" x14ac:dyDescent="0.25">
      <c r="A136">
        <v>638.37396200000001</v>
      </c>
      <c r="B136">
        <v>191.642944</v>
      </c>
    </row>
    <row r="137" spans="1:2" x14ac:dyDescent="0.25">
      <c r="A137">
        <v>638.51257299999997</v>
      </c>
      <c r="B137">
        <v>312.14868200000001</v>
      </c>
    </row>
    <row r="138" spans="1:2" x14ac:dyDescent="0.25">
      <c r="A138">
        <v>638.51586899999995</v>
      </c>
      <c r="B138">
        <v>536.25878899999998</v>
      </c>
    </row>
    <row r="139" spans="1:2" x14ac:dyDescent="0.25">
      <c r="A139">
        <v>638.65521200000001</v>
      </c>
      <c r="B139">
        <v>177.31858299999999</v>
      </c>
    </row>
    <row r="140" spans="1:2" x14ac:dyDescent="0.25">
      <c r="A140">
        <v>638.66204800000003</v>
      </c>
      <c r="B140">
        <v>518.05993699999999</v>
      </c>
    </row>
    <row r="141" spans="1:2" x14ac:dyDescent="0.25">
      <c r="A141">
        <v>638.79626499999995</v>
      </c>
      <c r="B141">
        <v>190.52435299999999</v>
      </c>
    </row>
    <row r="142" spans="1:2" x14ac:dyDescent="0.25">
      <c r="A142">
        <v>639.078125</v>
      </c>
      <c r="B142">
        <v>2430.1765949999999</v>
      </c>
    </row>
    <row r="143" spans="1:2" x14ac:dyDescent="0.25">
      <c r="A143">
        <v>639.08216100000004</v>
      </c>
      <c r="B143">
        <v>3722.485189</v>
      </c>
    </row>
    <row r="144" spans="1:2" x14ac:dyDescent="0.25">
      <c r="A144">
        <v>640.08117700000003</v>
      </c>
      <c r="B144">
        <v>581.88293499999997</v>
      </c>
    </row>
    <row r="145" spans="1:2" x14ac:dyDescent="0.25">
      <c r="A145">
        <v>640.08647299999996</v>
      </c>
      <c r="B145">
        <v>811.10518400000001</v>
      </c>
    </row>
    <row r="146" spans="1:2" x14ac:dyDescent="0.25">
      <c r="A146">
        <v>641.08416699999998</v>
      </c>
      <c r="B146">
        <v>161.34887699999999</v>
      </c>
    </row>
    <row r="147" spans="1:2" x14ac:dyDescent="0.25">
      <c r="A147">
        <v>641.29455600000006</v>
      </c>
      <c r="B147">
        <v>166.792114</v>
      </c>
    </row>
    <row r="148" spans="1:2" x14ac:dyDescent="0.25">
      <c r="A148">
        <v>641.51110800000004</v>
      </c>
      <c r="B148">
        <v>167.79541</v>
      </c>
    </row>
    <row r="149" spans="1:2" x14ac:dyDescent="0.25">
      <c r="A149">
        <v>642.08679199999995</v>
      </c>
      <c r="B149">
        <v>227.401286</v>
      </c>
    </row>
    <row r="150" spans="1:2" x14ac:dyDescent="0.25">
      <c r="A150">
        <v>642.09106399999996</v>
      </c>
      <c r="B150">
        <v>194.50944000000001</v>
      </c>
    </row>
    <row r="151" spans="1:2" x14ac:dyDescent="0.25">
      <c r="A151">
        <v>648.08429000000001</v>
      </c>
      <c r="B151">
        <v>173.389669</v>
      </c>
    </row>
    <row r="152" spans="1:2" x14ac:dyDescent="0.25">
      <c r="A152">
        <v>651.09381099999996</v>
      </c>
      <c r="B152">
        <v>277.56138099999998</v>
      </c>
    </row>
    <row r="153" spans="1:2" x14ac:dyDescent="0.25">
      <c r="A153">
        <v>657.09545900000001</v>
      </c>
      <c r="B153">
        <v>3895.6901039999998</v>
      </c>
    </row>
    <row r="154" spans="1:2" x14ac:dyDescent="0.25">
      <c r="A154">
        <v>657.09879799999999</v>
      </c>
      <c r="B154">
        <v>6218.3657229999999</v>
      </c>
    </row>
    <row r="155" spans="1:2" x14ac:dyDescent="0.25">
      <c r="A155">
        <v>658.09704599999998</v>
      </c>
      <c r="B155">
        <v>904.85774700000002</v>
      </c>
    </row>
    <row r="156" spans="1:2" x14ac:dyDescent="0.25">
      <c r="A156">
        <v>658.101404</v>
      </c>
      <c r="B156">
        <v>1323.565511</v>
      </c>
    </row>
    <row r="157" spans="1:2" x14ac:dyDescent="0.25">
      <c r="A157">
        <v>675.10736099999997</v>
      </c>
      <c r="B157">
        <v>1286.7041019999999</v>
      </c>
    </row>
    <row r="158" spans="1:2" x14ac:dyDescent="0.25">
      <c r="A158">
        <v>675.11105799999996</v>
      </c>
      <c r="B158">
        <v>1962.15743</v>
      </c>
    </row>
    <row r="159" spans="1:2" x14ac:dyDescent="0.25">
      <c r="A159">
        <v>676.11181599999998</v>
      </c>
      <c r="B159">
        <v>165.867401</v>
      </c>
    </row>
    <row r="160" spans="1:2" x14ac:dyDescent="0.25">
      <c r="A160">
        <v>680.02423099999999</v>
      </c>
      <c r="B160">
        <v>165.53179900000001</v>
      </c>
    </row>
    <row r="161" spans="1:2" x14ac:dyDescent="0.25">
      <c r="A161">
        <v>686.03062899999998</v>
      </c>
      <c r="B161">
        <v>834.11708599999997</v>
      </c>
    </row>
    <row r="162" spans="1:2" x14ac:dyDescent="0.25">
      <c r="A162">
        <v>686.03430200000003</v>
      </c>
      <c r="B162">
        <v>725.08536800000002</v>
      </c>
    </row>
    <row r="163" spans="1:2" x14ac:dyDescent="0.25">
      <c r="A163">
        <v>686.581909</v>
      </c>
      <c r="B163">
        <v>159.29753600000001</v>
      </c>
    </row>
    <row r="164" spans="1:2" x14ac:dyDescent="0.25">
      <c r="A164">
        <v>695.04289400000005</v>
      </c>
      <c r="B164">
        <v>1005.137248</v>
      </c>
    </row>
    <row r="165" spans="1:2" x14ac:dyDescent="0.25">
      <c r="A165">
        <v>701.03226400000005</v>
      </c>
      <c r="B165">
        <v>1853.5437830000001</v>
      </c>
    </row>
    <row r="166" spans="1:2" x14ac:dyDescent="0.25">
      <c r="A166">
        <v>702.03472899999997</v>
      </c>
      <c r="B166">
        <v>229.19348099999999</v>
      </c>
    </row>
    <row r="167" spans="1:2" x14ac:dyDescent="0.25">
      <c r="A167">
        <v>704.04272700000001</v>
      </c>
      <c r="B167">
        <v>1330.0649619999999</v>
      </c>
    </row>
    <row r="168" spans="1:2" x14ac:dyDescent="0.25">
      <c r="A168">
        <v>713.05319799999995</v>
      </c>
      <c r="B168">
        <v>570.31976299999997</v>
      </c>
    </row>
    <row r="169" spans="1:2" x14ac:dyDescent="0.25">
      <c r="A169">
        <v>719.04370100000006</v>
      </c>
      <c r="B169">
        <v>1841.4796550000001</v>
      </c>
    </row>
    <row r="170" spans="1:2" x14ac:dyDescent="0.25">
      <c r="A170">
        <v>719.04844400000002</v>
      </c>
      <c r="B170">
        <v>3129.6756999999998</v>
      </c>
    </row>
    <row r="171" spans="1:2" x14ac:dyDescent="0.25">
      <c r="A171">
        <v>720.04947000000004</v>
      </c>
      <c r="B171">
        <v>980.57741299999998</v>
      </c>
    </row>
    <row r="172" spans="1:2" x14ac:dyDescent="0.25">
      <c r="A172">
        <v>721.051331</v>
      </c>
      <c r="B172">
        <v>194.58131900000001</v>
      </c>
    </row>
    <row r="173" spans="1:2" x14ac:dyDescent="0.25">
      <c r="A173">
        <v>737.06011999999998</v>
      </c>
      <c r="B173">
        <v>2789.4365229999999</v>
      </c>
    </row>
    <row r="174" spans="1:2" x14ac:dyDescent="0.25">
      <c r="A174">
        <v>737.06531600000005</v>
      </c>
      <c r="B174">
        <v>4440.5825199999999</v>
      </c>
    </row>
    <row r="175" spans="1:2" x14ac:dyDescent="0.25">
      <c r="A175">
        <v>738.06595200000004</v>
      </c>
      <c r="B175">
        <v>1665.7814940000001</v>
      </c>
    </row>
    <row r="176" spans="1:2" x14ac:dyDescent="0.25">
      <c r="A176">
        <v>747.12353499999995</v>
      </c>
      <c r="B176">
        <v>304.856222</v>
      </c>
    </row>
    <row r="177" spans="1:2" x14ac:dyDescent="0.25">
      <c r="A177">
        <v>753.10864300000003</v>
      </c>
      <c r="B177">
        <v>355.06624299999999</v>
      </c>
    </row>
    <row r="178" spans="1:2" x14ac:dyDescent="0.25">
      <c r="A178">
        <v>753.11346400000002</v>
      </c>
      <c r="B178">
        <v>403.49129199999999</v>
      </c>
    </row>
    <row r="179" spans="1:2" x14ac:dyDescent="0.25">
      <c r="A179">
        <v>771.13002800000004</v>
      </c>
      <c r="B179">
        <v>1780.5517990000001</v>
      </c>
    </row>
    <row r="180" spans="1:2" x14ac:dyDescent="0.25">
      <c r="A180">
        <v>772.13568599999996</v>
      </c>
      <c r="B180">
        <v>451.15692100000001</v>
      </c>
    </row>
    <row r="181" spans="1:2" x14ac:dyDescent="0.25">
      <c r="A181">
        <v>815.05938700000002</v>
      </c>
      <c r="B181">
        <v>382.33955900000001</v>
      </c>
    </row>
    <row r="182" spans="1:2" x14ac:dyDescent="0.25">
      <c r="A182">
        <v>815.07025099999998</v>
      </c>
      <c r="B182">
        <v>418.44482399999998</v>
      </c>
    </row>
    <row r="183" spans="1:2" x14ac:dyDescent="0.25">
      <c r="A183">
        <v>827.086499</v>
      </c>
      <c r="B183">
        <v>735.97296100000005</v>
      </c>
    </row>
    <row r="184" spans="1:2" x14ac:dyDescent="0.25">
      <c r="A184">
        <v>833.073981</v>
      </c>
      <c r="B184">
        <v>854.28118900000004</v>
      </c>
    </row>
    <row r="185" spans="1:2" x14ac:dyDescent="0.25">
      <c r="A185">
        <v>833.07934599999999</v>
      </c>
      <c r="B185">
        <v>829.65714500000001</v>
      </c>
    </row>
    <row r="186" spans="1:2" x14ac:dyDescent="0.25">
      <c r="A186">
        <v>834.06957999999997</v>
      </c>
      <c r="B186">
        <v>223.03586799999999</v>
      </c>
    </row>
    <row r="187" spans="1:2" x14ac:dyDescent="0.25">
      <c r="A187">
        <v>834.08221400000002</v>
      </c>
      <c r="B187">
        <v>225.09539799999999</v>
      </c>
    </row>
    <row r="188" spans="1:2" x14ac:dyDescent="0.25">
      <c r="A188">
        <v>846.14031999999997</v>
      </c>
      <c r="B188">
        <v>400.41646300000002</v>
      </c>
    </row>
    <row r="189" spans="1:2" x14ac:dyDescent="0.25">
      <c r="A189">
        <v>851.091003</v>
      </c>
      <c r="B189">
        <v>570.71846500000004</v>
      </c>
    </row>
    <row r="190" spans="1:2" x14ac:dyDescent="0.25">
      <c r="A190">
        <v>851.09804499999996</v>
      </c>
      <c r="B190">
        <v>769.14117399999998</v>
      </c>
    </row>
    <row r="191" spans="1:2" x14ac:dyDescent="0.25">
      <c r="A191">
        <v>864.14904799999999</v>
      </c>
      <c r="B191">
        <v>624.12565099999995</v>
      </c>
    </row>
    <row r="192" spans="1:2" x14ac:dyDescent="0.25">
      <c r="A192">
        <v>864.15663500000005</v>
      </c>
      <c r="B192">
        <v>1019.415446</v>
      </c>
    </row>
    <row r="193" spans="1:2" x14ac:dyDescent="0.25">
      <c r="A193">
        <v>865.16125499999998</v>
      </c>
      <c r="B193">
        <v>214.430644</v>
      </c>
    </row>
    <row r="194" spans="1:2" x14ac:dyDescent="0.25">
      <c r="A194">
        <v>882.16564900000003</v>
      </c>
      <c r="B194">
        <v>588.65759300000002</v>
      </c>
    </row>
    <row r="195" spans="1:2" x14ac:dyDescent="0.25">
      <c r="A195">
        <v>882.17368099999999</v>
      </c>
      <c r="B195">
        <v>1287.741536</v>
      </c>
    </row>
    <row r="196" spans="1:2" x14ac:dyDescent="0.25">
      <c r="A196">
        <v>883.17236300000002</v>
      </c>
      <c r="B196">
        <v>285.79361999999998</v>
      </c>
    </row>
    <row r="197" spans="1:2" x14ac:dyDescent="0.25">
      <c r="A197">
        <v>883.17712400000005</v>
      </c>
      <c r="B197">
        <v>274.21026599999999</v>
      </c>
    </row>
    <row r="198" spans="1:2" x14ac:dyDescent="0.25">
      <c r="A198">
        <v>895.035034</v>
      </c>
      <c r="B198">
        <v>197.11393200000001</v>
      </c>
    </row>
    <row r="199" spans="1:2" x14ac:dyDescent="0.25">
      <c r="A199">
        <v>896.88275099999998</v>
      </c>
      <c r="B199">
        <v>153.37635299999999</v>
      </c>
    </row>
    <row r="200" spans="1:2" x14ac:dyDescent="0.25">
      <c r="A200">
        <v>900.17681900000002</v>
      </c>
      <c r="B200">
        <v>205.400879</v>
      </c>
    </row>
    <row r="201" spans="1:2" x14ac:dyDescent="0.25">
      <c r="A201">
        <v>900.18810199999996</v>
      </c>
      <c r="B201">
        <v>588.84482800000001</v>
      </c>
    </row>
    <row r="202" spans="1:2" x14ac:dyDescent="0.25">
      <c r="A202">
        <v>913.04497200000003</v>
      </c>
      <c r="B202">
        <v>422.96500700000001</v>
      </c>
    </row>
    <row r="203" spans="1:2" x14ac:dyDescent="0.25">
      <c r="A203">
        <v>926.10076900000001</v>
      </c>
      <c r="B203">
        <v>451.39221199999997</v>
      </c>
    </row>
    <row r="204" spans="1:2" x14ac:dyDescent="0.25">
      <c r="A204">
        <v>926.10933199999999</v>
      </c>
      <c r="B204">
        <v>1200.0880529999999</v>
      </c>
    </row>
    <row r="205" spans="1:2" x14ac:dyDescent="0.25">
      <c r="A205">
        <v>927.11163299999998</v>
      </c>
      <c r="B205">
        <v>221.091329</v>
      </c>
    </row>
    <row r="206" spans="1:2" x14ac:dyDescent="0.25">
      <c r="A206">
        <v>935.11499000000003</v>
      </c>
      <c r="B206">
        <v>182.75618499999999</v>
      </c>
    </row>
    <row r="207" spans="1:2" x14ac:dyDescent="0.25">
      <c r="A207">
        <v>935.12109399999997</v>
      </c>
      <c r="B207">
        <v>216.01570599999999</v>
      </c>
    </row>
    <row r="208" spans="1:2" x14ac:dyDescent="0.25">
      <c r="A208">
        <v>944.11468500000001</v>
      </c>
      <c r="B208">
        <v>1431.789876</v>
      </c>
    </row>
    <row r="209" spans="1:2" x14ac:dyDescent="0.25">
      <c r="A209">
        <v>944.12205500000005</v>
      </c>
      <c r="B209">
        <v>2467.427612</v>
      </c>
    </row>
    <row r="210" spans="1:2" x14ac:dyDescent="0.25">
      <c r="A210">
        <v>945.11869100000001</v>
      </c>
      <c r="B210">
        <v>945.86686199999997</v>
      </c>
    </row>
    <row r="211" spans="1:2" x14ac:dyDescent="0.25">
      <c r="A211">
        <v>945.129456</v>
      </c>
      <c r="B211">
        <v>421.83671099999998</v>
      </c>
    </row>
    <row r="212" spans="1:2" x14ac:dyDescent="0.25">
      <c r="A212">
        <v>947.10540800000001</v>
      </c>
      <c r="B212">
        <v>158.473501</v>
      </c>
    </row>
    <row r="213" spans="1:2" x14ac:dyDescent="0.25">
      <c r="A213">
        <v>953.12390100000005</v>
      </c>
      <c r="B213">
        <v>770.63981100000001</v>
      </c>
    </row>
    <row r="214" spans="1:2" x14ac:dyDescent="0.25">
      <c r="A214">
        <v>953.13139699999999</v>
      </c>
      <c r="B214">
        <v>939.86041299999999</v>
      </c>
    </row>
    <row r="215" spans="1:2" x14ac:dyDescent="0.25">
      <c r="A215">
        <v>954.121216</v>
      </c>
      <c r="B215">
        <v>185.06530799999999</v>
      </c>
    </row>
    <row r="216" spans="1:2" x14ac:dyDescent="0.25">
      <c r="A216">
        <v>962.13385000000005</v>
      </c>
      <c r="B216">
        <v>2485.3328449999999</v>
      </c>
    </row>
    <row r="217" spans="1:2" x14ac:dyDescent="0.25">
      <c r="A217">
        <v>962.14160800000002</v>
      </c>
      <c r="B217">
        <v>4034.0501300000001</v>
      </c>
    </row>
    <row r="218" spans="1:2" x14ac:dyDescent="0.25">
      <c r="A218">
        <v>963.136169</v>
      </c>
      <c r="B218">
        <v>903.15478499999995</v>
      </c>
    </row>
    <row r="219" spans="1:2" x14ac:dyDescent="0.25">
      <c r="A219">
        <v>963.14529200000004</v>
      </c>
      <c r="B219">
        <v>1510.347493</v>
      </c>
    </row>
    <row r="220" spans="1:2" x14ac:dyDescent="0.25">
      <c r="A220">
        <v>964.144409</v>
      </c>
      <c r="B220">
        <v>312.41294399999998</v>
      </c>
    </row>
    <row r="221" spans="1:2" x14ac:dyDescent="0.25">
      <c r="A221">
        <v>964.15240500000004</v>
      </c>
      <c r="B221">
        <v>194.71313499999999</v>
      </c>
    </row>
    <row r="222" spans="1:2" x14ac:dyDescent="0.25">
      <c r="A222">
        <v>993.10528599999998</v>
      </c>
      <c r="B222">
        <v>256.155823</v>
      </c>
    </row>
    <row r="223" spans="1:2" x14ac:dyDescent="0.25">
      <c r="A223">
        <v>1006.069763</v>
      </c>
      <c r="B223">
        <v>191.673157</v>
      </c>
    </row>
    <row r="224" spans="1:2" x14ac:dyDescent="0.25">
      <c r="A224">
        <v>1006.075163</v>
      </c>
      <c r="B224">
        <v>359.69058200000001</v>
      </c>
    </row>
    <row r="225" spans="1:2" x14ac:dyDescent="0.25">
      <c r="A225">
        <v>1014.064697</v>
      </c>
      <c r="B225">
        <v>168.629344</v>
      </c>
    </row>
    <row r="226" spans="1:2" x14ac:dyDescent="0.25">
      <c r="A226">
        <v>1015.078674</v>
      </c>
      <c r="B226">
        <v>232.70631900000001</v>
      </c>
    </row>
    <row r="227" spans="1:2" x14ac:dyDescent="0.25">
      <c r="A227">
        <v>1024.0802000000001</v>
      </c>
      <c r="B227">
        <v>902.55143199999998</v>
      </c>
    </row>
    <row r="228" spans="1:2" x14ac:dyDescent="0.25">
      <c r="A228">
        <v>1024.0882320000001</v>
      </c>
      <c r="B228">
        <v>1547.2947999999999</v>
      </c>
    </row>
    <row r="229" spans="1:2" x14ac:dyDescent="0.25">
      <c r="A229">
        <v>1025.08728</v>
      </c>
      <c r="B229">
        <v>218.464966</v>
      </c>
    </row>
    <row r="230" spans="1:2" x14ac:dyDescent="0.25">
      <c r="A230">
        <v>1025.095703</v>
      </c>
      <c r="B230">
        <v>344.96529099999998</v>
      </c>
    </row>
    <row r="231" spans="1:2" x14ac:dyDescent="0.25">
      <c r="A231">
        <v>1042.0996090000001</v>
      </c>
      <c r="B231">
        <v>388.08902999999998</v>
      </c>
    </row>
    <row r="232" spans="1:2" x14ac:dyDescent="0.25">
      <c r="A232">
        <v>1042.106323</v>
      </c>
      <c r="B232">
        <v>280.14473500000003</v>
      </c>
    </row>
    <row r="233" spans="1:2" x14ac:dyDescent="0.25">
      <c r="A233">
        <v>1043.1173100000001</v>
      </c>
      <c r="B233">
        <v>177.45963499999999</v>
      </c>
    </row>
    <row r="234" spans="1:2" x14ac:dyDescent="0.25">
      <c r="A234">
        <v>1058.131836</v>
      </c>
      <c r="B234">
        <v>190.954508</v>
      </c>
    </row>
    <row r="235" spans="1:2" x14ac:dyDescent="0.25">
      <c r="A235">
        <v>1062.139404</v>
      </c>
      <c r="B235">
        <v>210.87978100000001</v>
      </c>
    </row>
    <row r="236" spans="1:2" x14ac:dyDescent="0.25">
      <c r="A236">
        <v>1109.1682129999999</v>
      </c>
      <c r="B236">
        <v>173.28002900000001</v>
      </c>
    </row>
    <row r="237" spans="1:2" x14ac:dyDescent="0.25">
      <c r="A237">
        <v>1117.6572450000001</v>
      </c>
      <c r="B237">
        <v>953.48545300000001</v>
      </c>
    </row>
    <row r="238" spans="1:2" x14ac:dyDescent="0.25">
      <c r="A238">
        <v>1118.149658</v>
      </c>
      <c r="B238">
        <v>273.12237499999998</v>
      </c>
    </row>
    <row r="239" spans="1:2" x14ac:dyDescent="0.25">
      <c r="A239">
        <v>1118.1629640000001</v>
      </c>
      <c r="B239">
        <v>242.74918600000001</v>
      </c>
    </row>
    <row r="240" spans="1:2" x14ac:dyDescent="0.25">
      <c r="A240">
        <v>1138.110596</v>
      </c>
      <c r="B240">
        <v>272.98868800000002</v>
      </c>
    </row>
    <row r="241" spans="1:2" x14ac:dyDescent="0.25">
      <c r="A241">
        <v>1138.1204829999999</v>
      </c>
      <c r="B241">
        <v>518.511393</v>
      </c>
    </row>
    <row r="242" spans="1:2" x14ac:dyDescent="0.25">
      <c r="A242">
        <v>1139.1152340000001</v>
      </c>
      <c r="B242">
        <v>251.83968100000001</v>
      </c>
    </row>
    <row r="243" spans="1:2" x14ac:dyDescent="0.25">
      <c r="A243">
        <v>1148.144043</v>
      </c>
      <c r="B243">
        <v>197.72395800000001</v>
      </c>
    </row>
    <row r="244" spans="1:2" x14ac:dyDescent="0.25">
      <c r="A244">
        <v>1157.6343360000001</v>
      </c>
      <c r="B244">
        <v>327.84749299999999</v>
      </c>
    </row>
    <row r="245" spans="1:2" x14ac:dyDescent="0.25">
      <c r="A245">
        <v>1169.1888429999999</v>
      </c>
      <c r="B245">
        <v>215.800802</v>
      </c>
    </row>
    <row r="246" spans="1:2" x14ac:dyDescent="0.25">
      <c r="A246">
        <v>1171.122803</v>
      </c>
      <c r="B246">
        <v>280.07613099999998</v>
      </c>
    </row>
    <row r="247" spans="1:2" x14ac:dyDescent="0.25">
      <c r="A247">
        <v>1176.179443</v>
      </c>
      <c r="B247">
        <v>174.28259299999999</v>
      </c>
    </row>
    <row r="248" spans="1:2" x14ac:dyDescent="0.25">
      <c r="A248">
        <v>1249.1524460000001</v>
      </c>
      <c r="B248">
        <v>469.28472900000003</v>
      </c>
    </row>
    <row r="249" spans="1:2" x14ac:dyDescent="0.25">
      <c r="A249">
        <v>1264.175293</v>
      </c>
      <c r="B249">
        <v>246.750753</v>
      </c>
    </row>
    <row r="250" spans="1:2" x14ac:dyDescent="0.25">
      <c r="A250">
        <v>1273.1561280000001</v>
      </c>
      <c r="B250">
        <v>443.03959099999997</v>
      </c>
    </row>
    <row r="251" spans="1:2" x14ac:dyDescent="0.25">
      <c r="A251">
        <v>1273.1707759999999</v>
      </c>
      <c r="B251">
        <v>379.51509600000003</v>
      </c>
    </row>
    <row r="252" spans="1:2" x14ac:dyDescent="0.25">
      <c r="A252">
        <v>1274.1823730000001</v>
      </c>
      <c r="B252">
        <v>223.80873600000001</v>
      </c>
    </row>
    <row r="253" spans="1:2" x14ac:dyDescent="0.25">
      <c r="A253">
        <v>1282.173706</v>
      </c>
      <c r="B253">
        <v>1418.206868</v>
      </c>
    </row>
    <row r="254" spans="1:2" x14ac:dyDescent="0.25">
      <c r="A254">
        <v>1282.1851180000001</v>
      </c>
      <c r="B254">
        <v>2453.5146479999999</v>
      </c>
    </row>
    <row r="255" spans="1:2" x14ac:dyDescent="0.25">
      <c r="A255">
        <v>1282.6739500000001</v>
      </c>
      <c r="B255">
        <v>719.31469700000002</v>
      </c>
    </row>
    <row r="256" spans="1:2" x14ac:dyDescent="0.25">
      <c r="A256">
        <v>1282.6836989999999</v>
      </c>
      <c r="B256">
        <v>1116.0386559999999</v>
      </c>
    </row>
    <row r="257" spans="1:2" x14ac:dyDescent="0.25">
      <c r="A257">
        <v>1283.1759030000001</v>
      </c>
      <c r="B257">
        <v>803.98372400000005</v>
      </c>
    </row>
    <row r="258" spans="1:2" x14ac:dyDescent="0.25">
      <c r="A258">
        <v>1283.188981</v>
      </c>
      <c r="B258">
        <v>1484.331991</v>
      </c>
    </row>
    <row r="259" spans="1:2" x14ac:dyDescent="0.25">
      <c r="A259">
        <v>1284.1789550000001</v>
      </c>
      <c r="B259">
        <v>248.938456</v>
      </c>
    </row>
    <row r="260" spans="1:2" x14ac:dyDescent="0.25">
      <c r="A260">
        <v>1284.1945800000001</v>
      </c>
      <c r="B260">
        <v>216.96268699999999</v>
      </c>
    </row>
    <row r="261" spans="1:2" x14ac:dyDescent="0.25">
      <c r="A261">
        <v>1291.1960449999999</v>
      </c>
      <c r="B261">
        <v>179.320211</v>
      </c>
    </row>
    <row r="262" spans="1:2" x14ac:dyDescent="0.25">
      <c r="A262">
        <v>1322.659668</v>
      </c>
      <c r="B262">
        <v>189.27124000000001</v>
      </c>
    </row>
    <row r="263" spans="1:2" x14ac:dyDescent="0.25">
      <c r="A263">
        <v>1344.1448969999999</v>
      </c>
      <c r="B263">
        <v>203.37634299999999</v>
      </c>
    </row>
    <row r="264" spans="1:2" x14ac:dyDescent="0.25">
      <c r="A264">
        <v>1353.1354980000001</v>
      </c>
      <c r="B264">
        <v>293.52349900000002</v>
      </c>
    </row>
    <row r="265" spans="1:2" x14ac:dyDescent="0.25">
      <c r="A265">
        <v>1380.8630370000001</v>
      </c>
      <c r="B265">
        <v>925.42049199999997</v>
      </c>
    </row>
    <row r="266" spans="1:2" x14ac:dyDescent="0.25">
      <c r="A266">
        <v>1381.1820070000001</v>
      </c>
      <c r="B266">
        <v>932.542236</v>
      </c>
    </row>
    <row r="267" spans="1:2" x14ac:dyDescent="0.25">
      <c r="A267">
        <v>1381.1991049999999</v>
      </c>
      <c r="B267">
        <v>1578.4651690000001</v>
      </c>
    </row>
    <row r="268" spans="1:2" x14ac:dyDescent="0.25">
      <c r="A268">
        <v>1381.5150149999999</v>
      </c>
      <c r="B268">
        <v>839.127523</v>
      </c>
    </row>
    <row r="269" spans="1:2" x14ac:dyDescent="0.25">
      <c r="A269">
        <v>1381.5325680000001</v>
      </c>
      <c r="B269">
        <v>1339.6028650000001</v>
      </c>
    </row>
    <row r="270" spans="1:2" x14ac:dyDescent="0.25">
      <c r="A270">
        <v>1381.8485109999999</v>
      </c>
      <c r="B270">
        <v>413.272176</v>
      </c>
    </row>
    <row r="271" spans="1:2" x14ac:dyDescent="0.25">
      <c r="A271">
        <v>1381.8709719999999</v>
      </c>
      <c r="B271">
        <v>402.34049499999998</v>
      </c>
    </row>
    <row r="272" spans="1:2" x14ac:dyDescent="0.25">
      <c r="A272">
        <v>1382.200562</v>
      </c>
      <c r="B272">
        <v>297.05961100000002</v>
      </c>
    </row>
    <row r="273" spans="1:2" x14ac:dyDescent="0.25">
      <c r="A273">
        <v>1401.1647949999999</v>
      </c>
      <c r="B273">
        <v>196.30948900000001</v>
      </c>
    </row>
    <row r="274" spans="1:2" x14ac:dyDescent="0.25">
      <c r="A274">
        <v>1408.1735839999999</v>
      </c>
      <c r="B274">
        <v>220.36071799999999</v>
      </c>
    </row>
    <row r="275" spans="1:2" x14ac:dyDescent="0.25">
      <c r="A275">
        <v>1408.5235600000001</v>
      </c>
      <c r="B275">
        <v>181.70157900000001</v>
      </c>
    </row>
    <row r="276" spans="1:2" x14ac:dyDescent="0.25">
      <c r="A276">
        <v>1408.859375</v>
      </c>
      <c r="B276">
        <v>437.58186799999999</v>
      </c>
    </row>
    <row r="277" spans="1:2" x14ac:dyDescent="0.25">
      <c r="A277">
        <v>1422.5399170000001</v>
      </c>
      <c r="B277">
        <v>297.76826999999997</v>
      </c>
    </row>
    <row r="278" spans="1:2" x14ac:dyDescent="0.25">
      <c r="A278">
        <v>1434.6914059999999</v>
      </c>
      <c r="B278">
        <v>578.71923800000002</v>
      </c>
    </row>
    <row r="279" spans="1:2" x14ac:dyDescent="0.25">
      <c r="A279">
        <v>1434.7102050000001</v>
      </c>
      <c r="B279">
        <v>470.41792800000002</v>
      </c>
    </row>
    <row r="280" spans="1:2" x14ac:dyDescent="0.25">
      <c r="A280">
        <v>1435.1917719999999</v>
      </c>
      <c r="B280">
        <v>685.86669900000004</v>
      </c>
    </row>
    <row r="281" spans="1:2" x14ac:dyDescent="0.25">
      <c r="A281">
        <v>1435.206919</v>
      </c>
      <c r="B281">
        <v>1020.375</v>
      </c>
    </row>
    <row r="282" spans="1:2" x14ac:dyDescent="0.25">
      <c r="A282">
        <v>1435.701538</v>
      </c>
      <c r="B282">
        <v>281.69698099999999</v>
      </c>
    </row>
    <row r="283" spans="1:2" x14ac:dyDescent="0.25">
      <c r="A283">
        <v>1435.711808</v>
      </c>
      <c r="B283">
        <v>839.46167000000003</v>
      </c>
    </row>
    <row r="284" spans="1:2" x14ac:dyDescent="0.25">
      <c r="A284">
        <v>1436.2033690000001</v>
      </c>
      <c r="B284">
        <v>314.795817</v>
      </c>
    </row>
    <row r="285" spans="1:2" x14ac:dyDescent="0.25">
      <c r="A285">
        <v>1445.5092770000001</v>
      </c>
      <c r="B285">
        <v>1162.1297199999999</v>
      </c>
    </row>
    <row r="286" spans="1:2" x14ac:dyDescent="0.25">
      <c r="A286">
        <v>1445.5276349999999</v>
      </c>
      <c r="B286">
        <v>1972.700887</v>
      </c>
    </row>
    <row r="287" spans="1:2" x14ac:dyDescent="0.25">
      <c r="A287">
        <v>1445.8476559999999</v>
      </c>
      <c r="B287">
        <v>2508.102539</v>
      </c>
    </row>
    <row r="288" spans="1:2" x14ac:dyDescent="0.25">
      <c r="A288">
        <v>1445.8617549999999</v>
      </c>
      <c r="B288">
        <v>2924.6573079999998</v>
      </c>
    </row>
    <row r="289" spans="1:2" x14ac:dyDescent="0.25">
      <c r="A289">
        <v>1446.181274</v>
      </c>
      <c r="B289">
        <v>2579.9077149999998</v>
      </c>
    </row>
    <row r="290" spans="1:2" x14ac:dyDescent="0.25">
      <c r="A290">
        <v>1446.197028</v>
      </c>
      <c r="B290">
        <v>3007.4793289999998</v>
      </c>
    </row>
    <row r="291" spans="1:2" x14ac:dyDescent="0.25">
      <c r="A291">
        <v>1446.517822</v>
      </c>
      <c r="B291">
        <v>1890.380371</v>
      </c>
    </row>
    <row r="292" spans="1:2" x14ac:dyDescent="0.25">
      <c r="A292">
        <v>1446.5318</v>
      </c>
      <c r="B292">
        <v>2660.404215</v>
      </c>
    </row>
    <row r="293" spans="1:2" x14ac:dyDescent="0.25">
      <c r="A293">
        <v>1446.8516850000001</v>
      </c>
      <c r="B293">
        <v>740.64453100000003</v>
      </c>
    </row>
    <row r="294" spans="1:2" x14ac:dyDescent="0.25">
      <c r="A294">
        <v>1446.8706050000001</v>
      </c>
      <c r="B294">
        <v>522.922729</v>
      </c>
    </row>
    <row r="295" spans="1:2" x14ac:dyDescent="0.25">
      <c r="A295">
        <v>1453.5112300000001</v>
      </c>
      <c r="B295">
        <v>635.45642099999998</v>
      </c>
    </row>
    <row r="296" spans="1:2" x14ac:dyDescent="0.25">
      <c r="A296">
        <v>1453.529916</v>
      </c>
      <c r="B296">
        <v>1033.5185140000001</v>
      </c>
    </row>
    <row r="297" spans="1:2" x14ac:dyDescent="0.25">
      <c r="A297">
        <v>1453.8485109999999</v>
      </c>
      <c r="B297">
        <v>1311.5531410000001</v>
      </c>
    </row>
    <row r="298" spans="1:2" x14ac:dyDescent="0.25">
      <c r="A298">
        <v>1453.867825</v>
      </c>
      <c r="B298">
        <v>1726.0200199999999</v>
      </c>
    </row>
    <row r="299" spans="1:2" x14ac:dyDescent="0.25">
      <c r="A299">
        <v>1454.1854249999999</v>
      </c>
      <c r="B299">
        <v>1236.9189449999999</v>
      </c>
    </row>
    <row r="300" spans="1:2" x14ac:dyDescent="0.25">
      <c r="A300">
        <v>1454.2021549999999</v>
      </c>
      <c r="B300">
        <v>2099.038818</v>
      </c>
    </row>
    <row r="301" spans="1:2" x14ac:dyDescent="0.25">
      <c r="A301">
        <v>1454.515625</v>
      </c>
      <c r="B301">
        <v>662.40425600000003</v>
      </c>
    </row>
    <row r="302" spans="1:2" x14ac:dyDescent="0.25">
      <c r="A302">
        <v>1454.53549</v>
      </c>
      <c r="B302">
        <v>1351.163818</v>
      </c>
    </row>
    <row r="303" spans="1:2" x14ac:dyDescent="0.25">
      <c r="A303">
        <v>1454.8511960000001</v>
      </c>
      <c r="B303">
        <v>346.95304399999998</v>
      </c>
    </row>
    <row r="304" spans="1:2" x14ac:dyDescent="0.25">
      <c r="A304">
        <v>1454.8630370000001</v>
      </c>
      <c r="B304">
        <v>343.786092</v>
      </c>
    </row>
    <row r="305" spans="1:2" x14ac:dyDescent="0.25">
      <c r="A305">
        <v>1466.2082519999999</v>
      </c>
      <c r="B305">
        <v>162.75494399999999</v>
      </c>
    </row>
    <row r="306" spans="1:2" x14ac:dyDescent="0.25">
      <c r="A306">
        <v>1466.9414059999999</v>
      </c>
      <c r="B306">
        <v>167.94629900000001</v>
      </c>
    </row>
    <row r="307" spans="1:2" x14ac:dyDescent="0.25">
      <c r="A307">
        <v>1484.527466</v>
      </c>
      <c r="B307">
        <v>552.00256300000001</v>
      </c>
    </row>
    <row r="308" spans="1:2" x14ac:dyDescent="0.25">
      <c r="A308">
        <v>1484.5493160000001</v>
      </c>
      <c r="B308">
        <v>219.33195000000001</v>
      </c>
    </row>
    <row r="309" spans="1:2" x14ac:dyDescent="0.25">
      <c r="A309">
        <v>1484.8588870000001</v>
      </c>
      <c r="B309">
        <v>1292.1503090000001</v>
      </c>
    </row>
    <row r="310" spans="1:2" x14ac:dyDescent="0.25">
      <c r="A310">
        <v>1484.8762839999999</v>
      </c>
      <c r="B310">
        <v>1793.1873780000001</v>
      </c>
    </row>
    <row r="311" spans="1:2" x14ac:dyDescent="0.25">
      <c r="A311">
        <v>1485.1944579999999</v>
      </c>
      <c r="B311">
        <v>972.55127000000005</v>
      </c>
    </row>
    <row r="312" spans="1:2" x14ac:dyDescent="0.25">
      <c r="A312">
        <v>1485.2118660000001</v>
      </c>
      <c r="B312">
        <v>2553.6492509999998</v>
      </c>
    </row>
    <row r="313" spans="1:2" x14ac:dyDescent="0.25">
      <c r="A313">
        <v>1485.5310059999999</v>
      </c>
      <c r="B313">
        <v>963.81437200000005</v>
      </c>
    </row>
    <row r="314" spans="1:2" x14ac:dyDescent="0.25">
      <c r="A314">
        <v>1485.545327</v>
      </c>
      <c r="B314">
        <v>1149.0314739999999</v>
      </c>
    </row>
    <row r="315" spans="1:2" x14ac:dyDescent="0.25">
      <c r="A315">
        <v>1485.866577</v>
      </c>
      <c r="B315">
        <v>832.27132200000005</v>
      </c>
    </row>
    <row r="316" spans="1:2" x14ac:dyDescent="0.25">
      <c r="A316">
        <v>1485.8836670000001</v>
      </c>
      <c r="B316">
        <v>313.19864899999999</v>
      </c>
    </row>
    <row r="317" spans="1:2" x14ac:dyDescent="0.25">
      <c r="A317">
        <v>1490.321289</v>
      </c>
      <c r="B317">
        <v>247.45031700000001</v>
      </c>
    </row>
    <row r="318" spans="1:2" x14ac:dyDescent="0.25">
      <c r="A318">
        <v>1490.530029</v>
      </c>
      <c r="B318">
        <v>14584.421875</v>
      </c>
    </row>
    <row r="319" spans="1:2" x14ac:dyDescent="0.25">
      <c r="A319">
        <v>1490.5464589999999</v>
      </c>
      <c r="B319">
        <v>21254.872395999999</v>
      </c>
    </row>
    <row r="320" spans="1:2" x14ac:dyDescent="0.25">
      <c r="A320">
        <v>1490.8642580000001</v>
      </c>
      <c r="B320">
        <v>30389.101563</v>
      </c>
    </row>
    <row r="321" spans="1:2" x14ac:dyDescent="0.25">
      <c r="A321">
        <v>1490.880805</v>
      </c>
      <c r="B321">
        <v>48515.111979000001</v>
      </c>
    </row>
    <row r="322" spans="1:2" x14ac:dyDescent="0.25">
      <c r="A322">
        <v>1491.1998289999999</v>
      </c>
      <c r="B322">
        <v>31731.390625</v>
      </c>
    </row>
    <row r="323" spans="1:2" x14ac:dyDescent="0.25">
      <c r="A323">
        <v>1491.215373</v>
      </c>
      <c r="B323">
        <v>52349.966145999999</v>
      </c>
    </row>
    <row r="324" spans="1:2" x14ac:dyDescent="0.25">
      <c r="A324">
        <v>1491.5341800000001</v>
      </c>
      <c r="B324">
        <v>23038.447917000001</v>
      </c>
    </row>
    <row r="325" spans="1:2" x14ac:dyDescent="0.25">
      <c r="A325">
        <v>1491.5500669999999</v>
      </c>
      <c r="B325">
        <v>34683.841145999999</v>
      </c>
    </row>
    <row r="326" spans="1:2" x14ac:dyDescent="0.25">
      <c r="A326">
        <v>1491.868408</v>
      </c>
      <c r="B326">
        <v>9237.8463539999993</v>
      </c>
    </row>
    <row r="327" spans="1:2" x14ac:dyDescent="0.25">
      <c r="A327">
        <v>1491.8846759999999</v>
      </c>
      <c r="B327">
        <v>13676.948893000001</v>
      </c>
    </row>
    <row r="328" spans="1:2" x14ac:dyDescent="0.25">
      <c r="A328">
        <v>1492.096558</v>
      </c>
      <c r="B328">
        <v>239.06162499999999</v>
      </c>
    </row>
    <row r="329" spans="1:2" x14ac:dyDescent="0.25">
      <c r="A329">
        <v>1595.209351</v>
      </c>
      <c r="B329">
        <v>361.77530899999999</v>
      </c>
    </row>
    <row r="330" spans="1:2" x14ac:dyDescent="0.25">
      <c r="A330">
        <v>1595.2266460000001</v>
      </c>
      <c r="B330">
        <v>596.50061000000005</v>
      </c>
    </row>
    <row r="331" spans="1:2" x14ac:dyDescent="0.25">
      <c r="A331">
        <v>1595.714111</v>
      </c>
      <c r="B331">
        <v>272.215597</v>
      </c>
    </row>
    <row r="332" spans="1:2" x14ac:dyDescent="0.25">
      <c r="A332">
        <v>1595.733154</v>
      </c>
      <c r="B332">
        <v>323.05623400000002</v>
      </c>
    </row>
    <row r="333" spans="1:2" x14ac:dyDescent="0.25">
      <c r="A333">
        <v>1602.205688</v>
      </c>
      <c r="B333">
        <v>675.32865400000003</v>
      </c>
    </row>
    <row r="334" spans="1:2" x14ac:dyDescent="0.25">
      <c r="A334">
        <v>1602.2286329999999</v>
      </c>
      <c r="B334">
        <v>1063.503377</v>
      </c>
    </row>
    <row r="335" spans="1:2" x14ac:dyDescent="0.25">
      <c r="A335">
        <v>1603.2333980000001</v>
      </c>
      <c r="B335">
        <v>546.15429700000004</v>
      </c>
    </row>
    <row r="336" spans="1:2" x14ac:dyDescent="0.25">
      <c r="A336">
        <v>1682.19165</v>
      </c>
      <c r="B336">
        <v>279.93721499999998</v>
      </c>
    </row>
    <row r="337" spans="1:2" x14ac:dyDescent="0.25">
      <c r="A337">
        <v>1702.143677</v>
      </c>
      <c r="B337">
        <v>176.56711799999999</v>
      </c>
    </row>
    <row r="338" spans="1:2" x14ac:dyDescent="0.25">
      <c r="A338">
        <v>1754.725848</v>
      </c>
      <c r="B338">
        <v>462.48018400000001</v>
      </c>
    </row>
    <row r="339" spans="1:2" x14ac:dyDescent="0.25">
      <c r="A339">
        <v>1754.7360839999999</v>
      </c>
      <c r="B339">
        <v>395.99690800000002</v>
      </c>
    </row>
    <row r="340" spans="1:2" x14ac:dyDescent="0.25">
      <c r="A340">
        <v>1755.225952</v>
      </c>
      <c r="B340">
        <v>711.20345099999997</v>
      </c>
    </row>
    <row r="341" spans="1:2" x14ac:dyDescent="0.25">
      <c r="A341">
        <v>1755.2446709999999</v>
      </c>
      <c r="B341">
        <v>870.066508</v>
      </c>
    </row>
    <row r="342" spans="1:2" x14ac:dyDescent="0.25">
      <c r="A342">
        <v>1755.752082</v>
      </c>
      <c r="B342">
        <v>771.60526500000003</v>
      </c>
    </row>
    <row r="343" spans="1:2" x14ac:dyDescent="0.25">
      <c r="A343">
        <v>1756.213745</v>
      </c>
      <c r="B343">
        <v>239.64257799999999</v>
      </c>
    </row>
    <row r="344" spans="1:2" x14ac:dyDescent="0.25">
      <c r="A344">
        <v>1756.2368160000001</v>
      </c>
      <c r="B344">
        <v>336.23868800000002</v>
      </c>
    </row>
    <row r="345" spans="1:2" x14ac:dyDescent="0.25">
      <c r="A345">
        <v>1907.23938</v>
      </c>
      <c r="B345">
        <v>576.89257799999996</v>
      </c>
    </row>
    <row r="346" spans="1:2" x14ac:dyDescent="0.25">
      <c r="A346">
        <v>1907.2658570000001</v>
      </c>
      <c r="B346">
        <v>744.23482300000001</v>
      </c>
    </row>
    <row r="347" spans="1:2" x14ac:dyDescent="0.25">
      <c r="A347">
        <v>1907.73938</v>
      </c>
      <c r="B347">
        <v>741.63378899999998</v>
      </c>
    </row>
    <row r="348" spans="1:2" x14ac:dyDescent="0.25">
      <c r="A348">
        <v>1907.770888</v>
      </c>
      <c r="B348">
        <v>832.41113299999995</v>
      </c>
    </row>
    <row r="349" spans="1:2" x14ac:dyDescent="0.25">
      <c r="A349">
        <v>1908.2561040000001</v>
      </c>
      <c r="B349">
        <v>530.07995600000004</v>
      </c>
    </row>
    <row r="350" spans="1:2" x14ac:dyDescent="0.25">
      <c r="A350">
        <v>1908.269043</v>
      </c>
      <c r="B350">
        <v>632.48421199999996</v>
      </c>
    </row>
    <row r="351" spans="1:2" x14ac:dyDescent="0.25">
      <c r="A351">
        <v>1908.2795410000001</v>
      </c>
      <c r="B351">
        <v>380.02608199999997</v>
      </c>
    </row>
    <row r="352" spans="1:2" x14ac:dyDescent="0.25">
      <c r="A352">
        <v>1908.7547609999999</v>
      </c>
      <c r="B352">
        <v>241.642822</v>
      </c>
    </row>
    <row r="353" spans="1:2" x14ac:dyDescent="0.25">
      <c r="A353">
        <v>1909.2514650000001</v>
      </c>
      <c r="B353">
        <v>179.73211699999999</v>
      </c>
    </row>
    <row r="354" spans="1:2" x14ac:dyDescent="0.25">
      <c r="A354">
        <v>1909.2680660000001</v>
      </c>
      <c r="B354">
        <v>281.54579699999999</v>
      </c>
    </row>
    <row r="355" spans="1:2" x14ac:dyDescent="0.25">
      <c r="A355">
        <v>1909.2879640000001</v>
      </c>
      <c r="B355">
        <v>174.74389600000001</v>
      </c>
    </row>
    <row r="19990" spans="5:5" x14ac:dyDescent="0.25">
      <c r="E19990" s="20"/>
    </row>
  </sheetData>
  <dataValidations count="1">
    <dataValidation type="list" allowBlank="1" showInputMessage="1" showErrorMessage="1" sqref="F4" xr:uid="{F635878D-D270-4C74-95D6-86C69E650796}">
      <formula1>$X$1:$X$2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65235-ACF9-4881-9CD8-DB8AC33CBF1C}">
  <sheetPr codeName="Sheet3"/>
  <dimension ref="A1:AF134"/>
  <sheetViews>
    <sheetView zoomScaleNormal="100" workbookViewId="0">
      <selection sqref="A1:XFD1048576"/>
    </sheetView>
  </sheetViews>
  <sheetFormatPr defaultColWidth="8.85546875" defaultRowHeight="15" x14ac:dyDescent="0.25"/>
  <cols>
    <col min="1" max="1" width="11" style="13" bestFit="1" customWidth="1"/>
    <col min="2" max="3" width="8.85546875" style="13"/>
    <col min="4" max="32" width="9.42578125" style="14" bestFit="1" customWidth="1"/>
    <col min="33" max="16384" width="8.85546875" style="13"/>
  </cols>
  <sheetData>
    <row r="1" spans="1:32" x14ac:dyDescent="0.25">
      <c r="A1" s="13" t="s">
        <v>52</v>
      </c>
      <c r="B1" s="13" t="s">
        <v>53</v>
      </c>
      <c r="C1" s="13" t="s">
        <v>20</v>
      </c>
      <c r="D1" s="14" t="s">
        <v>54</v>
      </c>
      <c r="E1" s="14" t="s">
        <v>76</v>
      </c>
      <c r="F1" s="14" t="s">
        <v>80</v>
      </c>
      <c r="G1" s="14" t="s">
        <v>77</v>
      </c>
      <c r="H1" s="14" t="s">
        <v>55</v>
      </c>
      <c r="I1" s="14" t="s">
        <v>56</v>
      </c>
      <c r="J1" s="14" t="s">
        <v>81</v>
      </c>
      <c r="K1" s="14" t="s">
        <v>82</v>
      </c>
      <c r="L1" s="14" t="s">
        <v>83</v>
      </c>
      <c r="M1" s="14" t="s">
        <v>57</v>
      </c>
      <c r="N1" s="14" t="s">
        <v>78</v>
      </c>
      <c r="O1" s="14" t="s">
        <v>84</v>
      </c>
      <c r="P1" s="14" t="s">
        <v>79</v>
      </c>
      <c r="Q1" s="14" t="s">
        <v>58</v>
      </c>
      <c r="R1" s="14" t="s">
        <v>85</v>
      </c>
      <c r="S1" s="14" t="s">
        <v>86</v>
      </c>
      <c r="T1" s="14" t="s">
        <v>87</v>
      </c>
      <c r="U1" s="14" t="s">
        <v>88</v>
      </c>
      <c r="V1" s="14" t="s">
        <v>89</v>
      </c>
      <c r="W1" s="14" t="s">
        <v>90</v>
      </c>
      <c r="X1" s="14" t="s">
        <v>91</v>
      </c>
      <c r="Y1" s="14" t="s">
        <v>92</v>
      </c>
      <c r="Z1" s="14" t="s">
        <v>93</v>
      </c>
      <c r="AA1" s="14" t="s">
        <v>94</v>
      </c>
      <c r="AB1" s="14" t="s">
        <v>95</v>
      </c>
      <c r="AC1" s="14" t="s">
        <v>96</v>
      </c>
      <c r="AD1" s="14" t="s">
        <v>97</v>
      </c>
      <c r="AE1" s="14" t="s">
        <v>98</v>
      </c>
      <c r="AF1" s="14" t="s">
        <v>99</v>
      </c>
    </row>
    <row r="2" spans="1:32" x14ac:dyDescent="0.25">
      <c r="A2" s="13" t="s">
        <v>346</v>
      </c>
      <c r="B2" s="13">
        <v>1</v>
      </c>
      <c r="C2" s="13">
        <v>1</v>
      </c>
      <c r="D2" s="14">
        <v>249.08618923538995</v>
      </c>
      <c r="E2" s="14">
        <v>267.09675391941994</v>
      </c>
      <c r="F2" s="14">
        <v>329.05252012475</v>
      </c>
      <c r="G2" s="14">
        <v>347.06308480877999</v>
      </c>
      <c r="H2" s="14">
        <v>114.03169405208996</v>
      </c>
    </row>
    <row r="3" spans="1:32" x14ac:dyDescent="0.25">
      <c r="A3" s="13" t="s">
        <v>347</v>
      </c>
      <c r="B3" s="13">
        <v>1</v>
      </c>
      <c r="C3" s="13">
        <v>2</v>
      </c>
      <c r="D3" s="14">
        <v>578.13870936013996</v>
      </c>
      <c r="E3" s="14">
        <v>596.14927404416994</v>
      </c>
      <c r="F3" s="14">
        <v>658.10504024950001</v>
      </c>
      <c r="G3" s="14">
        <v>676.11560493352999</v>
      </c>
      <c r="H3" s="14">
        <v>443.08421417683996</v>
      </c>
    </row>
    <row r="4" spans="1:32" x14ac:dyDescent="0.25">
      <c r="A4" s="13" t="s">
        <v>348</v>
      </c>
      <c r="B4" s="13">
        <v>1</v>
      </c>
      <c r="C4" s="13">
        <v>3</v>
      </c>
      <c r="D4" s="14">
        <v>883.1799960955999</v>
      </c>
      <c r="E4" s="14">
        <v>901.19056077962989</v>
      </c>
      <c r="F4" s="14">
        <v>963.14632698495996</v>
      </c>
      <c r="G4" s="14">
        <v>981.15689166898994</v>
      </c>
      <c r="H4" s="14">
        <v>772.13673430158997</v>
      </c>
    </row>
    <row r="5" spans="1:32" x14ac:dyDescent="0.25">
      <c r="A5" s="13" t="s">
        <v>349</v>
      </c>
      <c r="B5" s="13">
        <v>1</v>
      </c>
      <c r="C5" s="13">
        <v>4</v>
      </c>
      <c r="D5" s="14">
        <v>1203.22094847843</v>
      </c>
      <c r="E5" s="14">
        <v>1221.23151316246</v>
      </c>
      <c r="F5" s="14">
        <v>1283.1872793677899</v>
      </c>
      <c r="G5" s="14">
        <v>1301.1978440518199</v>
      </c>
      <c r="H5" s="14">
        <v>1077.17802103705</v>
      </c>
    </row>
    <row r="6" spans="1:32" x14ac:dyDescent="0.25">
      <c r="A6" s="13" t="s">
        <v>350</v>
      </c>
      <c r="B6" s="13">
        <v>1</v>
      </c>
      <c r="C6" s="13">
        <v>5</v>
      </c>
      <c r="D6" s="14">
        <v>1523.2619008612601</v>
      </c>
      <c r="E6" s="14">
        <v>1541.2724655452901</v>
      </c>
      <c r="F6" s="14">
        <v>1603.2282317506199</v>
      </c>
      <c r="G6" s="14">
        <v>1621.2387964346499</v>
      </c>
      <c r="H6" s="14">
        <v>1397.2189734198801</v>
      </c>
    </row>
    <row r="7" spans="1:32" x14ac:dyDescent="0.25">
      <c r="A7" s="13" t="s">
        <v>351</v>
      </c>
      <c r="B7" s="13">
        <v>1</v>
      </c>
      <c r="C7" s="13">
        <v>6</v>
      </c>
      <c r="D7" s="14">
        <v>1828.3031875967201</v>
      </c>
      <c r="E7" s="14">
        <v>1846.3137522807501</v>
      </c>
      <c r="F7" s="14">
        <v>1908.26951848608</v>
      </c>
      <c r="G7" s="14">
        <v>1926.2800831701099</v>
      </c>
      <c r="H7" s="14">
        <v>1717.2599258027101</v>
      </c>
    </row>
    <row r="8" spans="1:32" x14ac:dyDescent="0.25">
      <c r="A8" s="13" t="s">
        <v>352</v>
      </c>
      <c r="B8" s="13">
        <v>1</v>
      </c>
      <c r="C8" s="13">
        <v>7</v>
      </c>
      <c r="D8" s="14">
        <v>2157.35570772147</v>
      </c>
      <c r="E8" s="14">
        <v>2175.3662724054998</v>
      </c>
      <c r="F8" s="14">
        <v>2237.3220386108301</v>
      </c>
      <c r="G8" s="14">
        <v>2255.3326032948598</v>
      </c>
      <c r="H8" s="14">
        <v>2022.3012125381701</v>
      </c>
    </row>
    <row r="9" spans="1:32" x14ac:dyDescent="0.25">
      <c r="A9" s="13" t="s">
        <v>353</v>
      </c>
      <c r="B9" s="13">
        <v>1</v>
      </c>
      <c r="C9" s="13">
        <v>8</v>
      </c>
      <c r="D9" s="14">
        <v>2486.4082278462201</v>
      </c>
      <c r="E9" s="14">
        <v>2504.4187925302499</v>
      </c>
      <c r="F9" s="14">
        <v>2566.3745587355802</v>
      </c>
      <c r="G9" s="14">
        <v>2584.38512341961</v>
      </c>
      <c r="H9" s="14">
        <v>2351.3537326629203</v>
      </c>
    </row>
    <row r="10" spans="1:32" x14ac:dyDescent="0.25">
      <c r="A10" s="13" t="s">
        <v>354</v>
      </c>
      <c r="B10" s="13">
        <v>1</v>
      </c>
      <c r="C10" s="13">
        <v>9</v>
      </c>
      <c r="D10" s="14">
        <v>2791.44951458168</v>
      </c>
      <c r="E10" s="14">
        <v>2809.4600792657097</v>
      </c>
      <c r="F10" s="14">
        <v>2871.41584547104</v>
      </c>
      <c r="G10" s="14">
        <v>2889.4264101550698</v>
      </c>
      <c r="H10" s="14">
        <v>2680.4062527876699</v>
      </c>
    </row>
    <row r="11" spans="1:32" x14ac:dyDescent="0.25">
      <c r="A11" s="13" t="s">
        <v>355</v>
      </c>
      <c r="B11" s="13">
        <v>1</v>
      </c>
      <c r="C11" s="13">
        <v>10</v>
      </c>
      <c r="D11" s="14">
        <v>3111.4904669645098</v>
      </c>
      <c r="E11" s="14">
        <v>3129.5010316485395</v>
      </c>
      <c r="F11" s="14">
        <v>3191.4567978538698</v>
      </c>
      <c r="G11" s="14">
        <v>3209.4673625378996</v>
      </c>
      <c r="H11" s="14">
        <v>2985.4475395231298</v>
      </c>
    </row>
    <row r="12" spans="1:32" x14ac:dyDescent="0.25">
      <c r="A12" s="13" t="s">
        <v>356</v>
      </c>
      <c r="B12" s="13">
        <v>1</v>
      </c>
      <c r="C12" s="13">
        <v>11</v>
      </c>
      <c r="D12" s="14">
        <v>3431.5314193473396</v>
      </c>
      <c r="E12" s="14">
        <v>3449.5419840313693</v>
      </c>
      <c r="F12" s="14">
        <v>3511.4977502366996</v>
      </c>
      <c r="G12" s="14">
        <v>3529.5083149207294</v>
      </c>
      <c r="H12" s="14">
        <v>3305.4884919059596</v>
      </c>
    </row>
    <row r="13" spans="1:32" x14ac:dyDescent="0.25">
      <c r="A13" s="13" t="s">
        <v>357</v>
      </c>
      <c r="B13" s="13">
        <v>1</v>
      </c>
      <c r="C13" s="13">
        <v>12</v>
      </c>
      <c r="D13" s="14">
        <v>3736.5727060827994</v>
      </c>
      <c r="E13" s="14">
        <v>3754.5832707668292</v>
      </c>
      <c r="F13" s="14">
        <v>3816.5390369721595</v>
      </c>
      <c r="G13" s="14">
        <v>3834.5496016561892</v>
      </c>
      <c r="H13" s="14">
        <v>3625.5294442887894</v>
      </c>
    </row>
    <row r="14" spans="1:32" x14ac:dyDescent="0.25">
      <c r="A14" s="13" t="s">
        <v>358</v>
      </c>
      <c r="B14" s="13">
        <v>1</v>
      </c>
      <c r="C14" s="13">
        <v>13</v>
      </c>
      <c r="D14" s="14">
        <v>4065.6252262075491</v>
      </c>
      <c r="E14" s="14">
        <v>4083.6357908915788</v>
      </c>
      <c r="F14" s="14">
        <v>4145.5915570969091</v>
      </c>
      <c r="G14" s="14">
        <v>4163.6021217809393</v>
      </c>
      <c r="H14" s="14">
        <v>3930.5707310242492</v>
      </c>
    </row>
    <row r="15" spans="1:32" x14ac:dyDescent="0.25">
      <c r="A15" s="13" t="s">
        <v>359</v>
      </c>
      <c r="B15" s="13">
        <v>1</v>
      </c>
      <c r="C15" s="13">
        <v>14</v>
      </c>
      <c r="D15" s="14">
        <v>4376.6671816482685</v>
      </c>
      <c r="E15" s="14">
        <v>4394.6777463322987</v>
      </c>
      <c r="F15" s="14">
        <v>4456.633512537629</v>
      </c>
      <c r="G15" s="14">
        <v>4474.6440772216592</v>
      </c>
      <c r="H15" s="14">
        <v>4241.6126864649686</v>
      </c>
    </row>
    <row r="16" spans="1:32" x14ac:dyDescent="0.25">
      <c r="A16" s="13" t="s">
        <v>360</v>
      </c>
      <c r="B16" s="13">
        <v>14</v>
      </c>
      <c r="C16" s="13">
        <v>14</v>
      </c>
      <c r="I16" s="14">
        <v>409.01885101411006</v>
      </c>
      <c r="J16" s="14">
        <v>391.00828633008007</v>
      </c>
      <c r="K16" s="14">
        <v>329.05252012475</v>
      </c>
      <c r="L16" s="14">
        <v>311.04195544072002</v>
      </c>
    </row>
    <row r="17" spans="1:12" x14ac:dyDescent="0.25">
      <c r="A17" s="13" t="s">
        <v>361</v>
      </c>
      <c r="B17" s="13">
        <v>13</v>
      </c>
      <c r="C17" s="13">
        <v>14</v>
      </c>
      <c r="I17" s="14">
        <v>738.07137113886006</v>
      </c>
      <c r="J17" s="14">
        <v>720.06080645483007</v>
      </c>
      <c r="K17" s="14">
        <v>658.10504024950001</v>
      </c>
      <c r="L17" s="14">
        <v>640.09447556547002</v>
      </c>
    </row>
    <row r="18" spans="1:12" x14ac:dyDescent="0.25">
      <c r="A18" s="13" t="s">
        <v>362</v>
      </c>
      <c r="B18" s="13">
        <v>12</v>
      </c>
      <c r="C18" s="13">
        <v>14</v>
      </c>
      <c r="I18" s="14">
        <v>1043.1126578743199</v>
      </c>
      <c r="J18" s="14">
        <v>1025.1020931902899</v>
      </c>
      <c r="K18" s="14">
        <v>963.14632698495996</v>
      </c>
      <c r="L18" s="14">
        <v>945.13576230092997</v>
      </c>
    </row>
    <row r="19" spans="1:12" x14ac:dyDescent="0.25">
      <c r="A19" s="13" t="s">
        <v>363</v>
      </c>
      <c r="B19" s="13">
        <v>11</v>
      </c>
      <c r="C19" s="13">
        <v>14</v>
      </c>
      <c r="I19" s="14">
        <v>1363.1536102571499</v>
      </c>
      <c r="J19" s="14">
        <v>1345.1430455731199</v>
      </c>
      <c r="K19" s="14">
        <v>1283.1872793677901</v>
      </c>
      <c r="L19" s="14">
        <v>1265.1767146837601</v>
      </c>
    </row>
    <row r="20" spans="1:12" x14ac:dyDescent="0.25">
      <c r="A20" s="13" t="s">
        <v>364</v>
      </c>
      <c r="B20" s="13">
        <v>10</v>
      </c>
      <c r="C20" s="13">
        <v>14</v>
      </c>
      <c r="I20" s="14">
        <v>1683.1945626399799</v>
      </c>
      <c r="J20" s="14">
        <v>1665.18399795595</v>
      </c>
      <c r="K20" s="14">
        <v>1603.2282317506201</v>
      </c>
      <c r="L20" s="14">
        <v>1585.2176670665901</v>
      </c>
    </row>
    <row r="21" spans="1:12" x14ac:dyDescent="0.25">
      <c r="A21" s="13" t="s">
        <v>365</v>
      </c>
      <c r="B21" s="13">
        <v>9</v>
      </c>
      <c r="C21" s="13">
        <v>14</v>
      </c>
      <c r="I21" s="14">
        <v>1988.23584937544</v>
      </c>
      <c r="J21" s="14">
        <v>1970.22528469141</v>
      </c>
      <c r="K21" s="14">
        <v>1908.2695184860802</v>
      </c>
      <c r="L21" s="14">
        <v>1890.2589538020502</v>
      </c>
    </row>
    <row r="22" spans="1:12" x14ac:dyDescent="0.25">
      <c r="A22" s="13" t="s">
        <v>366</v>
      </c>
      <c r="B22" s="13">
        <v>8</v>
      </c>
      <c r="C22" s="13">
        <v>14</v>
      </c>
      <c r="I22" s="14">
        <v>2317.2883695001901</v>
      </c>
      <c r="J22" s="14">
        <v>2299.2778048161604</v>
      </c>
      <c r="K22" s="14">
        <v>2237.3220386108301</v>
      </c>
      <c r="L22" s="14">
        <v>2219.3114739268003</v>
      </c>
    </row>
    <row r="23" spans="1:12" x14ac:dyDescent="0.25">
      <c r="A23" s="13" t="s">
        <v>367</v>
      </c>
      <c r="B23" s="13">
        <v>7</v>
      </c>
      <c r="C23" s="13">
        <v>14</v>
      </c>
      <c r="I23" s="14">
        <v>2646.3408896249402</v>
      </c>
      <c r="J23" s="14">
        <v>2628.3303249409105</v>
      </c>
      <c r="K23" s="14">
        <v>2566.3745587355802</v>
      </c>
      <c r="L23" s="14">
        <v>2548.3639940515504</v>
      </c>
    </row>
    <row r="24" spans="1:12" x14ac:dyDescent="0.25">
      <c r="A24" s="13" t="s">
        <v>368</v>
      </c>
      <c r="B24" s="13">
        <v>6</v>
      </c>
      <c r="C24" s="13">
        <v>14</v>
      </c>
      <c r="I24" s="14">
        <v>2951.3821763604001</v>
      </c>
      <c r="J24" s="14">
        <v>2933.3716116763703</v>
      </c>
      <c r="K24" s="14">
        <v>2871.41584547104</v>
      </c>
      <c r="L24" s="14">
        <v>2853.4052807870103</v>
      </c>
    </row>
    <row r="25" spans="1:12" x14ac:dyDescent="0.25">
      <c r="A25" s="13" t="s">
        <v>369</v>
      </c>
      <c r="B25" s="13">
        <v>5</v>
      </c>
      <c r="C25" s="13">
        <v>14</v>
      </c>
      <c r="I25" s="14">
        <v>3271.4231287432299</v>
      </c>
      <c r="J25" s="14">
        <v>3253.4125640592001</v>
      </c>
      <c r="K25" s="14">
        <v>3191.4567978538698</v>
      </c>
      <c r="L25" s="14">
        <v>3173.4462331698401</v>
      </c>
    </row>
    <row r="26" spans="1:12" x14ac:dyDescent="0.25">
      <c r="A26" s="13" t="s">
        <v>370</v>
      </c>
      <c r="B26" s="13">
        <v>4</v>
      </c>
      <c r="C26" s="13">
        <v>14</v>
      </c>
      <c r="I26" s="14">
        <v>3591.4640811260597</v>
      </c>
      <c r="J26" s="14">
        <v>3573.4535164420299</v>
      </c>
      <c r="K26" s="14">
        <v>3511.4977502366996</v>
      </c>
      <c r="L26" s="14">
        <v>3493.4871855526699</v>
      </c>
    </row>
    <row r="27" spans="1:12" x14ac:dyDescent="0.25">
      <c r="A27" s="13" t="s">
        <v>371</v>
      </c>
      <c r="B27" s="13">
        <v>3</v>
      </c>
      <c r="C27" s="13">
        <v>14</v>
      </c>
      <c r="I27" s="14">
        <v>3896.5053678615195</v>
      </c>
      <c r="J27" s="14">
        <v>3878.4948031774898</v>
      </c>
      <c r="K27" s="14">
        <v>3816.5390369721595</v>
      </c>
      <c r="L27" s="14">
        <v>3798.5284722881297</v>
      </c>
    </row>
    <row r="28" spans="1:12" x14ac:dyDescent="0.25">
      <c r="A28" s="13" t="s">
        <v>372</v>
      </c>
      <c r="B28" s="13">
        <v>2</v>
      </c>
      <c r="C28" s="13">
        <v>14</v>
      </c>
      <c r="I28" s="14">
        <v>4225.5578879862696</v>
      </c>
      <c r="J28" s="14">
        <v>4207.5473233022394</v>
      </c>
      <c r="K28" s="14">
        <v>4145.5915570969091</v>
      </c>
      <c r="L28" s="14">
        <v>4127.5809924128789</v>
      </c>
    </row>
    <row r="29" spans="1:12" x14ac:dyDescent="0.25">
      <c r="A29" s="13" t="s">
        <v>373</v>
      </c>
      <c r="B29" s="13">
        <v>1</v>
      </c>
      <c r="C29" s="13">
        <v>14</v>
      </c>
      <c r="K29" s="14">
        <v>4474.6440772216592</v>
      </c>
    </row>
    <row r="30" spans="1:12" x14ac:dyDescent="0.25">
      <c r="A30" s="13" t="s">
        <v>166</v>
      </c>
      <c r="B30" s="13">
        <v>1</v>
      </c>
      <c r="C30" s="13">
        <v>1</v>
      </c>
    </row>
    <row r="31" spans="1:12" x14ac:dyDescent="0.25">
      <c r="A31" s="13" t="s">
        <v>246</v>
      </c>
      <c r="B31" s="13">
        <v>1</v>
      </c>
      <c r="C31" s="13">
        <v>2</v>
      </c>
    </row>
    <row r="32" spans="1:12" x14ac:dyDescent="0.25">
      <c r="A32" s="13" t="s">
        <v>374</v>
      </c>
      <c r="B32" s="13">
        <v>1</v>
      </c>
      <c r="C32" s="13">
        <v>3</v>
      </c>
    </row>
    <row r="33" spans="1:32" x14ac:dyDescent="0.25">
      <c r="A33" s="13" t="s">
        <v>375</v>
      </c>
      <c r="B33" s="13">
        <v>1</v>
      </c>
      <c r="C33" s="13">
        <v>4</v>
      </c>
    </row>
    <row r="34" spans="1:32" x14ac:dyDescent="0.25">
      <c r="A34" s="13" t="s">
        <v>376</v>
      </c>
      <c r="B34" s="13">
        <v>1</v>
      </c>
      <c r="C34" s="13">
        <v>5</v>
      </c>
    </row>
    <row r="35" spans="1:32" x14ac:dyDescent="0.25">
      <c r="A35" s="13" t="s">
        <v>377</v>
      </c>
      <c r="B35" s="13">
        <v>1</v>
      </c>
      <c r="C35" s="13">
        <v>6</v>
      </c>
    </row>
    <row r="36" spans="1:32" x14ac:dyDescent="0.25">
      <c r="A36" s="13" t="s">
        <v>378</v>
      </c>
      <c r="B36" s="13">
        <v>1</v>
      </c>
      <c r="C36" s="13">
        <v>7</v>
      </c>
    </row>
    <row r="37" spans="1:32" x14ac:dyDescent="0.25">
      <c r="A37" s="13" t="s">
        <v>379</v>
      </c>
      <c r="B37" s="13">
        <v>1</v>
      </c>
      <c r="C37" s="13">
        <v>8</v>
      </c>
    </row>
    <row r="38" spans="1:32" x14ac:dyDescent="0.25">
      <c r="A38" s="13" t="s">
        <v>380</v>
      </c>
      <c r="B38" s="13">
        <v>1</v>
      </c>
      <c r="C38" s="13">
        <v>9</v>
      </c>
    </row>
    <row r="39" spans="1:32" x14ac:dyDescent="0.25">
      <c r="A39" s="13" t="s">
        <v>381</v>
      </c>
      <c r="B39" s="13">
        <v>1</v>
      </c>
      <c r="C39" s="13">
        <v>10</v>
      </c>
    </row>
    <row r="40" spans="1:32" x14ac:dyDescent="0.25">
      <c r="A40" s="13" t="s">
        <v>382</v>
      </c>
      <c r="B40" s="13">
        <v>1</v>
      </c>
      <c r="C40" s="13">
        <v>11</v>
      </c>
    </row>
    <row r="41" spans="1:32" x14ac:dyDescent="0.25">
      <c r="A41" s="13" t="s">
        <v>383</v>
      </c>
      <c r="B41" s="13">
        <v>1</v>
      </c>
      <c r="C41" s="13">
        <v>12</v>
      </c>
    </row>
    <row r="42" spans="1:32" x14ac:dyDescent="0.25">
      <c r="A42" s="13" t="s">
        <v>384</v>
      </c>
      <c r="B42" s="13">
        <v>1</v>
      </c>
      <c r="C42" s="13">
        <v>13</v>
      </c>
    </row>
    <row r="43" spans="1:32" x14ac:dyDescent="0.25">
      <c r="A43" s="13" t="s">
        <v>385</v>
      </c>
      <c r="B43" s="13">
        <v>1</v>
      </c>
      <c r="C43" s="13">
        <v>14</v>
      </c>
      <c r="W43" s="14">
        <v>4376.6671816482685</v>
      </c>
      <c r="X43" s="14">
        <v>4394.6777463322987</v>
      </c>
      <c r="Y43" s="14">
        <v>4456.633512537629</v>
      </c>
      <c r="Z43" s="14">
        <v>4474.6440772216592</v>
      </c>
      <c r="AA43" s="14">
        <v>4241.6126864649686</v>
      </c>
    </row>
    <row r="44" spans="1:32" x14ac:dyDescent="0.25">
      <c r="A44" s="13" t="s">
        <v>166</v>
      </c>
      <c r="B44" s="13">
        <v>2</v>
      </c>
      <c r="C44" s="13">
        <v>2</v>
      </c>
      <c r="M44" s="14">
        <v>329.05252012475</v>
      </c>
      <c r="N44" s="14">
        <v>347.06308480877999</v>
      </c>
      <c r="O44" s="14">
        <v>409.01885101411006</v>
      </c>
      <c r="P44" s="14">
        <v>427.02941569814004</v>
      </c>
      <c r="Q44" s="14">
        <v>193.99802494145001</v>
      </c>
      <c r="R44" s="14">
        <v>311.04195544072002</v>
      </c>
      <c r="S44" s="14">
        <v>329.05252012475</v>
      </c>
      <c r="T44" s="14">
        <v>391.00828633008007</v>
      </c>
      <c r="U44" s="14">
        <v>409.01885101411006</v>
      </c>
      <c r="V44" s="14">
        <v>175.98746025742003</v>
      </c>
      <c r="W44" s="14">
        <v>249.08618923538995</v>
      </c>
      <c r="X44" s="14">
        <v>267.09675391941994</v>
      </c>
      <c r="Y44" s="14">
        <v>329.05252012475</v>
      </c>
      <c r="Z44" s="14">
        <v>347.06308480877999</v>
      </c>
      <c r="AA44" s="14">
        <v>114.03169405208996</v>
      </c>
      <c r="AB44" s="14">
        <v>231.07562455135997</v>
      </c>
      <c r="AC44" s="14">
        <v>249.08618923538998</v>
      </c>
      <c r="AD44" s="14">
        <v>311.04195544072002</v>
      </c>
      <c r="AE44" s="14">
        <v>329.05252012475</v>
      </c>
      <c r="AF44" s="14">
        <v>96.021129368059974</v>
      </c>
    </row>
    <row r="45" spans="1:32" x14ac:dyDescent="0.25">
      <c r="A45" s="13" t="s">
        <v>207</v>
      </c>
      <c r="B45" s="13">
        <v>2</v>
      </c>
      <c r="C45" s="13">
        <v>3</v>
      </c>
      <c r="M45" s="14">
        <v>634.09380686020995</v>
      </c>
      <c r="N45" s="14">
        <v>652.10437154423994</v>
      </c>
      <c r="O45" s="14">
        <v>714.06013774957</v>
      </c>
      <c r="P45" s="14">
        <v>732.07070243359999</v>
      </c>
      <c r="Q45" s="14">
        <v>523.0505450661999</v>
      </c>
      <c r="R45" s="14">
        <v>616.08324217617997</v>
      </c>
      <c r="S45" s="14">
        <v>634.09380686020995</v>
      </c>
      <c r="T45" s="14">
        <v>696.04957306554002</v>
      </c>
      <c r="U45" s="14">
        <v>714.06013774957</v>
      </c>
      <c r="V45" s="14">
        <v>505.03998038216997</v>
      </c>
      <c r="W45" s="14">
        <v>554.1274759708499</v>
      </c>
      <c r="X45" s="14">
        <v>572.13804065487989</v>
      </c>
      <c r="Y45" s="14">
        <v>634.09380686020995</v>
      </c>
      <c r="Z45" s="14">
        <v>652.10437154423994</v>
      </c>
      <c r="AA45" s="14">
        <v>443.08421417683991</v>
      </c>
      <c r="AB45" s="14">
        <v>536.11691128681991</v>
      </c>
      <c r="AC45" s="14">
        <v>554.1274759708499</v>
      </c>
      <c r="AD45" s="14">
        <v>616.08324217617997</v>
      </c>
      <c r="AE45" s="14">
        <v>634.09380686020995</v>
      </c>
      <c r="AF45" s="14">
        <v>425.07364949280992</v>
      </c>
    </row>
    <row r="46" spans="1:32" x14ac:dyDescent="0.25">
      <c r="A46" s="13" t="s">
        <v>243</v>
      </c>
      <c r="B46" s="13">
        <v>2</v>
      </c>
      <c r="C46" s="13">
        <v>4</v>
      </c>
      <c r="M46" s="14">
        <v>954.13475924303987</v>
      </c>
      <c r="N46" s="14">
        <v>972.14532392706985</v>
      </c>
      <c r="O46" s="14">
        <v>1034.1010901323998</v>
      </c>
      <c r="P46" s="14">
        <v>1052.1116548164298</v>
      </c>
      <c r="Q46" s="14">
        <v>828.09183180165985</v>
      </c>
      <c r="R46" s="14">
        <v>936.12419455900988</v>
      </c>
      <c r="S46" s="14">
        <v>954.13475924303987</v>
      </c>
      <c r="T46" s="14">
        <v>1016.0905254483699</v>
      </c>
      <c r="U46" s="14">
        <v>1034.1010901323998</v>
      </c>
      <c r="V46" s="14">
        <v>810.08126711762986</v>
      </c>
      <c r="W46" s="14">
        <v>874.16842835367993</v>
      </c>
      <c r="X46" s="14">
        <v>892.17899303770992</v>
      </c>
      <c r="Y46" s="14">
        <v>954.13475924303998</v>
      </c>
      <c r="Z46" s="14">
        <v>972.14532392706997</v>
      </c>
      <c r="AA46" s="14">
        <v>748.12550091229991</v>
      </c>
      <c r="AB46" s="14">
        <v>856.15786366964994</v>
      </c>
      <c r="AC46" s="14">
        <v>874.16842835367993</v>
      </c>
      <c r="AD46" s="14">
        <v>936.12419455900999</v>
      </c>
      <c r="AE46" s="14">
        <v>954.13475924303998</v>
      </c>
      <c r="AF46" s="14">
        <v>730.11493622826993</v>
      </c>
    </row>
    <row r="47" spans="1:32" x14ac:dyDescent="0.25">
      <c r="A47" s="13" t="s">
        <v>386</v>
      </c>
      <c r="B47" s="13">
        <v>2</v>
      </c>
      <c r="C47" s="13">
        <v>5</v>
      </c>
      <c r="M47" s="14">
        <v>1274.17571162587</v>
      </c>
      <c r="N47" s="14">
        <v>1292.1862763099</v>
      </c>
      <c r="O47" s="14">
        <v>1354.1420425152298</v>
      </c>
      <c r="P47" s="14">
        <v>1372.1526071992598</v>
      </c>
      <c r="Q47" s="14">
        <v>1148.13278418449</v>
      </c>
      <c r="R47" s="14">
        <v>1256.16514694184</v>
      </c>
      <c r="S47" s="14">
        <v>1274.17571162587</v>
      </c>
      <c r="T47" s="14">
        <v>1336.1314778311998</v>
      </c>
      <c r="U47" s="14">
        <v>1354.1420425152298</v>
      </c>
      <c r="V47" s="14">
        <v>1130.12221950046</v>
      </c>
      <c r="W47" s="14">
        <v>1194.2093807365102</v>
      </c>
      <c r="X47" s="14">
        <v>1212.2199454205402</v>
      </c>
      <c r="Y47" s="14">
        <v>1274.17571162587</v>
      </c>
      <c r="Z47" s="14">
        <v>1292.1862763099</v>
      </c>
      <c r="AA47" s="14">
        <v>1068.1664532951302</v>
      </c>
      <c r="AB47" s="14">
        <v>1176.1988160524802</v>
      </c>
      <c r="AC47" s="14">
        <v>1194.2093807365102</v>
      </c>
      <c r="AD47" s="14">
        <v>1256.16514694184</v>
      </c>
      <c r="AE47" s="14">
        <v>1274.17571162587</v>
      </c>
      <c r="AF47" s="14">
        <v>1050.1558886111002</v>
      </c>
    </row>
    <row r="48" spans="1:32" x14ac:dyDescent="0.25">
      <c r="A48" s="13" t="s">
        <v>387</v>
      </c>
      <c r="B48" s="13">
        <v>2</v>
      </c>
      <c r="C48" s="13">
        <v>6</v>
      </c>
      <c r="M48" s="14">
        <v>1579.2169983613301</v>
      </c>
      <c r="N48" s="14">
        <v>1597.2275630453601</v>
      </c>
      <c r="O48" s="14">
        <v>1659.1833292506899</v>
      </c>
      <c r="P48" s="14">
        <v>1677.1938939347199</v>
      </c>
      <c r="Q48" s="14">
        <v>1468.17373656732</v>
      </c>
      <c r="R48" s="14">
        <v>1561.2064336773001</v>
      </c>
      <c r="S48" s="14">
        <v>1579.2169983613301</v>
      </c>
      <c r="T48" s="14">
        <v>1641.1727645666599</v>
      </c>
      <c r="U48" s="14">
        <v>1659.1833292506899</v>
      </c>
      <c r="V48" s="14">
        <v>1450.16317188329</v>
      </c>
      <c r="W48" s="14">
        <v>1499.2506674719702</v>
      </c>
      <c r="X48" s="14">
        <v>1517.2612321560002</v>
      </c>
      <c r="Y48" s="14">
        <v>1579.2169983613301</v>
      </c>
      <c r="Z48" s="14">
        <v>1597.2275630453601</v>
      </c>
      <c r="AA48" s="14">
        <v>1388.2074056779602</v>
      </c>
      <c r="AB48" s="14">
        <v>1481.2401027879403</v>
      </c>
      <c r="AC48" s="14">
        <v>1499.2506674719702</v>
      </c>
      <c r="AD48" s="14">
        <v>1561.2064336773001</v>
      </c>
      <c r="AE48" s="14">
        <v>1579.2169983613301</v>
      </c>
      <c r="AF48" s="14">
        <v>1370.1968409939302</v>
      </c>
    </row>
    <row r="49" spans="1:32" x14ac:dyDescent="0.25">
      <c r="A49" s="13" t="s">
        <v>388</v>
      </c>
      <c r="B49" s="13">
        <v>2</v>
      </c>
      <c r="C49" s="13">
        <v>7</v>
      </c>
      <c r="M49" s="14">
        <v>1908.26951848608</v>
      </c>
      <c r="N49" s="14">
        <v>1926.2800831701099</v>
      </c>
      <c r="O49" s="14">
        <v>1988.2358493754398</v>
      </c>
      <c r="P49" s="14">
        <v>2006.2464140594698</v>
      </c>
      <c r="Q49" s="14">
        <v>1773.2150233027801</v>
      </c>
      <c r="R49" s="14">
        <v>1890.25895380205</v>
      </c>
      <c r="S49" s="14">
        <v>1908.26951848608</v>
      </c>
      <c r="T49" s="14">
        <v>1970.2252846914098</v>
      </c>
      <c r="U49" s="14">
        <v>1988.2358493754398</v>
      </c>
      <c r="V49" s="14">
        <v>1755.2044586187499</v>
      </c>
      <c r="W49" s="14">
        <v>1828.3031875967201</v>
      </c>
      <c r="X49" s="14">
        <v>1846.3137522807501</v>
      </c>
      <c r="Y49" s="14">
        <v>1908.26951848608</v>
      </c>
      <c r="Z49" s="14">
        <v>1926.2800831701099</v>
      </c>
      <c r="AA49" s="14">
        <v>1693.24869241342</v>
      </c>
      <c r="AB49" s="14">
        <v>1810.2926229126901</v>
      </c>
      <c r="AC49" s="14">
        <v>1828.3031875967201</v>
      </c>
      <c r="AD49" s="14">
        <v>1890.25895380205</v>
      </c>
      <c r="AE49" s="14">
        <v>1908.26951848608</v>
      </c>
      <c r="AF49" s="14">
        <v>1675.2381277293903</v>
      </c>
    </row>
    <row r="50" spans="1:32" x14ac:dyDescent="0.25">
      <c r="A50" s="13" t="s">
        <v>389</v>
      </c>
      <c r="B50" s="13">
        <v>2</v>
      </c>
      <c r="C50" s="13">
        <v>8</v>
      </c>
      <c r="M50" s="14">
        <v>2237.3220386108301</v>
      </c>
      <c r="N50" s="14">
        <v>2255.3326032948598</v>
      </c>
      <c r="O50" s="14">
        <v>2317.2883695001901</v>
      </c>
      <c r="P50" s="14">
        <v>2335.2989341842199</v>
      </c>
      <c r="Q50" s="14">
        <v>2102.2675434275302</v>
      </c>
      <c r="R50" s="14">
        <v>2219.3114739268003</v>
      </c>
      <c r="S50" s="14">
        <v>2237.3220386108301</v>
      </c>
      <c r="T50" s="14">
        <v>2299.2778048161604</v>
      </c>
      <c r="U50" s="14">
        <v>2317.2883695001901</v>
      </c>
      <c r="V50" s="14">
        <v>2084.2569787435004</v>
      </c>
      <c r="W50" s="14">
        <v>2157.35570772147</v>
      </c>
      <c r="X50" s="14">
        <v>2175.3662724054998</v>
      </c>
      <c r="Y50" s="14">
        <v>2237.3220386108301</v>
      </c>
      <c r="Z50" s="14">
        <v>2255.3326032948598</v>
      </c>
      <c r="AA50" s="14">
        <v>2022.3012125381701</v>
      </c>
      <c r="AB50" s="14">
        <v>2139.3451430374403</v>
      </c>
      <c r="AC50" s="14">
        <v>2157.35570772147</v>
      </c>
      <c r="AD50" s="14">
        <v>2219.3114739268003</v>
      </c>
      <c r="AE50" s="14">
        <v>2237.3220386108301</v>
      </c>
      <c r="AF50" s="14">
        <v>2004.2906478541404</v>
      </c>
    </row>
    <row r="51" spans="1:32" x14ac:dyDescent="0.25">
      <c r="A51" s="13" t="s">
        <v>390</v>
      </c>
      <c r="B51" s="13">
        <v>2</v>
      </c>
      <c r="C51" s="13">
        <v>9</v>
      </c>
      <c r="M51" s="14">
        <v>2542.3633253462899</v>
      </c>
      <c r="N51" s="14">
        <v>2560.3738900303197</v>
      </c>
      <c r="O51" s="14">
        <v>2622.32965623565</v>
      </c>
      <c r="P51" s="14">
        <v>2640.3402209196797</v>
      </c>
      <c r="Q51" s="14">
        <v>2431.3200635522799</v>
      </c>
      <c r="R51" s="14">
        <v>2524.3527606622602</v>
      </c>
      <c r="S51" s="14">
        <v>2542.3633253462899</v>
      </c>
      <c r="T51" s="14">
        <v>2604.3190915516202</v>
      </c>
      <c r="U51" s="14">
        <v>2622.32965623565</v>
      </c>
      <c r="V51" s="14">
        <v>2413.3094988682501</v>
      </c>
      <c r="W51" s="14">
        <v>2462.3969944569299</v>
      </c>
      <c r="X51" s="14">
        <v>2480.4075591409596</v>
      </c>
      <c r="Y51" s="14">
        <v>2542.3633253462899</v>
      </c>
      <c r="Z51" s="14">
        <v>2560.3738900303197</v>
      </c>
      <c r="AA51" s="14">
        <v>2351.3537326629198</v>
      </c>
      <c r="AB51" s="14">
        <v>2444.3864297729001</v>
      </c>
      <c r="AC51" s="14">
        <v>2462.3969944569299</v>
      </c>
      <c r="AD51" s="14">
        <v>2524.3527606622602</v>
      </c>
      <c r="AE51" s="14">
        <v>2542.3633253462899</v>
      </c>
      <c r="AF51" s="14">
        <v>2333.3431679788901</v>
      </c>
    </row>
    <row r="52" spans="1:32" x14ac:dyDescent="0.25">
      <c r="A52" s="13" t="s">
        <v>391</v>
      </c>
      <c r="B52" s="13">
        <v>2</v>
      </c>
      <c r="C52" s="13">
        <v>10</v>
      </c>
      <c r="M52" s="14">
        <v>2862.4042777291197</v>
      </c>
      <c r="N52" s="14">
        <v>2880.4148424131495</v>
      </c>
      <c r="O52" s="14">
        <v>2942.3706086184798</v>
      </c>
      <c r="P52" s="14">
        <v>2960.3811733025095</v>
      </c>
      <c r="Q52" s="14">
        <v>2736.3613502877397</v>
      </c>
      <c r="R52" s="14">
        <v>2844.39371304509</v>
      </c>
      <c r="S52" s="14">
        <v>2862.4042777291197</v>
      </c>
      <c r="T52" s="14">
        <v>2924.36004393445</v>
      </c>
      <c r="U52" s="14">
        <v>2942.3706086184798</v>
      </c>
      <c r="V52" s="14">
        <v>2718.3507856037099</v>
      </c>
      <c r="W52" s="14">
        <v>2782.4379468397597</v>
      </c>
      <c r="X52" s="14">
        <v>2800.4485115237894</v>
      </c>
      <c r="Y52" s="14">
        <v>2862.4042777291197</v>
      </c>
      <c r="Z52" s="14">
        <v>2880.4148424131495</v>
      </c>
      <c r="AA52" s="14">
        <v>2656.3950193983796</v>
      </c>
      <c r="AB52" s="14">
        <v>2764.4273821557299</v>
      </c>
      <c r="AC52" s="14">
        <v>2782.4379468397597</v>
      </c>
      <c r="AD52" s="14">
        <v>2844.39371304509</v>
      </c>
      <c r="AE52" s="14">
        <v>2862.4042777291197</v>
      </c>
      <c r="AF52" s="14">
        <v>2638.3844547143499</v>
      </c>
    </row>
    <row r="53" spans="1:32" x14ac:dyDescent="0.25">
      <c r="A53" s="13" t="s">
        <v>392</v>
      </c>
      <c r="B53" s="13">
        <v>2</v>
      </c>
      <c r="C53" s="13">
        <v>11</v>
      </c>
      <c r="M53" s="14">
        <v>3182.4452301119495</v>
      </c>
      <c r="N53" s="14">
        <v>3200.4557947959793</v>
      </c>
      <c r="O53" s="14">
        <v>3262.4115610013096</v>
      </c>
      <c r="P53" s="14">
        <v>3280.4221256853393</v>
      </c>
      <c r="Q53" s="14">
        <v>3056.4023026705695</v>
      </c>
      <c r="R53" s="14">
        <v>3164.4346654279198</v>
      </c>
      <c r="S53" s="14">
        <v>3182.4452301119495</v>
      </c>
      <c r="T53" s="14">
        <v>3244.4009963172798</v>
      </c>
      <c r="U53" s="14">
        <v>3262.4115610013096</v>
      </c>
      <c r="V53" s="14">
        <v>3038.3917379865397</v>
      </c>
      <c r="W53" s="14">
        <v>3102.4788992225895</v>
      </c>
      <c r="X53" s="14">
        <v>3120.4894639066192</v>
      </c>
      <c r="Y53" s="14">
        <v>3182.4452301119495</v>
      </c>
      <c r="Z53" s="14">
        <v>3200.4557947959793</v>
      </c>
      <c r="AA53" s="14">
        <v>2976.4359717812094</v>
      </c>
      <c r="AB53" s="14">
        <v>3084.4683345385597</v>
      </c>
      <c r="AC53" s="14">
        <v>3102.4788992225895</v>
      </c>
      <c r="AD53" s="14">
        <v>3164.4346654279198</v>
      </c>
      <c r="AE53" s="14">
        <v>3182.4452301119495</v>
      </c>
      <c r="AF53" s="14">
        <v>2958.4254070971797</v>
      </c>
    </row>
    <row r="54" spans="1:32" x14ac:dyDescent="0.25">
      <c r="A54" s="13" t="s">
        <v>393</v>
      </c>
      <c r="B54" s="13">
        <v>2</v>
      </c>
      <c r="C54" s="13">
        <v>12</v>
      </c>
      <c r="M54" s="14">
        <v>3487.4865168474093</v>
      </c>
      <c r="N54" s="14">
        <v>3505.4970815314391</v>
      </c>
      <c r="O54" s="14">
        <v>3567.4528477367694</v>
      </c>
      <c r="P54" s="14">
        <v>3585.4634124207992</v>
      </c>
      <c r="Q54" s="14">
        <v>3376.4432550533993</v>
      </c>
      <c r="R54" s="14">
        <v>3469.4759521633796</v>
      </c>
      <c r="S54" s="14">
        <v>3487.4865168474093</v>
      </c>
      <c r="T54" s="14">
        <v>3549.4422830527396</v>
      </c>
      <c r="U54" s="14">
        <v>3567.4528477367694</v>
      </c>
      <c r="V54" s="14">
        <v>3358.4326903693695</v>
      </c>
      <c r="W54" s="14">
        <v>3407.5201859580493</v>
      </c>
      <c r="X54" s="14">
        <v>3425.5307506420791</v>
      </c>
      <c r="Y54" s="14">
        <v>3487.4865168474093</v>
      </c>
      <c r="Z54" s="14">
        <v>3505.4970815314391</v>
      </c>
      <c r="AA54" s="14">
        <v>3296.4769241640392</v>
      </c>
      <c r="AB54" s="14">
        <v>3389.5096212740195</v>
      </c>
      <c r="AC54" s="14">
        <v>3407.5201859580493</v>
      </c>
      <c r="AD54" s="14">
        <v>3469.4759521633796</v>
      </c>
      <c r="AE54" s="14">
        <v>3487.4865168474093</v>
      </c>
      <c r="AF54" s="14">
        <v>3278.4663594800095</v>
      </c>
    </row>
    <row r="55" spans="1:32" x14ac:dyDescent="0.25">
      <c r="A55" s="13" t="s">
        <v>394</v>
      </c>
      <c r="B55" s="13">
        <v>2</v>
      </c>
      <c r="C55" s="13">
        <v>13</v>
      </c>
      <c r="M55" s="14">
        <v>3816.5390369721595</v>
      </c>
      <c r="N55" s="14">
        <v>3834.5496016561892</v>
      </c>
      <c r="O55" s="14">
        <v>3896.5053678615195</v>
      </c>
      <c r="P55" s="14">
        <v>3914.5159325455493</v>
      </c>
      <c r="Q55" s="14">
        <v>3681.4845417888596</v>
      </c>
      <c r="R55" s="14">
        <v>3798.5284722881297</v>
      </c>
      <c r="S55" s="14">
        <v>3816.5390369721595</v>
      </c>
      <c r="T55" s="14">
        <v>3878.4948031774898</v>
      </c>
      <c r="U55" s="14">
        <v>3896.5053678615195</v>
      </c>
      <c r="V55" s="14">
        <v>3663.4739771048298</v>
      </c>
      <c r="W55" s="14">
        <v>3736.5727060827994</v>
      </c>
      <c r="X55" s="14">
        <v>3754.5832707668292</v>
      </c>
      <c r="Y55" s="14">
        <v>3816.5390369721595</v>
      </c>
      <c r="Z55" s="14">
        <v>3834.5496016561892</v>
      </c>
      <c r="AA55" s="14">
        <v>3601.5182108994995</v>
      </c>
      <c r="AB55" s="14">
        <v>3718.5621413987697</v>
      </c>
      <c r="AC55" s="14">
        <v>3736.5727060827994</v>
      </c>
      <c r="AD55" s="14">
        <v>3798.5284722881297</v>
      </c>
      <c r="AE55" s="14">
        <v>3816.5390369721595</v>
      </c>
      <c r="AF55" s="14">
        <v>3583.5076462154698</v>
      </c>
    </row>
    <row r="56" spans="1:32" x14ac:dyDescent="0.25">
      <c r="A56" s="13" t="s">
        <v>395</v>
      </c>
      <c r="B56" s="13">
        <v>2</v>
      </c>
      <c r="C56" s="13">
        <v>14</v>
      </c>
      <c r="M56" s="14">
        <v>4127.5809924128798</v>
      </c>
      <c r="N56" s="14">
        <v>4145.59155709691</v>
      </c>
      <c r="O56" s="14">
        <v>4207.5473233022403</v>
      </c>
      <c r="P56" s="14">
        <v>4225.5578879862705</v>
      </c>
      <c r="Q56" s="14">
        <v>3992.5264972295799</v>
      </c>
      <c r="R56" s="14">
        <v>4109.5704277288496</v>
      </c>
      <c r="S56" s="14">
        <v>4127.5809924128798</v>
      </c>
      <c r="T56" s="14">
        <v>4189.5367586182101</v>
      </c>
      <c r="U56" s="14">
        <v>4207.5473233022403</v>
      </c>
      <c r="V56" s="14">
        <v>3974.5159325455497</v>
      </c>
      <c r="W56" s="14">
        <v>4047.6146615235198</v>
      </c>
      <c r="X56" s="14">
        <v>4065.6252262075495</v>
      </c>
      <c r="Y56" s="14">
        <v>4127.5809924128798</v>
      </c>
      <c r="Z56" s="14">
        <v>4145.59155709691</v>
      </c>
      <c r="AA56" s="14">
        <v>3912.5601663402199</v>
      </c>
      <c r="AB56" s="14">
        <v>4029.6040968394896</v>
      </c>
      <c r="AC56" s="14">
        <v>4047.6146615235193</v>
      </c>
      <c r="AD56" s="14">
        <v>4109.5704277288496</v>
      </c>
      <c r="AE56" s="14">
        <v>4127.5809924128798</v>
      </c>
      <c r="AF56" s="14">
        <v>3894.5496016561897</v>
      </c>
    </row>
    <row r="57" spans="1:32" x14ac:dyDescent="0.25">
      <c r="A57" s="13" t="s">
        <v>182</v>
      </c>
      <c r="B57" s="13">
        <v>3</v>
      </c>
      <c r="C57" s="13">
        <v>3</v>
      </c>
      <c r="M57" s="14">
        <v>305.04128673546001</v>
      </c>
      <c r="N57" s="14">
        <v>323.05185141949005</v>
      </c>
      <c r="O57" s="14">
        <v>385.00761762482</v>
      </c>
      <c r="P57" s="14">
        <v>403.01818230885004</v>
      </c>
      <c r="Q57" s="14">
        <v>193.99802494145001</v>
      </c>
      <c r="R57" s="14">
        <v>287.03072205142996</v>
      </c>
      <c r="S57" s="14">
        <v>305.04128673545995</v>
      </c>
      <c r="T57" s="14">
        <v>366.99705294079001</v>
      </c>
      <c r="U57" s="14">
        <v>385.00761762482</v>
      </c>
      <c r="V57" s="14">
        <v>175.98746025741997</v>
      </c>
      <c r="W57" s="14">
        <v>225.07495584610001</v>
      </c>
      <c r="X57" s="14">
        <v>243.08552053013003</v>
      </c>
      <c r="Y57" s="14">
        <v>305.04128673546006</v>
      </c>
      <c r="Z57" s="14">
        <v>323.05185141949005</v>
      </c>
      <c r="AA57" s="14">
        <v>114.03169405209002</v>
      </c>
      <c r="AB57" s="14">
        <v>207.06439116206997</v>
      </c>
      <c r="AC57" s="14">
        <v>225.07495584609998</v>
      </c>
      <c r="AD57" s="14">
        <v>287.03072205142996</v>
      </c>
      <c r="AE57" s="14">
        <v>305.04128673546001</v>
      </c>
      <c r="AF57" s="14">
        <v>96.021129368059974</v>
      </c>
    </row>
    <row r="58" spans="1:32" x14ac:dyDescent="0.25">
      <c r="A58" s="13" t="s">
        <v>234</v>
      </c>
      <c r="B58" s="13">
        <v>3</v>
      </c>
      <c r="C58" s="13">
        <v>4</v>
      </c>
      <c r="M58" s="14">
        <v>625.08223911828998</v>
      </c>
      <c r="N58" s="14">
        <v>643.09280380231996</v>
      </c>
      <c r="O58" s="14">
        <v>705.04857000765003</v>
      </c>
      <c r="P58" s="14">
        <v>723.05913469168001</v>
      </c>
      <c r="Q58" s="14">
        <v>499.03931167690996</v>
      </c>
      <c r="R58" s="14">
        <v>607.07167443425999</v>
      </c>
      <c r="S58" s="14">
        <v>625.08223911828998</v>
      </c>
      <c r="T58" s="14">
        <v>687.03800532362004</v>
      </c>
      <c r="U58" s="14">
        <v>705.04857000765003</v>
      </c>
      <c r="V58" s="14">
        <v>481.02874699287997</v>
      </c>
      <c r="W58" s="14">
        <v>545.11590822892992</v>
      </c>
      <c r="X58" s="14">
        <v>563.12647291295991</v>
      </c>
      <c r="Y58" s="14">
        <v>625.08223911828998</v>
      </c>
      <c r="Z58" s="14">
        <v>643.09280380231996</v>
      </c>
      <c r="AA58" s="14">
        <v>419.07298078754991</v>
      </c>
      <c r="AB58" s="14">
        <v>527.10534354489994</v>
      </c>
      <c r="AC58" s="14">
        <v>545.11590822892992</v>
      </c>
      <c r="AD58" s="14">
        <v>607.07167443425999</v>
      </c>
      <c r="AE58" s="14">
        <v>625.08223911828998</v>
      </c>
      <c r="AF58" s="14">
        <v>401.06241610351992</v>
      </c>
    </row>
    <row r="59" spans="1:32" x14ac:dyDescent="0.25">
      <c r="A59" s="13" t="s">
        <v>396</v>
      </c>
      <c r="B59" s="13">
        <v>3</v>
      </c>
      <c r="C59" s="13">
        <v>5</v>
      </c>
      <c r="M59" s="14">
        <v>945.12319150111978</v>
      </c>
      <c r="N59" s="14">
        <v>963.13375618514976</v>
      </c>
      <c r="O59" s="14">
        <v>1025.0895223904797</v>
      </c>
      <c r="P59" s="14">
        <v>1043.1000870745097</v>
      </c>
      <c r="Q59" s="14">
        <v>819.08026405973976</v>
      </c>
      <c r="R59" s="14">
        <v>927.11262681708979</v>
      </c>
      <c r="S59" s="14">
        <v>945.12319150111978</v>
      </c>
      <c r="T59" s="14">
        <v>1007.0789577064498</v>
      </c>
      <c r="U59" s="14">
        <v>1025.0895223904797</v>
      </c>
      <c r="V59" s="14">
        <v>801.06969937570977</v>
      </c>
      <c r="W59" s="14">
        <v>865.15686061175984</v>
      </c>
      <c r="X59" s="14">
        <v>883.16742529578983</v>
      </c>
      <c r="Y59" s="14">
        <v>945.12319150111989</v>
      </c>
      <c r="Z59" s="14">
        <v>963.13375618514988</v>
      </c>
      <c r="AA59" s="14">
        <v>739.11393317037982</v>
      </c>
      <c r="AB59" s="14">
        <v>847.14629592772985</v>
      </c>
      <c r="AC59" s="14">
        <v>865.15686061175984</v>
      </c>
      <c r="AD59" s="14">
        <v>927.1126268170899</v>
      </c>
      <c r="AE59" s="14">
        <v>945.12319150111989</v>
      </c>
      <c r="AF59" s="14">
        <v>721.10336848634984</v>
      </c>
    </row>
    <row r="60" spans="1:32" x14ac:dyDescent="0.25">
      <c r="A60" s="13" t="s">
        <v>397</v>
      </c>
      <c r="B60" s="13">
        <v>3</v>
      </c>
      <c r="C60" s="13">
        <v>6</v>
      </c>
      <c r="M60" s="14">
        <v>1250.16447823658</v>
      </c>
      <c r="N60" s="14">
        <v>1268.1750429206099</v>
      </c>
      <c r="O60" s="14">
        <v>1330.1308091259398</v>
      </c>
      <c r="P60" s="14">
        <v>1348.1413738099698</v>
      </c>
      <c r="Q60" s="14">
        <v>1139.1212164425699</v>
      </c>
      <c r="R60" s="14">
        <v>1232.15391355255</v>
      </c>
      <c r="S60" s="14">
        <v>1250.16447823658</v>
      </c>
      <c r="T60" s="14">
        <v>1312.1202444419098</v>
      </c>
      <c r="U60" s="14">
        <v>1330.1308091259398</v>
      </c>
      <c r="V60" s="14">
        <v>1121.1106517585399</v>
      </c>
      <c r="W60" s="14">
        <v>1170.1981473472201</v>
      </c>
      <c r="X60" s="14">
        <v>1188.2087120312501</v>
      </c>
      <c r="Y60" s="14">
        <v>1250.16447823658</v>
      </c>
      <c r="Z60" s="14">
        <v>1268.1750429206099</v>
      </c>
      <c r="AA60" s="14">
        <v>1059.1548855532101</v>
      </c>
      <c r="AB60" s="14">
        <v>1152.1875826631901</v>
      </c>
      <c r="AC60" s="14">
        <v>1170.1981473472201</v>
      </c>
      <c r="AD60" s="14">
        <v>1232.15391355255</v>
      </c>
      <c r="AE60" s="14">
        <v>1250.16447823658</v>
      </c>
      <c r="AF60" s="14">
        <v>1041.1443208691801</v>
      </c>
    </row>
    <row r="61" spans="1:32" x14ac:dyDescent="0.25">
      <c r="A61" s="13" t="s">
        <v>398</v>
      </c>
      <c r="B61" s="13">
        <v>3</v>
      </c>
      <c r="C61" s="13">
        <v>7</v>
      </c>
      <c r="M61" s="14">
        <v>1579.2169983613298</v>
      </c>
      <c r="N61" s="14">
        <v>1597.2275630453598</v>
      </c>
      <c r="O61" s="14">
        <v>1659.1833292506897</v>
      </c>
      <c r="P61" s="14">
        <v>1677.1938939347197</v>
      </c>
      <c r="Q61" s="14">
        <v>1444.16250317803</v>
      </c>
      <c r="R61" s="14">
        <v>1561.2064336772999</v>
      </c>
      <c r="S61" s="14">
        <v>1579.2169983613298</v>
      </c>
      <c r="T61" s="14">
        <v>1641.1727645666597</v>
      </c>
      <c r="U61" s="14">
        <v>1659.1833292506897</v>
      </c>
      <c r="V61" s="14">
        <v>1426.1519384939998</v>
      </c>
      <c r="W61" s="14">
        <v>1499.25066747197</v>
      </c>
      <c r="X61" s="14">
        <v>1517.261232156</v>
      </c>
      <c r="Y61" s="14">
        <v>1579.2169983613298</v>
      </c>
      <c r="Z61" s="14">
        <v>1597.2275630453598</v>
      </c>
      <c r="AA61" s="14">
        <v>1364.1961722886699</v>
      </c>
      <c r="AB61" s="14">
        <v>1481.24010278794</v>
      </c>
      <c r="AC61" s="14">
        <v>1499.25066747197</v>
      </c>
      <c r="AD61" s="14">
        <v>1561.2064336772999</v>
      </c>
      <c r="AE61" s="14">
        <v>1579.2169983613298</v>
      </c>
      <c r="AF61" s="14">
        <v>1346.1856076046402</v>
      </c>
    </row>
    <row r="62" spans="1:32" x14ac:dyDescent="0.25">
      <c r="A62" s="13" t="s">
        <v>399</v>
      </c>
      <c r="B62" s="13">
        <v>3</v>
      </c>
      <c r="C62" s="13">
        <v>8</v>
      </c>
      <c r="M62" s="14">
        <v>1908.26951848608</v>
      </c>
      <c r="N62" s="14">
        <v>1926.2800831701099</v>
      </c>
      <c r="O62" s="14">
        <v>1988.2358493754398</v>
      </c>
      <c r="P62" s="14">
        <v>2006.2464140594698</v>
      </c>
      <c r="Q62" s="14">
        <v>1773.2150233027801</v>
      </c>
      <c r="R62" s="14">
        <v>1890.25895380205</v>
      </c>
      <c r="S62" s="14">
        <v>1908.26951848608</v>
      </c>
      <c r="T62" s="14">
        <v>1970.2252846914098</v>
      </c>
      <c r="U62" s="14">
        <v>1988.2358493754398</v>
      </c>
      <c r="V62" s="14">
        <v>1755.2044586187499</v>
      </c>
      <c r="W62" s="14">
        <v>1828.3031875967201</v>
      </c>
      <c r="X62" s="14">
        <v>1846.3137522807501</v>
      </c>
      <c r="Y62" s="14">
        <v>1908.26951848608</v>
      </c>
      <c r="Z62" s="14">
        <v>1926.2800831701099</v>
      </c>
      <c r="AA62" s="14">
        <v>1693.24869241342</v>
      </c>
      <c r="AB62" s="14">
        <v>1810.2926229126901</v>
      </c>
      <c r="AC62" s="14">
        <v>1828.3031875967201</v>
      </c>
      <c r="AD62" s="14">
        <v>1890.25895380205</v>
      </c>
      <c r="AE62" s="14">
        <v>1908.26951848608</v>
      </c>
      <c r="AF62" s="14">
        <v>1675.2381277293903</v>
      </c>
    </row>
    <row r="63" spans="1:32" x14ac:dyDescent="0.25">
      <c r="A63" s="13" t="s">
        <v>400</v>
      </c>
      <c r="B63" s="13">
        <v>3</v>
      </c>
      <c r="C63" s="13">
        <v>9</v>
      </c>
      <c r="M63" s="14">
        <v>2213.3108052215398</v>
      </c>
      <c r="N63" s="14">
        <v>2231.3213699055696</v>
      </c>
      <c r="O63" s="14">
        <v>2293.2771361108998</v>
      </c>
      <c r="P63" s="14">
        <v>2311.2877007949296</v>
      </c>
      <c r="Q63" s="14">
        <v>2102.2675434275297</v>
      </c>
      <c r="R63" s="14">
        <v>2195.30024053751</v>
      </c>
      <c r="S63" s="14">
        <v>2213.3108052215398</v>
      </c>
      <c r="T63" s="14">
        <v>2275.2665714268701</v>
      </c>
      <c r="U63" s="14">
        <v>2293.2771361108998</v>
      </c>
      <c r="V63" s="14">
        <v>2084.2569787435</v>
      </c>
      <c r="W63" s="14">
        <v>2133.3444743321797</v>
      </c>
      <c r="X63" s="14">
        <v>2151.3550390162095</v>
      </c>
      <c r="Y63" s="14">
        <v>2213.3108052215398</v>
      </c>
      <c r="Z63" s="14">
        <v>2231.3213699055696</v>
      </c>
      <c r="AA63" s="14">
        <v>2022.3012125381697</v>
      </c>
      <c r="AB63" s="14">
        <v>2115.33390964815</v>
      </c>
      <c r="AC63" s="14">
        <v>2133.3444743321797</v>
      </c>
      <c r="AD63" s="14">
        <v>2195.30024053751</v>
      </c>
      <c r="AE63" s="14">
        <v>2213.3108052215398</v>
      </c>
      <c r="AF63" s="14">
        <v>2004.2906478541399</v>
      </c>
    </row>
    <row r="64" spans="1:32" x14ac:dyDescent="0.25">
      <c r="A64" s="13" t="s">
        <v>401</v>
      </c>
      <c r="B64" s="13">
        <v>3</v>
      </c>
      <c r="C64" s="13">
        <v>10</v>
      </c>
      <c r="M64" s="14">
        <v>2533.3517576043696</v>
      </c>
      <c r="N64" s="14">
        <v>2551.3623222883994</v>
      </c>
      <c r="O64" s="14">
        <v>2613.3180884937296</v>
      </c>
      <c r="P64" s="14">
        <v>2631.3286531777594</v>
      </c>
      <c r="Q64" s="14">
        <v>2407.3088301629896</v>
      </c>
      <c r="R64" s="14">
        <v>2515.3411929203398</v>
      </c>
      <c r="S64" s="14">
        <v>2533.3517576043696</v>
      </c>
      <c r="T64" s="14">
        <v>2595.3075238096999</v>
      </c>
      <c r="U64" s="14">
        <v>2613.3180884937296</v>
      </c>
      <c r="V64" s="14">
        <v>2389.2982654789598</v>
      </c>
      <c r="W64" s="14">
        <v>2453.3854267150095</v>
      </c>
      <c r="X64" s="14">
        <v>2471.3959913990393</v>
      </c>
      <c r="Y64" s="14">
        <v>2533.3517576043696</v>
      </c>
      <c r="Z64" s="14">
        <v>2551.3623222883994</v>
      </c>
      <c r="AA64" s="14">
        <v>2327.3424992736295</v>
      </c>
      <c r="AB64" s="14">
        <v>2435.3748620309798</v>
      </c>
      <c r="AC64" s="14">
        <v>2453.3854267150095</v>
      </c>
      <c r="AD64" s="14">
        <v>2515.3411929203398</v>
      </c>
      <c r="AE64" s="14">
        <v>2533.3517576043696</v>
      </c>
      <c r="AF64" s="14">
        <v>2309.3319345895998</v>
      </c>
    </row>
    <row r="65" spans="1:32" x14ac:dyDescent="0.25">
      <c r="A65" s="13" t="s">
        <v>402</v>
      </c>
      <c r="B65" s="13">
        <v>3</v>
      </c>
      <c r="C65" s="13">
        <v>11</v>
      </c>
      <c r="M65" s="14">
        <v>2853.3927099871994</v>
      </c>
      <c r="N65" s="14">
        <v>2871.4032746712292</v>
      </c>
      <c r="O65" s="14">
        <v>2933.3590408765594</v>
      </c>
      <c r="P65" s="14">
        <v>2951.3696055605892</v>
      </c>
      <c r="Q65" s="14">
        <v>2727.3497825458194</v>
      </c>
      <c r="R65" s="14">
        <v>2835.3821453031696</v>
      </c>
      <c r="S65" s="14">
        <v>2853.3927099871994</v>
      </c>
      <c r="T65" s="14">
        <v>2915.3484761925297</v>
      </c>
      <c r="U65" s="14">
        <v>2933.3590408765594</v>
      </c>
      <c r="V65" s="14">
        <v>2709.3392178617896</v>
      </c>
      <c r="W65" s="14">
        <v>2773.4263790978393</v>
      </c>
      <c r="X65" s="14">
        <v>2791.4369437818691</v>
      </c>
      <c r="Y65" s="14">
        <v>2853.3927099871994</v>
      </c>
      <c r="Z65" s="14">
        <v>2871.4032746712292</v>
      </c>
      <c r="AA65" s="14">
        <v>2647.3834516564593</v>
      </c>
      <c r="AB65" s="14">
        <v>2755.4158144138096</v>
      </c>
      <c r="AC65" s="14">
        <v>2773.4263790978393</v>
      </c>
      <c r="AD65" s="14">
        <v>2835.3821453031696</v>
      </c>
      <c r="AE65" s="14">
        <v>2853.3927099871994</v>
      </c>
      <c r="AF65" s="14">
        <v>2629.3728869724296</v>
      </c>
    </row>
    <row r="66" spans="1:32" x14ac:dyDescent="0.25">
      <c r="A66" s="13" t="s">
        <v>403</v>
      </c>
      <c r="B66" s="13">
        <v>3</v>
      </c>
      <c r="C66" s="13">
        <v>12</v>
      </c>
      <c r="M66" s="14">
        <v>3158.4339967226592</v>
      </c>
      <c r="N66" s="14">
        <v>3176.444561406689</v>
      </c>
      <c r="O66" s="14">
        <v>3238.4003276120193</v>
      </c>
      <c r="P66" s="14">
        <v>3256.410892296049</v>
      </c>
      <c r="Q66" s="14">
        <v>3047.3907349286492</v>
      </c>
      <c r="R66" s="14">
        <v>3140.4234320386295</v>
      </c>
      <c r="S66" s="14">
        <v>3158.4339967226592</v>
      </c>
      <c r="T66" s="14">
        <v>3220.3897629279895</v>
      </c>
      <c r="U66" s="14">
        <v>3238.4003276120193</v>
      </c>
      <c r="V66" s="14">
        <v>3029.3801702446194</v>
      </c>
      <c r="W66" s="14">
        <v>3078.4676658332992</v>
      </c>
      <c r="X66" s="14">
        <v>3096.4782305173289</v>
      </c>
      <c r="Y66" s="14">
        <v>3158.4339967226592</v>
      </c>
      <c r="Z66" s="14">
        <v>3176.444561406689</v>
      </c>
      <c r="AA66" s="14">
        <v>2967.4244040392891</v>
      </c>
      <c r="AB66" s="14">
        <v>3060.4571011492694</v>
      </c>
      <c r="AC66" s="14">
        <v>3078.4676658332992</v>
      </c>
      <c r="AD66" s="14">
        <v>3140.4234320386295</v>
      </c>
      <c r="AE66" s="14">
        <v>3158.4339967226592</v>
      </c>
      <c r="AF66" s="14">
        <v>2949.4138393552594</v>
      </c>
    </row>
    <row r="67" spans="1:32" x14ac:dyDescent="0.25">
      <c r="A67" s="13" t="s">
        <v>404</v>
      </c>
      <c r="B67" s="13">
        <v>3</v>
      </c>
      <c r="C67" s="13">
        <v>13</v>
      </c>
      <c r="M67" s="14">
        <v>3487.4865168474093</v>
      </c>
      <c r="N67" s="14">
        <v>3505.4970815314391</v>
      </c>
      <c r="O67" s="14">
        <v>3567.4528477367694</v>
      </c>
      <c r="P67" s="14">
        <v>3585.4634124207992</v>
      </c>
      <c r="Q67" s="14">
        <v>3352.4320216641095</v>
      </c>
      <c r="R67" s="14">
        <v>3469.4759521633796</v>
      </c>
      <c r="S67" s="14">
        <v>3487.4865168474093</v>
      </c>
      <c r="T67" s="14">
        <v>3549.4422830527396</v>
      </c>
      <c r="U67" s="14">
        <v>3567.4528477367694</v>
      </c>
      <c r="V67" s="14">
        <v>3334.4214569800797</v>
      </c>
      <c r="W67" s="14">
        <v>3407.5201859580493</v>
      </c>
      <c r="X67" s="14">
        <v>3425.5307506420791</v>
      </c>
      <c r="Y67" s="14">
        <v>3487.4865168474093</v>
      </c>
      <c r="Z67" s="14">
        <v>3505.4970815314391</v>
      </c>
      <c r="AA67" s="14">
        <v>3272.4656907747494</v>
      </c>
      <c r="AB67" s="14">
        <v>3389.5096212740195</v>
      </c>
      <c r="AC67" s="14">
        <v>3407.5201859580493</v>
      </c>
      <c r="AD67" s="14">
        <v>3469.4759521633796</v>
      </c>
      <c r="AE67" s="14">
        <v>3487.4865168474093</v>
      </c>
      <c r="AF67" s="14">
        <v>3254.4551260907197</v>
      </c>
    </row>
    <row r="68" spans="1:32" x14ac:dyDescent="0.25">
      <c r="A68" s="13" t="s">
        <v>405</v>
      </c>
      <c r="B68" s="13">
        <v>3</v>
      </c>
      <c r="C68" s="13">
        <v>14</v>
      </c>
      <c r="M68" s="14">
        <v>3798.5284722881293</v>
      </c>
      <c r="N68" s="14">
        <v>3816.539036972159</v>
      </c>
      <c r="O68" s="14">
        <v>3878.4948031774893</v>
      </c>
      <c r="P68" s="14">
        <v>3896.5053678615191</v>
      </c>
      <c r="Q68" s="14">
        <v>3663.4739771048294</v>
      </c>
      <c r="R68" s="14">
        <v>3780.5179076040995</v>
      </c>
      <c r="S68" s="14">
        <v>3798.5284722881293</v>
      </c>
      <c r="T68" s="14">
        <v>3860.4842384934595</v>
      </c>
      <c r="U68" s="14">
        <v>3878.4948031774893</v>
      </c>
      <c r="V68" s="14">
        <v>3645.4634124207996</v>
      </c>
      <c r="W68" s="14">
        <v>3718.5621413987692</v>
      </c>
      <c r="X68" s="14">
        <v>3736.572706082799</v>
      </c>
      <c r="Y68" s="14">
        <v>3798.5284722881293</v>
      </c>
      <c r="Z68" s="14">
        <v>3816.539036972159</v>
      </c>
      <c r="AA68" s="14">
        <v>3583.5076462154693</v>
      </c>
      <c r="AB68" s="14">
        <v>3700.5515767147394</v>
      </c>
      <c r="AC68" s="14">
        <v>3718.5621413987692</v>
      </c>
      <c r="AD68" s="14">
        <v>3780.5179076040995</v>
      </c>
      <c r="AE68" s="14">
        <v>3798.5284722881293</v>
      </c>
      <c r="AF68" s="14">
        <v>3565.4970815314396</v>
      </c>
    </row>
    <row r="69" spans="1:32" x14ac:dyDescent="0.25">
      <c r="A69" s="13" t="s">
        <v>235</v>
      </c>
      <c r="B69" s="13">
        <v>4</v>
      </c>
      <c r="C69" s="13">
        <v>4</v>
      </c>
      <c r="M69" s="14">
        <v>320.04095238282997</v>
      </c>
      <c r="N69" s="14">
        <v>338.05151706686001</v>
      </c>
      <c r="O69" s="14">
        <v>400.00728327218997</v>
      </c>
      <c r="P69" s="14">
        <v>418.01784795622001</v>
      </c>
      <c r="Q69" s="14">
        <v>193.99802494144998</v>
      </c>
      <c r="R69" s="14">
        <v>302.03038769879993</v>
      </c>
      <c r="S69" s="14">
        <v>320.04095238282991</v>
      </c>
      <c r="T69" s="14">
        <v>381.99671858815998</v>
      </c>
      <c r="U69" s="14">
        <v>400.00728327218997</v>
      </c>
      <c r="V69" s="14">
        <v>175.98746025741994</v>
      </c>
      <c r="W69" s="14">
        <v>240.07462149346998</v>
      </c>
      <c r="X69" s="14">
        <v>258.08518617749996</v>
      </c>
      <c r="Y69" s="14">
        <v>320.04095238283003</v>
      </c>
      <c r="Z69" s="14">
        <v>338.05151706686001</v>
      </c>
      <c r="AA69" s="14">
        <v>114.03169405208999</v>
      </c>
      <c r="AB69" s="14">
        <v>222.06405680943993</v>
      </c>
      <c r="AC69" s="14">
        <v>240.07462149346995</v>
      </c>
      <c r="AD69" s="14">
        <v>302.03038769879993</v>
      </c>
      <c r="AE69" s="14">
        <v>320.04095238282997</v>
      </c>
      <c r="AF69" s="14">
        <v>96.021129368059945</v>
      </c>
    </row>
    <row r="70" spans="1:32" x14ac:dyDescent="0.25">
      <c r="A70" s="13" t="s">
        <v>406</v>
      </c>
      <c r="B70" s="13">
        <v>4</v>
      </c>
      <c r="C70" s="13">
        <v>5</v>
      </c>
      <c r="M70" s="14">
        <v>640.08190476565994</v>
      </c>
      <c r="N70" s="14">
        <v>658.09246944968993</v>
      </c>
      <c r="O70" s="14">
        <v>720.04823565501999</v>
      </c>
      <c r="P70" s="14">
        <v>738.05880033904998</v>
      </c>
      <c r="Q70" s="14">
        <v>514.03897732427993</v>
      </c>
      <c r="R70" s="14">
        <v>622.07134008162996</v>
      </c>
      <c r="S70" s="14">
        <v>640.08190476565994</v>
      </c>
      <c r="T70" s="14">
        <v>702.03767097099001</v>
      </c>
      <c r="U70" s="14">
        <v>720.04823565501999</v>
      </c>
      <c r="V70" s="14">
        <v>496.02841264024994</v>
      </c>
      <c r="W70" s="14">
        <v>560.11557387629989</v>
      </c>
      <c r="X70" s="14">
        <v>578.12613856032988</v>
      </c>
      <c r="Y70" s="14">
        <v>640.08190476565994</v>
      </c>
      <c r="Z70" s="14">
        <v>658.09246944968993</v>
      </c>
      <c r="AA70" s="14">
        <v>434.07264643491987</v>
      </c>
      <c r="AB70" s="14">
        <v>542.1050091922699</v>
      </c>
      <c r="AC70" s="14">
        <v>560.11557387629989</v>
      </c>
      <c r="AD70" s="14">
        <v>622.07134008162996</v>
      </c>
      <c r="AE70" s="14">
        <v>640.08190476565994</v>
      </c>
      <c r="AF70" s="14">
        <v>416.06208175088989</v>
      </c>
    </row>
    <row r="71" spans="1:32" x14ac:dyDescent="0.25">
      <c r="A71" s="13" t="s">
        <v>407</v>
      </c>
      <c r="B71" s="13">
        <v>4</v>
      </c>
      <c r="C71" s="13">
        <v>6</v>
      </c>
      <c r="M71" s="14">
        <v>945.12319150111978</v>
      </c>
      <c r="N71" s="14">
        <v>963.13375618514976</v>
      </c>
      <c r="O71" s="14">
        <v>1025.0895223904797</v>
      </c>
      <c r="P71" s="14">
        <v>1043.1000870745097</v>
      </c>
      <c r="Q71" s="14">
        <v>834.07992970710984</v>
      </c>
      <c r="R71" s="14">
        <v>927.11262681708979</v>
      </c>
      <c r="S71" s="14">
        <v>945.12319150111978</v>
      </c>
      <c r="T71" s="14">
        <v>1007.0789577064498</v>
      </c>
      <c r="U71" s="14">
        <v>1025.0895223904797</v>
      </c>
      <c r="V71" s="14">
        <v>816.06936502307985</v>
      </c>
      <c r="W71" s="14">
        <v>865.15686061175984</v>
      </c>
      <c r="X71" s="14">
        <v>883.16742529578983</v>
      </c>
      <c r="Y71" s="14">
        <v>945.12319150111989</v>
      </c>
      <c r="Z71" s="14">
        <v>963.13375618514988</v>
      </c>
      <c r="AA71" s="14">
        <v>754.11359881774979</v>
      </c>
      <c r="AB71" s="14">
        <v>847.14629592772985</v>
      </c>
      <c r="AC71" s="14">
        <v>865.15686061175984</v>
      </c>
      <c r="AD71" s="14">
        <v>927.1126268170899</v>
      </c>
      <c r="AE71" s="14">
        <v>945.12319150111989</v>
      </c>
      <c r="AF71" s="14">
        <v>736.1030341337198</v>
      </c>
    </row>
    <row r="72" spans="1:32" x14ac:dyDescent="0.25">
      <c r="A72" s="13" t="s">
        <v>408</v>
      </c>
      <c r="B72" s="13">
        <v>4</v>
      </c>
      <c r="C72" s="13">
        <v>7</v>
      </c>
      <c r="M72" s="14">
        <v>1274.17571162587</v>
      </c>
      <c r="N72" s="14">
        <v>1292.1862763099</v>
      </c>
      <c r="O72" s="14">
        <v>1354.1420425152298</v>
      </c>
      <c r="P72" s="14">
        <v>1372.1526071992598</v>
      </c>
      <c r="Q72" s="14">
        <v>1139.1212164425701</v>
      </c>
      <c r="R72" s="14">
        <v>1256.16514694184</v>
      </c>
      <c r="S72" s="14">
        <v>1274.17571162587</v>
      </c>
      <c r="T72" s="14">
        <v>1336.1314778311998</v>
      </c>
      <c r="U72" s="14">
        <v>1354.1420425152298</v>
      </c>
      <c r="V72" s="14">
        <v>1121.1106517585399</v>
      </c>
      <c r="W72" s="14">
        <v>1194.2093807365102</v>
      </c>
      <c r="X72" s="14">
        <v>1212.2199454205402</v>
      </c>
      <c r="Y72" s="14">
        <v>1274.17571162587</v>
      </c>
      <c r="Z72" s="14">
        <v>1292.1862763099</v>
      </c>
      <c r="AA72" s="14">
        <v>1059.1548855532101</v>
      </c>
      <c r="AB72" s="14">
        <v>1176.1988160524802</v>
      </c>
      <c r="AC72" s="14">
        <v>1194.2093807365102</v>
      </c>
      <c r="AD72" s="14">
        <v>1256.16514694184</v>
      </c>
      <c r="AE72" s="14">
        <v>1274.17571162587</v>
      </c>
      <c r="AF72" s="14">
        <v>1041.1443208691803</v>
      </c>
    </row>
    <row r="73" spans="1:32" x14ac:dyDescent="0.25">
      <c r="A73" s="13" t="s">
        <v>409</v>
      </c>
      <c r="B73" s="13">
        <v>4</v>
      </c>
      <c r="C73" s="13">
        <v>8</v>
      </c>
      <c r="M73" s="14">
        <v>1603.2282317506201</v>
      </c>
      <c r="N73" s="14">
        <v>1621.2387964346501</v>
      </c>
      <c r="O73" s="14">
        <v>1683.1945626399799</v>
      </c>
      <c r="P73" s="14">
        <v>1701.2051273240099</v>
      </c>
      <c r="Q73" s="14">
        <v>1468.1737365673202</v>
      </c>
      <c r="R73" s="14">
        <v>1585.2176670665901</v>
      </c>
      <c r="S73" s="14">
        <v>1603.2282317506201</v>
      </c>
      <c r="T73" s="14">
        <v>1665.18399795595</v>
      </c>
      <c r="U73" s="14">
        <v>1683.1945626399799</v>
      </c>
      <c r="V73" s="14">
        <v>1450.16317188329</v>
      </c>
      <c r="W73" s="14">
        <v>1523.2619008612603</v>
      </c>
      <c r="X73" s="14">
        <v>1541.2724655452903</v>
      </c>
      <c r="Y73" s="14">
        <v>1603.2282317506201</v>
      </c>
      <c r="Z73" s="14">
        <v>1621.2387964346501</v>
      </c>
      <c r="AA73" s="14">
        <v>1388.2074056779602</v>
      </c>
      <c r="AB73" s="14">
        <v>1505.2513361772303</v>
      </c>
      <c r="AC73" s="14">
        <v>1523.2619008612603</v>
      </c>
      <c r="AD73" s="14">
        <v>1585.2176670665901</v>
      </c>
      <c r="AE73" s="14">
        <v>1603.2282317506201</v>
      </c>
      <c r="AF73" s="14">
        <v>1370.1968409939304</v>
      </c>
    </row>
    <row r="74" spans="1:32" x14ac:dyDescent="0.25">
      <c r="A74" s="13" t="s">
        <v>410</v>
      </c>
      <c r="B74" s="13">
        <v>4</v>
      </c>
      <c r="C74" s="13">
        <v>9</v>
      </c>
      <c r="M74" s="14">
        <v>1908.2695184860802</v>
      </c>
      <c r="N74" s="14">
        <v>1926.2800831701102</v>
      </c>
      <c r="O74" s="14">
        <v>1988.23584937544</v>
      </c>
      <c r="P74" s="14">
        <v>2006.24641405947</v>
      </c>
      <c r="Q74" s="14">
        <v>1797.2262566920701</v>
      </c>
      <c r="R74" s="14">
        <v>1890.2589538020502</v>
      </c>
      <c r="S74" s="14">
        <v>1908.2695184860802</v>
      </c>
      <c r="T74" s="14">
        <v>1970.22528469141</v>
      </c>
      <c r="U74" s="14">
        <v>1988.23584937544</v>
      </c>
      <c r="V74" s="14">
        <v>1779.2156920080402</v>
      </c>
      <c r="W74" s="14">
        <v>1828.3031875967204</v>
      </c>
      <c r="X74" s="14">
        <v>1846.3137522807504</v>
      </c>
      <c r="Y74" s="14">
        <v>1908.2695184860802</v>
      </c>
      <c r="Z74" s="14">
        <v>1926.2800831701102</v>
      </c>
      <c r="AA74" s="14">
        <v>1717.2599258027103</v>
      </c>
      <c r="AB74" s="14">
        <v>1810.2926229126904</v>
      </c>
      <c r="AC74" s="14">
        <v>1828.3031875967204</v>
      </c>
      <c r="AD74" s="14">
        <v>1890.2589538020502</v>
      </c>
      <c r="AE74" s="14">
        <v>1908.2695184860802</v>
      </c>
      <c r="AF74" s="14">
        <v>1699.2493611186803</v>
      </c>
    </row>
    <row r="75" spans="1:32" x14ac:dyDescent="0.25">
      <c r="A75" s="13" t="s">
        <v>411</v>
      </c>
      <c r="B75" s="13">
        <v>4</v>
      </c>
      <c r="C75" s="13">
        <v>10</v>
      </c>
      <c r="M75" s="14">
        <v>2228.3104708689102</v>
      </c>
      <c r="N75" s="14">
        <v>2246.32103555294</v>
      </c>
      <c r="O75" s="14">
        <v>2308.2768017582703</v>
      </c>
      <c r="P75" s="14">
        <v>2326.2873664423</v>
      </c>
      <c r="Q75" s="14">
        <v>2102.2675434275302</v>
      </c>
      <c r="R75" s="14">
        <v>2210.2999061848805</v>
      </c>
      <c r="S75" s="14">
        <v>2228.3104708689102</v>
      </c>
      <c r="T75" s="14">
        <v>2290.2662370742405</v>
      </c>
      <c r="U75" s="14">
        <v>2308.2768017582703</v>
      </c>
      <c r="V75" s="14">
        <v>2084.2569787435004</v>
      </c>
      <c r="W75" s="14">
        <v>2148.3441399795502</v>
      </c>
      <c r="X75" s="14">
        <v>2166.3547046635799</v>
      </c>
      <c r="Y75" s="14">
        <v>2228.3104708689102</v>
      </c>
      <c r="Z75" s="14">
        <v>2246.32103555294</v>
      </c>
      <c r="AA75" s="14">
        <v>2022.3012125381701</v>
      </c>
      <c r="AB75" s="14">
        <v>2130.3335752955204</v>
      </c>
      <c r="AC75" s="14">
        <v>2148.3441399795502</v>
      </c>
      <c r="AD75" s="14">
        <v>2210.2999061848805</v>
      </c>
      <c r="AE75" s="14">
        <v>2228.3104708689102</v>
      </c>
      <c r="AF75" s="14">
        <v>2004.2906478541404</v>
      </c>
    </row>
    <row r="76" spans="1:32" x14ac:dyDescent="0.25">
      <c r="A76" s="13" t="s">
        <v>412</v>
      </c>
      <c r="B76" s="13">
        <v>4</v>
      </c>
      <c r="C76" s="13">
        <v>11</v>
      </c>
      <c r="M76" s="14">
        <v>2548.35142325174</v>
      </c>
      <c r="N76" s="14">
        <v>2566.3619879357698</v>
      </c>
      <c r="O76" s="14">
        <v>2628.3177541411001</v>
      </c>
      <c r="P76" s="14">
        <v>2646.3283188251298</v>
      </c>
      <c r="Q76" s="14">
        <v>2422.30849581036</v>
      </c>
      <c r="R76" s="14">
        <v>2530.3408585677103</v>
      </c>
      <c r="S76" s="14">
        <v>2548.35142325174</v>
      </c>
      <c r="T76" s="14">
        <v>2610.3071894570703</v>
      </c>
      <c r="U76" s="14">
        <v>2628.3177541411001</v>
      </c>
      <c r="V76" s="14">
        <v>2404.2979311263302</v>
      </c>
      <c r="W76" s="14">
        <v>2468.38509236238</v>
      </c>
      <c r="X76" s="14">
        <v>2486.3956570464097</v>
      </c>
      <c r="Y76" s="14">
        <v>2548.35142325174</v>
      </c>
      <c r="Z76" s="14">
        <v>2566.3619879357698</v>
      </c>
      <c r="AA76" s="14">
        <v>2342.3421649209999</v>
      </c>
      <c r="AB76" s="14">
        <v>2450.3745276783502</v>
      </c>
      <c r="AC76" s="14">
        <v>2468.38509236238</v>
      </c>
      <c r="AD76" s="14">
        <v>2530.3408585677103</v>
      </c>
      <c r="AE76" s="14">
        <v>2548.35142325174</v>
      </c>
      <c r="AF76" s="14">
        <v>2324.3316002369702</v>
      </c>
    </row>
    <row r="77" spans="1:32" x14ac:dyDescent="0.25">
      <c r="A77" s="13" t="s">
        <v>413</v>
      </c>
      <c r="B77" s="13">
        <v>4</v>
      </c>
      <c r="C77" s="13">
        <v>12</v>
      </c>
      <c r="M77" s="14">
        <v>2853.3927099871999</v>
      </c>
      <c r="N77" s="14">
        <v>2871.4032746712296</v>
      </c>
      <c r="O77" s="14">
        <v>2933.3590408765599</v>
      </c>
      <c r="P77" s="14">
        <v>2951.3696055605897</v>
      </c>
      <c r="Q77" s="14">
        <v>2742.3494481931898</v>
      </c>
      <c r="R77" s="14">
        <v>2835.3821453031701</v>
      </c>
      <c r="S77" s="14">
        <v>2853.3927099871999</v>
      </c>
      <c r="T77" s="14">
        <v>2915.3484761925301</v>
      </c>
      <c r="U77" s="14">
        <v>2933.3590408765599</v>
      </c>
      <c r="V77" s="14">
        <v>2724.33888350916</v>
      </c>
      <c r="W77" s="14">
        <v>2773.4263790978398</v>
      </c>
      <c r="X77" s="14">
        <v>2791.4369437818696</v>
      </c>
      <c r="Y77" s="14">
        <v>2853.3927099871999</v>
      </c>
      <c r="Z77" s="14">
        <v>2871.4032746712296</v>
      </c>
      <c r="AA77" s="14">
        <v>2662.3831173038297</v>
      </c>
      <c r="AB77" s="14">
        <v>2755.41581441381</v>
      </c>
      <c r="AC77" s="14">
        <v>2773.4263790978398</v>
      </c>
      <c r="AD77" s="14">
        <v>2835.3821453031701</v>
      </c>
      <c r="AE77" s="14">
        <v>2853.3927099871999</v>
      </c>
      <c r="AF77" s="14">
        <v>2644.3725526198</v>
      </c>
    </row>
    <row r="78" spans="1:32" x14ac:dyDescent="0.25">
      <c r="A78" s="13" t="s">
        <v>414</v>
      </c>
      <c r="B78" s="13">
        <v>4</v>
      </c>
      <c r="C78" s="13">
        <v>13</v>
      </c>
      <c r="M78" s="14">
        <v>3182.44523011195</v>
      </c>
      <c r="N78" s="14">
        <v>3200.4557947959797</v>
      </c>
      <c r="O78" s="14">
        <v>3262.41156100131</v>
      </c>
      <c r="P78" s="14">
        <v>3280.4221256853398</v>
      </c>
      <c r="Q78" s="14">
        <v>3047.3907349286501</v>
      </c>
      <c r="R78" s="14">
        <v>3164.4346654279202</v>
      </c>
      <c r="S78" s="14">
        <v>3182.44523011195</v>
      </c>
      <c r="T78" s="14">
        <v>3244.4009963172803</v>
      </c>
      <c r="U78" s="14">
        <v>3262.41156100131</v>
      </c>
      <c r="V78" s="14">
        <v>3029.3801702446203</v>
      </c>
      <c r="W78" s="14">
        <v>3102.4788992225899</v>
      </c>
      <c r="X78" s="14">
        <v>3120.4894639066197</v>
      </c>
      <c r="Y78" s="14">
        <v>3182.44523011195</v>
      </c>
      <c r="Z78" s="14">
        <v>3200.4557947959797</v>
      </c>
      <c r="AA78" s="14">
        <v>2967.42440403929</v>
      </c>
      <c r="AB78" s="14">
        <v>3084.4683345385602</v>
      </c>
      <c r="AC78" s="14">
        <v>3102.4788992225899</v>
      </c>
      <c r="AD78" s="14">
        <v>3164.4346654279202</v>
      </c>
      <c r="AE78" s="14">
        <v>3182.44523011195</v>
      </c>
      <c r="AF78" s="14">
        <v>2949.4138393552603</v>
      </c>
    </row>
    <row r="79" spans="1:32" x14ac:dyDescent="0.25">
      <c r="A79" s="13" t="s">
        <v>415</v>
      </c>
      <c r="B79" s="13">
        <v>4</v>
      </c>
      <c r="C79" s="13">
        <v>14</v>
      </c>
      <c r="M79" s="14">
        <v>3493.4871855526699</v>
      </c>
      <c r="N79" s="14">
        <v>3511.4977502366996</v>
      </c>
      <c r="O79" s="14">
        <v>3573.4535164420299</v>
      </c>
      <c r="P79" s="14">
        <v>3591.4640811260597</v>
      </c>
      <c r="Q79" s="14">
        <v>3358.43269036937</v>
      </c>
      <c r="R79" s="14">
        <v>3475.4766208686401</v>
      </c>
      <c r="S79" s="14">
        <v>3493.4871855526699</v>
      </c>
      <c r="T79" s="14">
        <v>3555.4429517580002</v>
      </c>
      <c r="U79" s="14">
        <v>3573.4535164420299</v>
      </c>
      <c r="V79" s="14">
        <v>3340.4221256853402</v>
      </c>
      <c r="W79" s="14">
        <v>3413.5208546633098</v>
      </c>
      <c r="X79" s="14">
        <v>3431.5314193473396</v>
      </c>
      <c r="Y79" s="14">
        <v>3493.4871855526699</v>
      </c>
      <c r="Z79" s="14">
        <v>3511.4977502366996</v>
      </c>
      <c r="AA79" s="14">
        <v>3278.4663594800099</v>
      </c>
      <c r="AB79" s="14">
        <v>3395.5102899792801</v>
      </c>
      <c r="AC79" s="14">
        <v>3413.5208546633098</v>
      </c>
      <c r="AD79" s="14">
        <v>3475.4766208686401</v>
      </c>
      <c r="AE79" s="14">
        <v>3493.4871855526699</v>
      </c>
      <c r="AF79" s="14">
        <v>3260.4557947959802</v>
      </c>
    </row>
    <row r="80" spans="1:32" x14ac:dyDescent="0.25">
      <c r="A80" s="13" t="s">
        <v>235</v>
      </c>
      <c r="B80" s="13">
        <v>5</v>
      </c>
      <c r="C80" s="13">
        <v>5</v>
      </c>
      <c r="M80" s="14">
        <v>320.04095238282997</v>
      </c>
      <c r="N80" s="14">
        <v>338.05151706686001</v>
      </c>
      <c r="O80" s="14">
        <v>400.00728327218997</v>
      </c>
      <c r="P80" s="14">
        <v>418.01784795622001</v>
      </c>
      <c r="Q80" s="14">
        <v>193.99802494144998</v>
      </c>
      <c r="R80" s="14">
        <v>302.03038769879993</v>
      </c>
      <c r="S80" s="14">
        <v>320.04095238282991</v>
      </c>
      <c r="T80" s="14">
        <v>381.99671858815998</v>
      </c>
      <c r="U80" s="14">
        <v>400.00728327218997</v>
      </c>
      <c r="V80" s="14">
        <v>175.98746025741994</v>
      </c>
      <c r="W80" s="14">
        <v>240.07462149346998</v>
      </c>
      <c r="X80" s="14">
        <v>258.08518617749996</v>
      </c>
      <c r="Y80" s="14">
        <v>320.04095238283003</v>
      </c>
      <c r="Z80" s="14">
        <v>338.05151706686001</v>
      </c>
      <c r="AA80" s="14">
        <v>114.03169405208999</v>
      </c>
      <c r="AB80" s="14">
        <v>222.06405680943993</v>
      </c>
      <c r="AC80" s="14">
        <v>240.07462149346995</v>
      </c>
      <c r="AD80" s="14">
        <v>302.03038769879993</v>
      </c>
      <c r="AE80" s="14">
        <v>320.04095238282997</v>
      </c>
      <c r="AF80" s="14">
        <v>96.021129368059945</v>
      </c>
    </row>
    <row r="81" spans="1:32" x14ac:dyDescent="0.25">
      <c r="A81" s="13" t="s">
        <v>242</v>
      </c>
      <c r="B81" s="13">
        <v>5</v>
      </c>
      <c r="C81" s="13">
        <v>6</v>
      </c>
      <c r="M81" s="14">
        <v>625.08223911828998</v>
      </c>
      <c r="N81" s="14">
        <v>643.09280380231996</v>
      </c>
      <c r="O81" s="14">
        <v>705.04857000765003</v>
      </c>
      <c r="P81" s="14">
        <v>723.05913469168001</v>
      </c>
      <c r="Q81" s="14">
        <v>514.03897732428004</v>
      </c>
      <c r="R81" s="14">
        <v>607.07167443425999</v>
      </c>
      <c r="S81" s="14">
        <v>625.08223911828998</v>
      </c>
      <c r="T81" s="14">
        <v>687.03800532362004</v>
      </c>
      <c r="U81" s="14">
        <v>705.04857000765003</v>
      </c>
      <c r="V81" s="14">
        <v>496.02841264025</v>
      </c>
      <c r="W81" s="14">
        <v>545.11590822892992</v>
      </c>
      <c r="X81" s="14">
        <v>563.12647291295991</v>
      </c>
      <c r="Y81" s="14">
        <v>625.08223911828998</v>
      </c>
      <c r="Z81" s="14">
        <v>643.09280380231996</v>
      </c>
      <c r="AA81" s="14">
        <v>434.07264643491993</v>
      </c>
      <c r="AB81" s="14">
        <v>527.10534354489994</v>
      </c>
      <c r="AC81" s="14">
        <v>545.11590822892992</v>
      </c>
      <c r="AD81" s="14">
        <v>607.07167443425999</v>
      </c>
      <c r="AE81" s="14">
        <v>625.08223911828998</v>
      </c>
      <c r="AF81" s="14">
        <v>416.06208175088994</v>
      </c>
    </row>
    <row r="82" spans="1:32" x14ac:dyDescent="0.25">
      <c r="A82" s="13" t="s">
        <v>416</v>
      </c>
      <c r="B82" s="13">
        <v>5</v>
      </c>
      <c r="C82" s="13">
        <v>7</v>
      </c>
      <c r="M82" s="14">
        <v>954.13475924303987</v>
      </c>
      <c r="N82" s="14">
        <v>972.14532392706985</v>
      </c>
      <c r="O82" s="14">
        <v>1034.1010901323998</v>
      </c>
      <c r="P82" s="14">
        <v>1052.1116548164298</v>
      </c>
      <c r="Q82" s="14">
        <v>819.08026405973987</v>
      </c>
      <c r="R82" s="14">
        <v>936.12419455900988</v>
      </c>
      <c r="S82" s="14">
        <v>954.13475924303987</v>
      </c>
      <c r="T82" s="14">
        <v>1016.0905254483699</v>
      </c>
      <c r="U82" s="14">
        <v>1034.1010901323998</v>
      </c>
      <c r="V82" s="14">
        <v>801.06969937570989</v>
      </c>
      <c r="W82" s="14">
        <v>874.16842835367993</v>
      </c>
      <c r="X82" s="14">
        <v>892.17899303770992</v>
      </c>
      <c r="Y82" s="14">
        <v>954.13475924303998</v>
      </c>
      <c r="Z82" s="14">
        <v>972.14532392706997</v>
      </c>
      <c r="AA82" s="14">
        <v>739.11393317037994</v>
      </c>
      <c r="AB82" s="14">
        <v>856.15786366964994</v>
      </c>
      <c r="AC82" s="14">
        <v>874.16842835367993</v>
      </c>
      <c r="AD82" s="14">
        <v>936.12419455900999</v>
      </c>
      <c r="AE82" s="14">
        <v>954.13475924303998</v>
      </c>
      <c r="AF82" s="14">
        <v>721.10336848634995</v>
      </c>
    </row>
    <row r="83" spans="1:32" x14ac:dyDescent="0.25">
      <c r="A83" s="13" t="s">
        <v>417</v>
      </c>
      <c r="B83" s="13">
        <v>5</v>
      </c>
      <c r="C83" s="13">
        <v>8</v>
      </c>
      <c r="M83" s="14">
        <v>1283.1872793677899</v>
      </c>
      <c r="N83" s="14">
        <v>1301.1978440518199</v>
      </c>
      <c r="O83" s="14">
        <v>1363.1536102571497</v>
      </c>
      <c r="P83" s="14">
        <v>1381.1641749411797</v>
      </c>
      <c r="Q83" s="14">
        <v>1148.13278418449</v>
      </c>
      <c r="R83" s="14">
        <v>1265.1767146837599</v>
      </c>
      <c r="S83" s="14">
        <v>1283.1872793677899</v>
      </c>
      <c r="T83" s="14">
        <v>1345.1430455731197</v>
      </c>
      <c r="U83" s="14">
        <v>1363.1536102571497</v>
      </c>
      <c r="V83" s="14">
        <v>1130.1222195004598</v>
      </c>
      <c r="W83" s="14">
        <v>1203.22094847843</v>
      </c>
      <c r="X83" s="14">
        <v>1221.23151316246</v>
      </c>
      <c r="Y83" s="14">
        <v>1283.1872793677899</v>
      </c>
      <c r="Z83" s="14">
        <v>1301.1978440518199</v>
      </c>
      <c r="AA83" s="14">
        <v>1068.1664532951299</v>
      </c>
      <c r="AB83" s="14">
        <v>1185.2103837944001</v>
      </c>
      <c r="AC83" s="14">
        <v>1203.22094847843</v>
      </c>
      <c r="AD83" s="14">
        <v>1265.1767146837599</v>
      </c>
      <c r="AE83" s="14">
        <v>1283.1872793677899</v>
      </c>
      <c r="AF83" s="14">
        <v>1050.1558886111002</v>
      </c>
    </row>
    <row r="84" spans="1:32" x14ac:dyDescent="0.25">
      <c r="A84" s="13" t="s">
        <v>418</v>
      </c>
      <c r="B84" s="13">
        <v>5</v>
      </c>
      <c r="C84" s="13">
        <v>9</v>
      </c>
      <c r="M84" s="14">
        <v>1588.2285661032499</v>
      </c>
      <c r="N84" s="14">
        <v>1606.2391307872799</v>
      </c>
      <c r="O84" s="14">
        <v>1668.1948969926098</v>
      </c>
      <c r="P84" s="14">
        <v>1686.2054616766397</v>
      </c>
      <c r="Q84" s="14">
        <v>1477.1853043092399</v>
      </c>
      <c r="R84" s="14">
        <v>1570.2180014192199</v>
      </c>
      <c r="S84" s="14">
        <v>1588.2285661032499</v>
      </c>
      <c r="T84" s="14">
        <v>1650.1843323085798</v>
      </c>
      <c r="U84" s="14">
        <v>1668.1948969926098</v>
      </c>
      <c r="V84" s="14">
        <v>1459.1747396252099</v>
      </c>
      <c r="W84" s="14">
        <v>1508.2622352138901</v>
      </c>
      <c r="X84" s="14">
        <v>1526.2727998979201</v>
      </c>
      <c r="Y84" s="14">
        <v>1588.2285661032499</v>
      </c>
      <c r="Z84" s="14">
        <v>1606.2391307872799</v>
      </c>
      <c r="AA84" s="14">
        <v>1397.2189734198801</v>
      </c>
      <c r="AB84" s="14">
        <v>1490.2516705298601</v>
      </c>
      <c r="AC84" s="14">
        <v>1508.2622352138901</v>
      </c>
      <c r="AD84" s="14">
        <v>1570.2180014192199</v>
      </c>
      <c r="AE84" s="14">
        <v>1588.2285661032499</v>
      </c>
      <c r="AF84" s="14">
        <v>1379.2084087358501</v>
      </c>
    </row>
    <row r="85" spans="1:32" x14ac:dyDescent="0.25">
      <c r="A85" s="13" t="s">
        <v>419</v>
      </c>
      <c r="B85" s="13">
        <v>5</v>
      </c>
      <c r="C85" s="13">
        <v>10</v>
      </c>
      <c r="M85" s="14">
        <v>1908.26951848608</v>
      </c>
      <c r="N85" s="14">
        <v>1926.2800831701099</v>
      </c>
      <c r="O85" s="14">
        <v>1988.2358493754398</v>
      </c>
      <c r="P85" s="14">
        <v>2006.2464140594698</v>
      </c>
      <c r="Q85" s="14">
        <v>1782.2265910446999</v>
      </c>
      <c r="R85" s="14">
        <v>1890.25895380205</v>
      </c>
      <c r="S85" s="14">
        <v>1908.26951848608</v>
      </c>
      <c r="T85" s="14">
        <v>1970.2252846914098</v>
      </c>
      <c r="U85" s="14">
        <v>1988.2358493754398</v>
      </c>
      <c r="V85" s="14">
        <v>1764.21602636067</v>
      </c>
      <c r="W85" s="14">
        <v>1828.3031875967201</v>
      </c>
      <c r="X85" s="14">
        <v>1846.3137522807501</v>
      </c>
      <c r="Y85" s="14">
        <v>1908.26951848608</v>
      </c>
      <c r="Z85" s="14">
        <v>1926.2800831701099</v>
      </c>
      <c r="AA85" s="14">
        <v>1702.2602601553401</v>
      </c>
      <c r="AB85" s="14">
        <v>1810.2926229126901</v>
      </c>
      <c r="AC85" s="14">
        <v>1828.3031875967201</v>
      </c>
      <c r="AD85" s="14">
        <v>1890.25895380205</v>
      </c>
      <c r="AE85" s="14">
        <v>1908.26951848608</v>
      </c>
      <c r="AF85" s="14">
        <v>1684.2496954713101</v>
      </c>
    </row>
    <row r="86" spans="1:32" x14ac:dyDescent="0.25">
      <c r="A86" s="13" t="s">
        <v>420</v>
      </c>
      <c r="B86" s="13">
        <v>5</v>
      </c>
      <c r="C86" s="13">
        <v>11</v>
      </c>
      <c r="M86" s="14">
        <v>2228.3104708689098</v>
      </c>
      <c r="N86" s="14">
        <v>2246.3210355529395</v>
      </c>
      <c r="O86" s="14">
        <v>2308.2768017582698</v>
      </c>
      <c r="P86" s="14">
        <v>2326.2873664422996</v>
      </c>
      <c r="Q86" s="14">
        <v>2102.2675434275297</v>
      </c>
      <c r="R86" s="14">
        <v>2210.29990618488</v>
      </c>
      <c r="S86" s="14">
        <v>2228.3104708689098</v>
      </c>
      <c r="T86" s="14">
        <v>2290.2662370742401</v>
      </c>
      <c r="U86" s="14">
        <v>2308.2768017582698</v>
      </c>
      <c r="V86" s="14">
        <v>2084.2569787435</v>
      </c>
      <c r="W86" s="14">
        <v>2148.3441399795497</v>
      </c>
      <c r="X86" s="14">
        <v>2166.3547046635795</v>
      </c>
      <c r="Y86" s="14">
        <v>2228.3104708689098</v>
      </c>
      <c r="Z86" s="14">
        <v>2246.3210355529395</v>
      </c>
      <c r="AA86" s="14">
        <v>2022.3012125381697</v>
      </c>
      <c r="AB86" s="14">
        <v>2130.3335752955199</v>
      </c>
      <c r="AC86" s="14">
        <v>2148.3441399795497</v>
      </c>
      <c r="AD86" s="14">
        <v>2210.29990618488</v>
      </c>
      <c r="AE86" s="14">
        <v>2228.3104708689098</v>
      </c>
      <c r="AF86" s="14">
        <v>2004.2906478541399</v>
      </c>
    </row>
    <row r="87" spans="1:32" x14ac:dyDescent="0.25">
      <c r="A87" s="13" t="s">
        <v>421</v>
      </c>
      <c r="B87" s="13">
        <v>5</v>
      </c>
      <c r="C87" s="13">
        <v>12</v>
      </c>
      <c r="M87" s="14">
        <v>2533.3517576043696</v>
      </c>
      <c r="N87" s="14">
        <v>2551.3623222883994</v>
      </c>
      <c r="O87" s="14">
        <v>2613.3180884937296</v>
      </c>
      <c r="P87" s="14">
        <v>2631.3286531777594</v>
      </c>
      <c r="Q87" s="14">
        <v>2422.3084958103595</v>
      </c>
      <c r="R87" s="14">
        <v>2515.3411929203398</v>
      </c>
      <c r="S87" s="14">
        <v>2533.3517576043696</v>
      </c>
      <c r="T87" s="14">
        <v>2595.3075238096999</v>
      </c>
      <c r="U87" s="14">
        <v>2613.3180884937296</v>
      </c>
      <c r="V87" s="14">
        <v>2404.2979311263298</v>
      </c>
      <c r="W87" s="14">
        <v>2453.3854267150095</v>
      </c>
      <c r="X87" s="14">
        <v>2471.3959913990393</v>
      </c>
      <c r="Y87" s="14">
        <v>2533.3517576043696</v>
      </c>
      <c r="Z87" s="14">
        <v>2551.3623222883994</v>
      </c>
      <c r="AA87" s="14">
        <v>2342.3421649209995</v>
      </c>
      <c r="AB87" s="14">
        <v>2435.3748620309798</v>
      </c>
      <c r="AC87" s="14">
        <v>2453.3854267150095</v>
      </c>
      <c r="AD87" s="14">
        <v>2515.3411929203398</v>
      </c>
      <c r="AE87" s="14">
        <v>2533.3517576043696</v>
      </c>
      <c r="AF87" s="14">
        <v>2324.3316002369697</v>
      </c>
    </row>
    <row r="88" spans="1:32" x14ac:dyDescent="0.25">
      <c r="A88" s="13" t="s">
        <v>422</v>
      </c>
      <c r="B88" s="13">
        <v>5</v>
      </c>
      <c r="C88" s="13">
        <v>13</v>
      </c>
      <c r="M88" s="14">
        <v>2862.4042777291197</v>
      </c>
      <c r="N88" s="14">
        <v>2880.4148424131495</v>
      </c>
      <c r="O88" s="14">
        <v>2942.3706086184798</v>
      </c>
      <c r="P88" s="14">
        <v>2960.3811733025095</v>
      </c>
      <c r="Q88" s="14">
        <v>2727.3497825458198</v>
      </c>
      <c r="R88" s="14">
        <v>2844.39371304509</v>
      </c>
      <c r="S88" s="14">
        <v>2862.4042777291197</v>
      </c>
      <c r="T88" s="14">
        <v>2924.36004393445</v>
      </c>
      <c r="U88" s="14">
        <v>2942.3706086184798</v>
      </c>
      <c r="V88" s="14">
        <v>2709.3392178617901</v>
      </c>
      <c r="W88" s="14">
        <v>2782.4379468397597</v>
      </c>
      <c r="X88" s="14">
        <v>2800.4485115237894</v>
      </c>
      <c r="Y88" s="14">
        <v>2862.4042777291197</v>
      </c>
      <c r="Z88" s="14">
        <v>2880.4148424131495</v>
      </c>
      <c r="AA88" s="14">
        <v>2647.3834516564598</v>
      </c>
      <c r="AB88" s="14">
        <v>2764.4273821557299</v>
      </c>
      <c r="AC88" s="14">
        <v>2782.4379468397597</v>
      </c>
      <c r="AD88" s="14">
        <v>2844.39371304509</v>
      </c>
      <c r="AE88" s="14">
        <v>2862.4042777291197</v>
      </c>
      <c r="AF88" s="14">
        <v>2629.37288697243</v>
      </c>
    </row>
    <row r="89" spans="1:32" x14ac:dyDescent="0.25">
      <c r="A89" s="13" t="s">
        <v>423</v>
      </c>
      <c r="B89" s="13">
        <v>5</v>
      </c>
      <c r="C89" s="13">
        <v>14</v>
      </c>
      <c r="M89" s="14">
        <v>3173.4462331698396</v>
      </c>
      <c r="N89" s="14">
        <v>3191.4567978538694</v>
      </c>
      <c r="O89" s="14">
        <v>3253.4125640591997</v>
      </c>
      <c r="P89" s="14">
        <v>3271.4231287432294</v>
      </c>
      <c r="Q89" s="14">
        <v>3038.3917379865397</v>
      </c>
      <c r="R89" s="14">
        <v>3155.4356684858099</v>
      </c>
      <c r="S89" s="14">
        <v>3173.4462331698396</v>
      </c>
      <c r="T89" s="14">
        <v>3235.4019993751699</v>
      </c>
      <c r="U89" s="14">
        <v>3253.4125640591997</v>
      </c>
      <c r="V89" s="14">
        <v>3020.38117330251</v>
      </c>
      <c r="W89" s="14">
        <v>3093.4799022804796</v>
      </c>
      <c r="X89" s="14">
        <v>3111.4904669645093</v>
      </c>
      <c r="Y89" s="14">
        <v>3173.4462331698396</v>
      </c>
      <c r="Z89" s="14">
        <v>3191.4567978538694</v>
      </c>
      <c r="AA89" s="14">
        <v>2958.4254070971797</v>
      </c>
      <c r="AB89" s="14">
        <v>3075.4693375964498</v>
      </c>
      <c r="AC89" s="14">
        <v>3093.4799022804796</v>
      </c>
      <c r="AD89" s="14">
        <v>3155.4356684858099</v>
      </c>
      <c r="AE89" s="14">
        <v>3173.4462331698396</v>
      </c>
      <c r="AF89" s="14">
        <v>2940.4148424131499</v>
      </c>
    </row>
    <row r="90" spans="1:32" x14ac:dyDescent="0.25">
      <c r="A90" s="13" t="s">
        <v>182</v>
      </c>
      <c r="B90" s="13">
        <v>6</v>
      </c>
      <c r="C90" s="13">
        <v>6</v>
      </c>
      <c r="M90" s="14">
        <v>305.04128673546001</v>
      </c>
      <c r="N90" s="14">
        <v>323.05185141949005</v>
      </c>
      <c r="O90" s="14">
        <v>385.00761762482</v>
      </c>
      <c r="P90" s="14">
        <v>403.01818230885004</v>
      </c>
      <c r="Q90" s="14">
        <v>193.99802494145001</v>
      </c>
      <c r="R90" s="14">
        <v>287.03072205142996</v>
      </c>
      <c r="S90" s="14">
        <v>305.04128673545995</v>
      </c>
      <c r="T90" s="14">
        <v>366.99705294079001</v>
      </c>
      <c r="U90" s="14">
        <v>385.00761762482</v>
      </c>
      <c r="V90" s="14">
        <v>175.98746025741997</v>
      </c>
      <c r="W90" s="14">
        <v>225.07495584610001</v>
      </c>
      <c r="X90" s="14">
        <v>243.08552053013003</v>
      </c>
      <c r="Y90" s="14">
        <v>305.04128673546006</v>
      </c>
      <c r="Z90" s="14">
        <v>323.05185141949005</v>
      </c>
      <c r="AA90" s="14">
        <v>114.03169405209002</v>
      </c>
      <c r="AB90" s="14">
        <v>207.06439116206997</v>
      </c>
      <c r="AC90" s="14">
        <v>225.07495584609998</v>
      </c>
      <c r="AD90" s="14">
        <v>287.03072205142996</v>
      </c>
      <c r="AE90" s="14">
        <v>305.04128673546001</v>
      </c>
      <c r="AF90" s="14">
        <v>96.021129368059974</v>
      </c>
    </row>
    <row r="91" spans="1:32" x14ac:dyDescent="0.25">
      <c r="A91" s="13" t="s">
        <v>244</v>
      </c>
      <c r="B91" s="13">
        <v>6</v>
      </c>
      <c r="C91" s="13">
        <v>7</v>
      </c>
      <c r="M91" s="14">
        <v>634.09380686020995</v>
      </c>
      <c r="N91" s="14">
        <v>652.10437154423994</v>
      </c>
      <c r="O91" s="14">
        <v>714.06013774957</v>
      </c>
      <c r="P91" s="14">
        <v>732.07070243359999</v>
      </c>
      <c r="Q91" s="14">
        <v>499.03931167690996</v>
      </c>
      <c r="R91" s="14">
        <v>616.08324217617997</v>
      </c>
      <c r="S91" s="14">
        <v>634.09380686020995</v>
      </c>
      <c r="T91" s="14">
        <v>696.04957306554002</v>
      </c>
      <c r="U91" s="14">
        <v>714.06013774957</v>
      </c>
      <c r="V91" s="14">
        <v>481.02874699287997</v>
      </c>
      <c r="W91" s="14">
        <v>554.1274759708499</v>
      </c>
      <c r="X91" s="14">
        <v>572.13804065487989</v>
      </c>
      <c r="Y91" s="14">
        <v>634.09380686020995</v>
      </c>
      <c r="Z91" s="14">
        <v>652.10437154423994</v>
      </c>
      <c r="AA91" s="14">
        <v>419.07298078754991</v>
      </c>
      <c r="AB91" s="14">
        <v>536.11691128681991</v>
      </c>
      <c r="AC91" s="14">
        <v>554.1274759708499</v>
      </c>
      <c r="AD91" s="14">
        <v>616.08324217617997</v>
      </c>
      <c r="AE91" s="14">
        <v>634.09380686020995</v>
      </c>
      <c r="AF91" s="14">
        <v>401.06241610351992</v>
      </c>
    </row>
    <row r="92" spans="1:32" x14ac:dyDescent="0.25">
      <c r="A92" s="13" t="s">
        <v>245</v>
      </c>
      <c r="B92" s="13">
        <v>6</v>
      </c>
      <c r="C92" s="13">
        <v>8</v>
      </c>
      <c r="M92" s="14">
        <v>963.14632698495996</v>
      </c>
      <c r="N92" s="14">
        <v>981.15689166898994</v>
      </c>
      <c r="O92" s="14">
        <v>1043.1126578743199</v>
      </c>
      <c r="P92" s="14">
        <v>1061.1232225583499</v>
      </c>
      <c r="Q92" s="14">
        <v>828.09183180165996</v>
      </c>
      <c r="R92" s="14">
        <v>945.13576230092997</v>
      </c>
      <c r="S92" s="14">
        <v>963.14632698495996</v>
      </c>
      <c r="T92" s="14">
        <v>1025.1020931902899</v>
      </c>
      <c r="U92" s="14">
        <v>1043.1126578743199</v>
      </c>
      <c r="V92" s="14">
        <v>810.08126711762998</v>
      </c>
      <c r="W92" s="14">
        <v>883.1799960955999</v>
      </c>
      <c r="X92" s="14">
        <v>901.19056077962989</v>
      </c>
      <c r="Y92" s="14">
        <v>963.14632698495996</v>
      </c>
      <c r="Z92" s="14">
        <v>981.15689166898994</v>
      </c>
      <c r="AA92" s="14">
        <v>748.12550091229991</v>
      </c>
      <c r="AB92" s="14">
        <v>865.16943141156992</v>
      </c>
      <c r="AC92" s="14">
        <v>883.1799960955999</v>
      </c>
      <c r="AD92" s="14">
        <v>945.13576230092997</v>
      </c>
      <c r="AE92" s="14">
        <v>963.14632698495996</v>
      </c>
      <c r="AF92" s="14">
        <v>730.11493622826993</v>
      </c>
    </row>
    <row r="93" spans="1:32" x14ac:dyDescent="0.25">
      <c r="A93" s="13" t="s">
        <v>424</v>
      </c>
      <c r="B93" s="13">
        <v>6</v>
      </c>
      <c r="C93" s="13">
        <v>9</v>
      </c>
      <c r="M93" s="14">
        <v>1268.1876137204199</v>
      </c>
      <c r="N93" s="14">
        <v>1286.1981784044499</v>
      </c>
      <c r="O93" s="14">
        <v>1348.1539446097797</v>
      </c>
      <c r="P93" s="14">
        <v>1366.1645092938097</v>
      </c>
      <c r="Q93" s="14">
        <v>1157.1443519264099</v>
      </c>
      <c r="R93" s="14">
        <v>1250.1770490363899</v>
      </c>
      <c r="S93" s="14">
        <v>1268.1876137204199</v>
      </c>
      <c r="T93" s="14">
        <v>1330.1433799257497</v>
      </c>
      <c r="U93" s="14">
        <v>1348.1539446097797</v>
      </c>
      <c r="V93" s="14">
        <v>1139.1337872423799</v>
      </c>
      <c r="W93" s="14">
        <v>1188.2212828310601</v>
      </c>
      <c r="X93" s="14">
        <v>1206.2318475150901</v>
      </c>
      <c r="Y93" s="14">
        <v>1268.1876137204199</v>
      </c>
      <c r="Z93" s="14">
        <v>1286.1981784044499</v>
      </c>
      <c r="AA93" s="14">
        <v>1077.17802103705</v>
      </c>
      <c r="AB93" s="14">
        <v>1170.2107181470301</v>
      </c>
      <c r="AC93" s="14">
        <v>1188.2212828310601</v>
      </c>
      <c r="AD93" s="14">
        <v>1250.1770490363899</v>
      </c>
      <c r="AE93" s="14">
        <v>1268.1876137204199</v>
      </c>
      <c r="AF93" s="14">
        <v>1059.16745635302</v>
      </c>
    </row>
    <row r="94" spans="1:32" x14ac:dyDescent="0.25">
      <c r="A94" s="13" t="s">
        <v>425</v>
      </c>
      <c r="B94" s="13">
        <v>6</v>
      </c>
      <c r="C94" s="13">
        <v>10</v>
      </c>
      <c r="M94" s="14">
        <v>1588.2285661032499</v>
      </c>
      <c r="N94" s="14">
        <v>1606.2391307872799</v>
      </c>
      <c r="O94" s="14">
        <v>1668.1948969926098</v>
      </c>
      <c r="P94" s="14">
        <v>1686.2054616766397</v>
      </c>
      <c r="Q94" s="14">
        <v>1462.1856386618699</v>
      </c>
      <c r="R94" s="14">
        <v>1570.2180014192199</v>
      </c>
      <c r="S94" s="14">
        <v>1588.2285661032499</v>
      </c>
      <c r="T94" s="14">
        <v>1650.1843323085798</v>
      </c>
      <c r="U94" s="14">
        <v>1668.1948969926098</v>
      </c>
      <c r="V94" s="14">
        <v>1444.1750739778399</v>
      </c>
      <c r="W94" s="14">
        <v>1508.2622352138901</v>
      </c>
      <c r="X94" s="14">
        <v>1526.2727998979201</v>
      </c>
      <c r="Y94" s="14">
        <v>1588.2285661032499</v>
      </c>
      <c r="Z94" s="14">
        <v>1606.2391307872799</v>
      </c>
      <c r="AA94" s="14">
        <v>1382.2193077725101</v>
      </c>
      <c r="AB94" s="14">
        <v>1490.2516705298601</v>
      </c>
      <c r="AC94" s="14">
        <v>1508.2622352138901</v>
      </c>
      <c r="AD94" s="14">
        <v>1570.2180014192199</v>
      </c>
      <c r="AE94" s="14">
        <v>1588.2285661032499</v>
      </c>
      <c r="AF94" s="14">
        <v>1364.2087430884801</v>
      </c>
    </row>
    <row r="95" spans="1:32" x14ac:dyDescent="0.25">
      <c r="A95" s="13" t="s">
        <v>426</v>
      </c>
      <c r="B95" s="13">
        <v>6</v>
      </c>
      <c r="C95" s="13">
        <v>11</v>
      </c>
      <c r="M95" s="14">
        <v>1908.26951848608</v>
      </c>
      <c r="N95" s="14">
        <v>1926.2800831701099</v>
      </c>
      <c r="O95" s="14">
        <v>1988.2358493754398</v>
      </c>
      <c r="P95" s="14">
        <v>2006.2464140594698</v>
      </c>
      <c r="Q95" s="14">
        <v>1782.2265910446999</v>
      </c>
      <c r="R95" s="14">
        <v>1890.25895380205</v>
      </c>
      <c r="S95" s="14">
        <v>1908.26951848608</v>
      </c>
      <c r="T95" s="14">
        <v>1970.2252846914098</v>
      </c>
      <c r="U95" s="14">
        <v>1988.2358493754398</v>
      </c>
      <c r="V95" s="14">
        <v>1764.21602636067</v>
      </c>
      <c r="W95" s="14">
        <v>1828.3031875967201</v>
      </c>
      <c r="X95" s="14">
        <v>1846.3137522807501</v>
      </c>
      <c r="Y95" s="14">
        <v>1908.26951848608</v>
      </c>
      <c r="Z95" s="14">
        <v>1926.2800831701099</v>
      </c>
      <c r="AA95" s="14">
        <v>1702.2602601553401</v>
      </c>
      <c r="AB95" s="14">
        <v>1810.2926229126901</v>
      </c>
      <c r="AC95" s="14">
        <v>1828.3031875967201</v>
      </c>
      <c r="AD95" s="14">
        <v>1890.25895380205</v>
      </c>
      <c r="AE95" s="14">
        <v>1908.26951848608</v>
      </c>
      <c r="AF95" s="14">
        <v>1684.2496954713101</v>
      </c>
    </row>
    <row r="96" spans="1:32" x14ac:dyDescent="0.25">
      <c r="A96" s="13" t="s">
        <v>427</v>
      </c>
      <c r="B96" s="13">
        <v>6</v>
      </c>
      <c r="C96" s="13">
        <v>12</v>
      </c>
      <c r="M96" s="14">
        <v>2213.3108052215398</v>
      </c>
      <c r="N96" s="14">
        <v>2231.3213699055696</v>
      </c>
      <c r="O96" s="14">
        <v>2293.2771361108998</v>
      </c>
      <c r="P96" s="14">
        <v>2311.2877007949296</v>
      </c>
      <c r="Q96" s="14">
        <v>2102.2675434275297</v>
      </c>
      <c r="R96" s="14">
        <v>2195.30024053751</v>
      </c>
      <c r="S96" s="14">
        <v>2213.3108052215398</v>
      </c>
      <c r="T96" s="14">
        <v>2275.2665714268701</v>
      </c>
      <c r="U96" s="14">
        <v>2293.2771361108998</v>
      </c>
      <c r="V96" s="14">
        <v>2084.2569787435</v>
      </c>
      <c r="W96" s="14">
        <v>2133.3444743321797</v>
      </c>
      <c r="X96" s="14">
        <v>2151.3550390162095</v>
      </c>
      <c r="Y96" s="14">
        <v>2213.3108052215398</v>
      </c>
      <c r="Z96" s="14">
        <v>2231.3213699055696</v>
      </c>
      <c r="AA96" s="14">
        <v>2022.3012125381697</v>
      </c>
      <c r="AB96" s="14">
        <v>2115.33390964815</v>
      </c>
      <c r="AC96" s="14">
        <v>2133.3444743321797</v>
      </c>
      <c r="AD96" s="14">
        <v>2195.30024053751</v>
      </c>
      <c r="AE96" s="14">
        <v>2213.3108052215398</v>
      </c>
      <c r="AF96" s="14">
        <v>2004.2906478541399</v>
      </c>
    </row>
    <row r="97" spans="1:32" x14ac:dyDescent="0.25">
      <c r="A97" s="13" t="s">
        <v>428</v>
      </c>
      <c r="B97" s="13">
        <v>6</v>
      </c>
      <c r="C97" s="13">
        <v>13</v>
      </c>
      <c r="M97" s="14">
        <v>2542.3633253462899</v>
      </c>
      <c r="N97" s="14">
        <v>2560.3738900303197</v>
      </c>
      <c r="O97" s="14">
        <v>2622.32965623565</v>
      </c>
      <c r="P97" s="14">
        <v>2640.3402209196797</v>
      </c>
      <c r="Q97" s="14">
        <v>2407.30883016299</v>
      </c>
      <c r="R97" s="14">
        <v>2524.3527606622602</v>
      </c>
      <c r="S97" s="14">
        <v>2542.3633253462899</v>
      </c>
      <c r="T97" s="14">
        <v>2604.3190915516202</v>
      </c>
      <c r="U97" s="14">
        <v>2622.32965623565</v>
      </c>
      <c r="V97" s="14">
        <v>2389.2982654789603</v>
      </c>
      <c r="W97" s="14">
        <v>2462.3969944569299</v>
      </c>
      <c r="X97" s="14">
        <v>2480.4075591409596</v>
      </c>
      <c r="Y97" s="14">
        <v>2542.3633253462899</v>
      </c>
      <c r="Z97" s="14">
        <v>2560.3738900303197</v>
      </c>
      <c r="AA97" s="14">
        <v>2327.34249927363</v>
      </c>
      <c r="AB97" s="14">
        <v>2444.3864297729001</v>
      </c>
      <c r="AC97" s="14">
        <v>2462.3969944569299</v>
      </c>
      <c r="AD97" s="14">
        <v>2524.3527606622602</v>
      </c>
      <c r="AE97" s="14">
        <v>2542.3633253462899</v>
      </c>
      <c r="AF97" s="14">
        <v>2309.3319345896002</v>
      </c>
    </row>
    <row r="98" spans="1:32" x14ac:dyDescent="0.25">
      <c r="A98" s="13" t="s">
        <v>429</v>
      </c>
      <c r="B98" s="13">
        <v>6</v>
      </c>
      <c r="C98" s="13">
        <v>14</v>
      </c>
      <c r="M98" s="14">
        <v>2853.4052807870098</v>
      </c>
      <c r="N98" s="14">
        <v>2871.4158454710396</v>
      </c>
      <c r="O98" s="14">
        <v>2933.3716116763699</v>
      </c>
      <c r="P98" s="14">
        <v>2951.3821763603996</v>
      </c>
      <c r="Q98" s="14">
        <v>2718.3507856037099</v>
      </c>
      <c r="R98" s="14">
        <v>2835.3947161029801</v>
      </c>
      <c r="S98" s="14">
        <v>2853.4052807870098</v>
      </c>
      <c r="T98" s="14">
        <v>2915.3610469923401</v>
      </c>
      <c r="U98" s="14">
        <v>2933.3716116763699</v>
      </c>
      <c r="V98" s="14">
        <v>2700.3402209196802</v>
      </c>
      <c r="W98" s="14">
        <v>2773.4389498976498</v>
      </c>
      <c r="X98" s="14">
        <v>2791.4495145816795</v>
      </c>
      <c r="Y98" s="14">
        <v>2853.4052807870098</v>
      </c>
      <c r="Z98" s="14">
        <v>2871.4158454710396</v>
      </c>
      <c r="AA98" s="14">
        <v>2638.3844547143499</v>
      </c>
      <c r="AB98" s="14">
        <v>2755.42838521362</v>
      </c>
      <c r="AC98" s="14">
        <v>2773.4389498976498</v>
      </c>
      <c r="AD98" s="14">
        <v>2835.3947161029801</v>
      </c>
      <c r="AE98" s="14">
        <v>2853.4052807870098</v>
      </c>
      <c r="AF98" s="14">
        <v>2620.3738900303201</v>
      </c>
    </row>
    <row r="99" spans="1:32" x14ac:dyDescent="0.25">
      <c r="A99" s="13" t="s">
        <v>166</v>
      </c>
      <c r="B99" s="13">
        <v>7</v>
      </c>
      <c r="C99" s="13">
        <v>7</v>
      </c>
      <c r="M99" s="14">
        <v>329.05252012475</v>
      </c>
      <c r="N99" s="14">
        <v>347.06308480877999</v>
      </c>
      <c r="O99" s="14">
        <v>409.01885101411006</v>
      </c>
      <c r="P99" s="14">
        <v>427.02941569814004</v>
      </c>
      <c r="Q99" s="14">
        <v>193.99802494145001</v>
      </c>
      <c r="R99" s="14">
        <v>311.04195544072002</v>
      </c>
      <c r="S99" s="14">
        <v>329.05252012475</v>
      </c>
      <c r="T99" s="14">
        <v>391.00828633008007</v>
      </c>
      <c r="U99" s="14">
        <v>409.01885101411006</v>
      </c>
      <c r="V99" s="14">
        <v>175.98746025742003</v>
      </c>
      <c r="W99" s="14">
        <v>249.08618923538995</v>
      </c>
      <c r="X99" s="14">
        <v>267.09675391941994</v>
      </c>
      <c r="Y99" s="14">
        <v>329.05252012475</v>
      </c>
      <c r="Z99" s="14">
        <v>347.06308480877999</v>
      </c>
      <c r="AA99" s="14">
        <v>114.03169405208996</v>
      </c>
      <c r="AB99" s="14">
        <v>231.07562455135997</v>
      </c>
      <c r="AC99" s="14">
        <v>249.08618923538998</v>
      </c>
      <c r="AD99" s="14">
        <v>311.04195544072002</v>
      </c>
      <c r="AE99" s="14">
        <v>329.05252012475</v>
      </c>
      <c r="AF99" s="14">
        <v>96.021129368059974</v>
      </c>
    </row>
    <row r="100" spans="1:32" x14ac:dyDescent="0.25">
      <c r="A100" s="13" t="s">
        <v>246</v>
      </c>
      <c r="B100" s="13">
        <v>7</v>
      </c>
      <c r="C100" s="13">
        <v>8</v>
      </c>
      <c r="M100" s="14">
        <v>658.10504024950001</v>
      </c>
      <c r="N100" s="14">
        <v>676.11560493352999</v>
      </c>
      <c r="O100" s="14">
        <v>738.07137113886006</v>
      </c>
      <c r="P100" s="14">
        <v>756.08193582289005</v>
      </c>
      <c r="Q100" s="14">
        <v>523.05054506620002</v>
      </c>
      <c r="R100" s="14">
        <v>640.09447556547002</v>
      </c>
      <c r="S100" s="14">
        <v>658.10504024950001</v>
      </c>
      <c r="T100" s="14">
        <v>720.06080645483007</v>
      </c>
      <c r="U100" s="14">
        <v>738.07137113886006</v>
      </c>
      <c r="V100" s="14">
        <v>505.03998038217003</v>
      </c>
      <c r="W100" s="14">
        <v>578.13870936013996</v>
      </c>
      <c r="X100" s="14">
        <v>596.14927404416994</v>
      </c>
      <c r="Y100" s="14">
        <v>658.10504024950001</v>
      </c>
      <c r="Z100" s="14">
        <v>676.11560493352999</v>
      </c>
      <c r="AA100" s="14">
        <v>443.08421417683996</v>
      </c>
      <c r="AB100" s="14">
        <v>560.12814467610997</v>
      </c>
      <c r="AC100" s="14">
        <v>578.13870936013996</v>
      </c>
      <c r="AD100" s="14">
        <v>640.09447556547002</v>
      </c>
      <c r="AE100" s="14">
        <v>658.10504024950001</v>
      </c>
      <c r="AF100" s="14">
        <v>425.07364949280998</v>
      </c>
    </row>
    <row r="101" spans="1:32" x14ac:dyDescent="0.25">
      <c r="A101" s="13" t="s">
        <v>374</v>
      </c>
      <c r="B101" s="13">
        <v>7</v>
      </c>
      <c r="C101" s="13">
        <v>9</v>
      </c>
      <c r="M101" s="14">
        <v>963.14632698495996</v>
      </c>
      <c r="N101" s="14">
        <v>981.15689166898994</v>
      </c>
      <c r="O101" s="14">
        <v>1043.1126578743199</v>
      </c>
      <c r="P101" s="14">
        <v>1061.1232225583499</v>
      </c>
      <c r="Q101" s="14">
        <v>852.10306519095002</v>
      </c>
      <c r="R101" s="14">
        <v>945.13576230092997</v>
      </c>
      <c r="S101" s="14">
        <v>963.14632698495996</v>
      </c>
      <c r="T101" s="14">
        <v>1025.1020931902899</v>
      </c>
      <c r="U101" s="14">
        <v>1043.1126578743199</v>
      </c>
      <c r="V101" s="14">
        <v>834.09250050692003</v>
      </c>
      <c r="W101" s="14">
        <v>883.17999609560002</v>
      </c>
      <c r="X101" s="14">
        <v>901.19056077963</v>
      </c>
      <c r="Y101" s="14">
        <v>963.14632698496007</v>
      </c>
      <c r="Z101" s="14">
        <v>981.15689166899006</v>
      </c>
      <c r="AA101" s="14">
        <v>772.13673430158997</v>
      </c>
      <c r="AB101" s="14">
        <v>865.16943141157003</v>
      </c>
      <c r="AC101" s="14">
        <v>883.17999609560002</v>
      </c>
      <c r="AD101" s="14">
        <v>945.13576230093008</v>
      </c>
      <c r="AE101" s="14">
        <v>963.14632698496007</v>
      </c>
      <c r="AF101" s="14">
        <v>754.12616961755998</v>
      </c>
    </row>
    <row r="102" spans="1:32" x14ac:dyDescent="0.25">
      <c r="A102" s="13" t="s">
        <v>375</v>
      </c>
      <c r="B102" s="13">
        <v>7</v>
      </c>
      <c r="C102" s="13">
        <v>10</v>
      </c>
      <c r="M102" s="14">
        <v>1283.1872793677901</v>
      </c>
      <c r="N102" s="14">
        <v>1301.1978440518201</v>
      </c>
      <c r="O102" s="14">
        <v>1363.1536102571499</v>
      </c>
      <c r="P102" s="14">
        <v>1381.1641749411799</v>
      </c>
      <c r="Q102" s="14">
        <v>1157.1443519264101</v>
      </c>
      <c r="R102" s="14">
        <v>1265.1767146837601</v>
      </c>
      <c r="S102" s="14">
        <v>1283.1872793677901</v>
      </c>
      <c r="T102" s="14">
        <v>1345.1430455731199</v>
      </c>
      <c r="U102" s="14">
        <v>1363.1536102571499</v>
      </c>
      <c r="V102" s="14">
        <v>1139.1337872423801</v>
      </c>
      <c r="W102" s="14">
        <v>1203.2209484784303</v>
      </c>
      <c r="X102" s="14">
        <v>1221.2315131624603</v>
      </c>
      <c r="Y102" s="14">
        <v>1283.1872793677901</v>
      </c>
      <c r="Z102" s="14">
        <v>1301.1978440518201</v>
      </c>
      <c r="AA102" s="14">
        <v>1077.1780210370503</v>
      </c>
      <c r="AB102" s="14">
        <v>1185.2103837944003</v>
      </c>
      <c r="AC102" s="14">
        <v>1203.2209484784303</v>
      </c>
      <c r="AD102" s="14">
        <v>1265.1767146837601</v>
      </c>
      <c r="AE102" s="14">
        <v>1283.1872793677901</v>
      </c>
      <c r="AF102" s="14">
        <v>1059.1674563530203</v>
      </c>
    </row>
    <row r="103" spans="1:32" x14ac:dyDescent="0.25">
      <c r="A103" s="13" t="s">
        <v>376</v>
      </c>
      <c r="B103" s="13">
        <v>7</v>
      </c>
      <c r="C103" s="13">
        <v>11</v>
      </c>
      <c r="M103" s="14">
        <v>1603.2282317506201</v>
      </c>
      <c r="N103" s="14">
        <v>1621.2387964346501</v>
      </c>
      <c r="O103" s="14">
        <v>1683.1945626399799</v>
      </c>
      <c r="P103" s="14">
        <v>1701.2051273240099</v>
      </c>
      <c r="Q103" s="14">
        <v>1477.1853043092401</v>
      </c>
      <c r="R103" s="14">
        <v>1585.2176670665901</v>
      </c>
      <c r="S103" s="14">
        <v>1603.2282317506201</v>
      </c>
      <c r="T103" s="14">
        <v>1665.18399795595</v>
      </c>
      <c r="U103" s="14">
        <v>1683.1945626399799</v>
      </c>
      <c r="V103" s="14">
        <v>1459.1747396252101</v>
      </c>
      <c r="W103" s="14">
        <v>1523.2619008612603</v>
      </c>
      <c r="X103" s="14">
        <v>1541.2724655452903</v>
      </c>
      <c r="Y103" s="14">
        <v>1603.2282317506201</v>
      </c>
      <c r="Z103" s="14">
        <v>1621.2387964346501</v>
      </c>
      <c r="AA103" s="14">
        <v>1397.2189734198803</v>
      </c>
      <c r="AB103" s="14">
        <v>1505.2513361772303</v>
      </c>
      <c r="AC103" s="14">
        <v>1523.2619008612603</v>
      </c>
      <c r="AD103" s="14">
        <v>1585.2176670665901</v>
      </c>
      <c r="AE103" s="14">
        <v>1603.2282317506201</v>
      </c>
      <c r="AF103" s="14">
        <v>1379.2084087358503</v>
      </c>
    </row>
    <row r="104" spans="1:32" x14ac:dyDescent="0.25">
      <c r="A104" s="13" t="s">
        <v>377</v>
      </c>
      <c r="B104" s="13">
        <v>7</v>
      </c>
      <c r="C104" s="13">
        <v>12</v>
      </c>
      <c r="M104" s="14">
        <v>1908.2695184860802</v>
      </c>
      <c r="N104" s="14">
        <v>1926.2800831701102</v>
      </c>
      <c r="O104" s="14">
        <v>1988.23584937544</v>
      </c>
      <c r="P104" s="14">
        <v>2006.24641405947</v>
      </c>
      <c r="Q104" s="14">
        <v>1797.2262566920701</v>
      </c>
      <c r="R104" s="14">
        <v>1890.2589538020502</v>
      </c>
      <c r="S104" s="14">
        <v>1908.2695184860802</v>
      </c>
      <c r="T104" s="14">
        <v>1970.22528469141</v>
      </c>
      <c r="U104" s="14">
        <v>1988.23584937544</v>
      </c>
      <c r="V104" s="14">
        <v>1779.2156920080402</v>
      </c>
      <c r="W104" s="14">
        <v>1828.3031875967204</v>
      </c>
      <c r="X104" s="14">
        <v>1846.3137522807504</v>
      </c>
      <c r="Y104" s="14">
        <v>1908.2695184860802</v>
      </c>
      <c r="Z104" s="14">
        <v>1926.2800831701102</v>
      </c>
      <c r="AA104" s="14">
        <v>1717.2599258027103</v>
      </c>
      <c r="AB104" s="14">
        <v>1810.2926229126904</v>
      </c>
      <c r="AC104" s="14">
        <v>1828.3031875967204</v>
      </c>
      <c r="AD104" s="14">
        <v>1890.2589538020502</v>
      </c>
      <c r="AE104" s="14">
        <v>1908.2695184860802</v>
      </c>
      <c r="AF104" s="14">
        <v>1699.2493611186803</v>
      </c>
    </row>
    <row r="105" spans="1:32" x14ac:dyDescent="0.25">
      <c r="A105" s="13" t="s">
        <v>378</v>
      </c>
      <c r="B105" s="13">
        <v>7</v>
      </c>
      <c r="C105" s="13">
        <v>13</v>
      </c>
      <c r="M105" s="14">
        <v>2237.3220386108301</v>
      </c>
      <c r="N105" s="14">
        <v>2255.3326032948598</v>
      </c>
      <c r="O105" s="14">
        <v>2317.2883695001901</v>
      </c>
      <c r="P105" s="14">
        <v>2335.2989341842199</v>
      </c>
      <c r="Q105" s="14">
        <v>2102.2675434275302</v>
      </c>
      <c r="R105" s="14">
        <v>2219.3114739268003</v>
      </c>
      <c r="S105" s="14">
        <v>2237.3220386108301</v>
      </c>
      <c r="T105" s="14">
        <v>2299.2778048161604</v>
      </c>
      <c r="U105" s="14">
        <v>2317.2883695001901</v>
      </c>
      <c r="V105" s="14">
        <v>2084.2569787435004</v>
      </c>
      <c r="W105" s="14">
        <v>2157.35570772147</v>
      </c>
      <c r="X105" s="14">
        <v>2175.3662724054998</v>
      </c>
      <c r="Y105" s="14">
        <v>2237.3220386108301</v>
      </c>
      <c r="Z105" s="14">
        <v>2255.3326032948598</v>
      </c>
      <c r="AA105" s="14">
        <v>2022.3012125381701</v>
      </c>
      <c r="AB105" s="14">
        <v>2139.3451430374403</v>
      </c>
      <c r="AC105" s="14">
        <v>2157.35570772147</v>
      </c>
      <c r="AD105" s="14">
        <v>2219.3114739268003</v>
      </c>
      <c r="AE105" s="14">
        <v>2237.3220386108301</v>
      </c>
      <c r="AF105" s="14">
        <v>2004.2906478541404</v>
      </c>
    </row>
    <row r="106" spans="1:32" x14ac:dyDescent="0.25">
      <c r="A106" s="13" t="s">
        <v>379</v>
      </c>
      <c r="B106" s="13">
        <v>7</v>
      </c>
      <c r="C106" s="13">
        <v>14</v>
      </c>
      <c r="M106" s="14">
        <v>2548.36399405155</v>
      </c>
      <c r="N106" s="14">
        <v>2566.3745587355797</v>
      </c>
      <c r="O106" s="14">
        <v>2628.33032494091</v>
      </c>
      <c r="P106" s="14">
        <v>2646.3408896249398</v>
      </c>
      <c r="Q106" s="14">
        <v>2413.3094988682501</v>
      </c>
      <c r="R106" s="14">
        <v>2530.3534293675202</v>
      </c>
      <c r="S106" s="14">
        <v>2548.36399405155</v>
      </c>
      <c r="T106" s="14">
        <v>2610.3197602568803</v>
      </c>
      <c r="U106" s="14">
        <v>2628.33032494091</v>
      </c>
      <c r="V106" s="14">
        <v>2395.2989341842203</v>
      </c>
      <c r="W106" s="14">
        <v>2468.3976631621899</v>
      </c>
      <c r="X106" s="14">
        <v>2486.4082278462197</v>
      </c>
      <c r="Y106" s="14">
        <v>2548.36399405155</v>
      </c>
      <c r="Z106" s="14">
        <v>2566.3745587355797</v>
      </c>
      <c r="AA106" s="14">
        <v>2333.3431679788901</v>
      </c>
      <c r="AB106" s="14">
        <v>2450.3870984781602</v>
      </c>
      <c r="AC106" s="14">
        <v>2468.3976631621899</v>
      </c>
      <c r="AD106" s="14">
        <v>2530.3534293675202</v>
      </c>
      <c r="AE106" s="14">
        <v>2548.36399405155</v>
      </c>
      <c r="AF106" s="14">
        <v>2315.3326032948603</v>
      </c>
    </row>
    <row r="107" spans="1:32" x14ac:dyDescent="0.25">
      <c r="A107" s="13" t="s">
        <v>166</v>
      </c>
      <c r="B107" s="13">
        <v>8</v>
      </c>
      <c r="C107" s="13">
        <v>8</v>
      </c>
      <c r="M107" s="14">
        <v>329.05252012475</v>
      </c>
      <c r="N107" s="14">
        <v>347.06308480877999</v>
      </c>
      <c r="O107" s="14">
        <v>409.01885101411006</v>
      </c>
      <c r="P107" s="14">
        <v>427.02941569814004</v>
      </c>
      <c r="Q107" s="14">
        <v>193.99802494145001</v>
      </c>
      <c r="R107" s="14">
        <v>311.04195544072002</v>
      </c>
      <c r="S107" s="14">
        <v>329.05252012475</v>
      </c>
      <c r="T107" s="14">
        <v>391.00828633008007</v>
      </c>
      <c r="U107" s="14">
        <v>409.01885101411006</v>
      </c>
      <c r="V107" s="14">
        <v>175.98746025742003</v>
      </c>
      <c r="W107" s="14">
        <v>249.08618923538995</v>
      </c>
      <c r="X107" s="14">
        <v>267.09675391941994</v>
      </c>
      <c r="Y107" s="14">
        <v>329.05252012475</v>
      </c>
      <c r="Z107" s="14">
        <v>347.06308480877999</v>
      </c>
      <c r="AA107" s="14">
        <v>114.03169405208996</v>
      </c>
      <c r="AB107" s="14">
        <v>231.07562455135997</v>
      </c>
      <c r="AC107" s="14">
        <v>249.08618923538998</v>
      </c>
      <c r="AD107" s="14">
        <v>311.04195544072002</v>
      </c>
      <c r="AE107" s="14">
        <v>329.05252012475</v>
      </c>
      <c r="AF107" s="14">
        <v>96.021129368059974</v>
      </c>
    </row>
    <row r="108" spans="1:32" x14ac:dyDescent="0.25">
      <c r="A108" s="13" t="s">
        <v>207</v>
      </c>
      <c r="B108" s="13">
        <v>8</v>
      </c>
      <c r="C108" s="13">
        <v>9</v>
      </c>
      <c r="M108" s="14">
        <v>634.09380686020995</v>
      </c>
      <c r="N108" s="14">
        <v>652.10437154423994</v>
      </c>
      <c r="O108" s="14">
        <v>714.06013774957</v>
      </c>
      <c r="P108" s="14">
        <v>732.07070243359999</v>
      </c>
      <c r="Q108" s="14">
        <v>523.0505450661999</v>
      </c>
      <c r="R108" s="14">
        <v>616.08324217617997</v>
      </c>
      <c r="S108" s="14">
        <v>634.09380686020995</v>
      </c>
      <c r="T108" s="14">
        <v>696.04957306554002</v>
      </c>
      <c r="U108" s="14">
        <v>714.06013774957</v>
      </c>
      <c r="V108" s="14">
        <v>505.03998038216997</v>
      </c>
      <c r="W108" s="14">
        <v>554.1274759708499</v>
      </c>
      <c r="X108" s="14">
        <v>572.13804065487989</v>
      </c>
      <c r="Y108" s="14">
        <v>634.09380686020995</v>
      </c>
      <c r="Z108" s="14">
        <v>652.10437154423994</v>
      </c>
      <c r="AA108" s="14">
        <v>443.08421417683991</v>
      </c>
      <c r="AB108" s="14">
        <v>536.11691128681991</v>
      </c>
      <c r="AC108" s="14">
        <v>554.1274759708499</v>
      </c>
      <c r="AD108" s="14">
        <v>616.08324217617997</v>
      </c>
      <c r="AE108" s="14">
        <v>634.09380686020995</v>
      </c>
      <c r="AF108" s="14">
        <v>425.07364949280992</v>
      </c>
    </row>
    <row r="109" spans="1:32" x14ac:dyDescent="0.25">
      <c r="A109" s="13" t="s">
        <v>243</v>
      </c>
      <c r="B109" s="13">
        <v>8</v>
      </c>
      <c r="C109" s="13">
        <v>10</v>
      </c>
      <c r="M109" s="14">
        <v>954.13475924303987</v>
      </c>
      <c r="N109" s="14">
        <v>972.14532392706985</v>
      </c>
      <c r="O109" s="14">
        <v>1034.1010901323998</v>
      </c>
      <c r="P109" s="14">
        <v>1052.1116548164298</v>
      </c>
      <c r="Q109" s="14">
        <v>828.09183180165985</v>
      </c>
      <c r="R109" s="14">
        <v>936.12419455900988</v>
      </c>
      <c r="S109" s="14">
        <v>954.13475924303987</v>
      </c>
      <c r="T109" s="14">
        <v>1016.0905254483699</v>
      </c>
      <c r="U109" s="14">
        <v>1034.1010901323998</v>
      </c>
      <c r="V109" s="14">
        <v>810.08126711762986</v>
      </c>
      <c r="W109" s="14">
        <v>874.16842835367993</v>
      </c>
      <c r="X109" s="14">
        <v>892.17899303770992</v>
      </c>
      <c r="Y109" s="14">
        <v>954.13475924303998</v>
      </c>
      <c r="Z109" s="14">
        <v>972.14532392706997</v>
      </c>
      <c r="AA109" s="14">
        <v>748.12550091229991</v>
      </c>
      <c r="AB109" s="14">
        <v>856.15786366964994</v>
      </c>
      <c r="AC109" s="14">
        <v>874.16842835367993</v>
      </c>
      <c r="AD109" s="14">
        <v>936.12419455900999</v>
      </c>
      <c r="AE109" s="14">
        <v>954.13475924303998</v>
      </c>
      <c r="AF109" s="14">
        <v>730.11493622826993</v>
      </c>
    </row>
    <row r="110" spans="1:32" x14ac:dyDescent="0.25">
      <c r="A110" s="13" t="s">
        <v>386</v>
      </c>
      <c r="B110" s="13">
        <v>8</v>
      </c>
      <c r="C110" s="13">
        <v>11</v>
      </c>
      <c r="M110" s="14">
        <v>1274.17571162587</v>
      </c>
      <c r="N110" s="14">
        <v>1292.1862763099</v>
      </c>
      <c r="O110" s="14">
        <v>1354.1420425152298</v>
      </c>
      <c r="P110" s="14">
        <v>1372.1526071992598</v>
      </c>
      <c r="Q110" s="14">
        <v>1148.13278418449</v>
      </c>
      <c r="R110" s="14">
        <v>1256.16514694184</v>
      </c>
      <c r="S110" s="14">
        <v>1274.17571162587</v>
      </c>
      <c r="T110" s="14">
        <v>1336.1314778311998</v>
      </c>
      <c r="U110" s="14">
        <v>1354.1420425152298</v>
      </c>
      <c r="V110" s="14">
        <v>1130.12221950046</v>
      </c>
      <c r="W110" s="14">
        <v>1194.2093807365102</v>
      </c>
      <c r="X110" s="14">
        <v>1212.2199454205402</v>
      </c>
      <c r="Y110" s="14">
        <v>1274.17571162587</v>
      </c>
      <c r="Z110" s="14">
        <v>1292.1862763099</v>
      </c>
      <c r="AA110" s="14">
        <v>1068.1664532951302</v>
      </c>
      <c r="AB110" s="14">
        <v>1176.1988160524802</v>
      </c>
      <c r="AC110" s="14">
        <v>1194.2093807365102</v>
      </c>
      <c r="AD110" s="14">
        <v>1256.16514694184</v>
      </c>
      <c r="AE110" s="14">
        <v>1274.17571162587</v>
      </c>
      <c r="AF110" s="14">
        <v>1050.1558886111002</v>
      </c>
    </row>
    <row r="111" spans="1:32" x14ac:dyDescent="0.25">
      <c r="A111" s="13" t="s">
        <v>387</v>
      </c>
      <c r="B111" s="13">
        <v>8</v>
      </c>
      <c r="C111" s="13">
        <v>12</v>
      </c>
      <c r="M111" s="14">
        <v>1579.2169983613301</v>
      </c>
      <c r="N111" s="14">
        <v>1597.2275630453601</v>
      </c>
      <c r="O111" s="14">
        <v>1659.1833292506899</v>
      </c>
      <c r="P111" s="14">
        <v>1677.1938939347199</v>
      </c>
      <c r="Q111" s="14">
        <v>1468.17373656732</v>
      </c>
      <c r="R111" s="14">
        <v>1561.2064336773001</v>
      </c>
      <c r="S111" s="14">
        <v>1579.2169983613301</v>
      </c>
      <c r="T111" s="14">
        <v>1641.1727645666599</v>
      </c>
      <c r="U111" s="14">
        <v>1659.1833292506899</v>
      </c>
      <c r="V111" s="14">
        <v>1450.16317188329</v>
      </c>
      <c r="W111" s="14">
        <v>1499.2506674719702</v>
      </c>
      <c r="X111" s="14">
        <v>1517.2612321560002</v>
      </c>
      <c r="Y111" s="14">
        <v>1579.2169983613301</v>
      </c>
      <c r="Z111" s="14">
        <v>1597.2275630453601</v>
      </c>
      <c r="AA111" s="14">
        <v>1388.2074056779602</v>
      </c>
      <c r="AB111" s="14">
        <v>1481.2401027879403</v>
      </c>
      <c r="AC111" s="14">
        <v>1499.2506674719702</v>
      </c>
      <c r="AD111" s="14">
        <v>1561.2064336773001</v>
      </c>
      <c r="AE111" s="14">
        <v>1579.2169983613301</v>
      </c>
      <c r="AF111" s="14">
        <v>1370.1968409939302</v>
      </c>
    </row>
    <row r="112" spans="1:32" x14ac:dyDescent="0.25">
      <c r="A112" s="13" t="s">
        <v>388</v>
      </c>
      <c r="B112" s="13">
        <v>8</v>
      </c>
      <c r="C112" s="13">
        <v>13</v>
      </c>
      <c r="M112" s="14">
        <v>1908.26951848608</v>
      </c>
      <c r="N112" s="14">
        <v>1926.2800831701099</v>
      </c>
      <c r="O112" s="14">
        <v>1988.2358493754398</v>
      </c>
      <c r="P112" s="14">
        <v>2006.2464140594698</v>
      </c>
      <c r="Q112" s="14">
        <v>1773.2150233027801</v>
      </c>
      <c r="R112" s="14">
        <v>1890.25895380205</v>
      </c>
      <c r="S112" s="14">
        <v>1908.26951848608</v>
      </c>
      <c r="T112" s="14">
        <v>1970.2252846914098</v>
      </c>
      <c r="U112" s="14">
        <v>1988.2358493754398</v>
      </c>
      <c r="V112" s="14">
        <v>1755.2044586187499</v>
      </c>
      <c r="W112" s="14">
        <v>1828.3031875967201</v>
      </c>
      <c r="X112" s="14">
        <v>1846.3137522807501</v>
      </c>
      <c r="Y112" s="14">
        <v>1908.26951848608</v>
      </c>
      <c r="Z112" s="14">
        <v>1926.2800831701099</v>
      </c>
      <c r="AA112" s="14">
        <v>1693.24869241342</v>
      </c>
      <c r="AB112" s="14">
        <v>1810.2926229126901</v>
      </c>
      <c r="AC112" s="14">
        <v>1828.3031875967201</v>
      </c>
      <c r="AD112" s="14">
        <v>1890.25895380205</v>
      </c>
      <c r="AE112" s="14">
        <v>1908.26951848608</v>
      </c>
      <c r="AF112" s="14">
        <v>1675.2381277293903</v>
      </c>
    </row>
    <row r="113" spans="1:32" x14ac:dyDescent="0.25">
      <c r="A113" s="13" t="s">
        <v>389</v>
      </c>
      <c r="B113" s="13">
        <v>8</v>
      </c>
      <c r="C113" s="13">
        <v>14</v>
      </c>
      <c r="M113" s="14">
        <v>2219.3114739267999</v>
      </c>
      <c r="N113" s="14">
        <v>2237.3220386108296</v>
      </c>
      <c r="O113" s="14">
        <v>2299.2778048161599</v>
      </c>
      <c r="P113" s="14">
        <v>2317.2883695001897</v>
      </c>
      <c r="Q113" s="14">
        <v>2084.2569787435</v>
      </c>
      <c r="R113" s="14">
        <v>2201.3009092427701</v>
      </c>
      <c r="S113" s="14">
        <v>2219.3114739267999</v>
      </c>
      <c r="T113" s="14">
        <v>2281.2672401321302</v>
      </c>
      <c r="U113" s="14">
        <v>2299.2778048161599</v>
      </c>
      <c r="V113" s="14">
        <v>2066.2464140594702</v>
      </c>
      <c r="W113" s="14">
        <v>2139.3451430374398</v>
      </c>
      <c r="X113" s="14">
        <v>2157.3557077214696</v>
      </c>
      <c r="Y113" s="14">
        <v>2219.3114739267999</v>
      </c>
      <c r="Z113" s="14">
        <v>2237.3220386108296</v>
      </c>
      <c r="AA113" s="14">
        <v>2004.2906478541399</v>
      </c>
      <c r="AB113" s="14">
        <v>2121.3345783534101</v>
      </c>
      <c r="AC113" s="14">
        <v>2139.3451430374398</v>
      </c>
      <c r="AD113" s="14">
        <v>2201.3009092427701</v>
      </c>
      <c r="AE113" s="14">
        <v>2219.3114739267999</v>
      </c>
      <c r="AF113" s="14">
        <v>1986.2800831701102</v>
      </c>
    </row>
    <row r="114" spans="1:32" x14ac:dyDescent="0.25">
      <c r="A114" s="13" t="s">
        <v>182</v>
      </c>
      <c r="B114" s="13">
        <v>9</v>
      </c>
      <c r="C114" s="13">
        <v>9</v>
      </c>
      <c r="M114" s="14">
        <v>305.04128673546001</v>
      </c>
      <c r="N114" s="14">
        <v>323.05185141949005</v>
      </c>
      <c r="O114" s="14">
        <v>385.00761762482</v>
      </c>
      <c r="P114" s="14">
        <v>403.01818230885004</v>
      </c>
      <c r="Q114" s="14">
        <v>193.99802494145001</v>
      </c>
      <c r="R114" s="14">
        <v>287.03072205142996</v>
      </c>
      <c r="S114" s="14">
        <v>305.04128673545995</v>
      </c>
      <c r="T114" s="14">
        <v>366.99705294079001</v>
      </c>
      <c r="U114" s="14">
        <v>385.00761762482</v>
      </c>
      <c r="V114" s="14">
        <v>175.98746025741997</v>
      </c>
      <c r="W114" s="14">
        <v>225.07495584610001</v>
      </c>
      <c r="X114" s="14">
        <v>243.08552053013003</v>
      </c>
      <c r="Y114" s="14">
        <v>305.04128673546006</v>
      </c>
      <c r="Z114" s="14">
        <v>323.05185141949005</v>
      </c>
      <c r="AA114" s="14">
        <v>114.03169405209002</v>
      </c>
      <c r="AB114" s="14">
        <v>207.06439116206997</v>
      </c>
      <c r="AC114" s="14">
        <v>225.07495584609998</v>
      </c>
      <c r="AD114" s="14">
        <v>287.03072205142996</v>
      </c>
      <c r="AE114" s="14">
        <v>305.04128673546001</v>
      </c>
      <c r="AF114" s="14">
        <v>96.021129368059974</v>
      </c>
    </row>
    <row r="115" spans="1:32" x14ac:dyDescent="0.25">
      <c r="A115" s="13" t="s">
        <v>234</v>
      </c>
      <c r="B115" s="13">
        <v>9</v>
      </c>
      <c r="C115" s="13">
        <v>10</v>
      </c>
      <c r="M115" s="14">
        <v>625.08223911828998</v>
      </c>
      <c r="N115" s="14">
        <v>643.09280380231996</v>
      </c>
      <c r="O115" s="14">
        <v>705.04857000765003</v>
      </c>
      <c r="P115" s="14">
        <v>723.05913469168001</v>
      </c>
      <c r="Q115" s="14">
        <v>499.03931167690996</v>
      </c>
      <c r="R115" s="14">
        <v>607.07167443425999</v>
      </c>
      <c r="S115" s="14">
        <v>625.08223911828998</v>
      </c>
      <c r="T115" s="14">
        <v>687.03800532362004</v>
      </c>
      <c r="U115" s="14">
        <v>705.04857000765003</v>
      </c>
      <c r="V115" s="14">
        <v>481.02874699287997</v>
      </c>
      <c r="W115" s="14">
        <v>545.11590822892992</v>
      </c>
      <c r="X115" s="14">
        <v>563.12647291295991</v>
      </c>
      <c r="Y115" s="14">
        <v>625.08223911828998</v>
      </c>
      <c r="Z115" s="14">
        <v>643.09280380231996</v>
      </c>
      <c r="AA115" s="14">
        <v>419.07298078754991</v>
      </c>
      <c r="AB115" s="14">
        <v>527.10534354489994</v>
      </c>
      <c r="AC115" s="14">
        <v>545.11590822892992</v>
      </c>
      <c r="AD115" s="14">
        <v>607.07167443425999</v>
      </c>
      <c r="AE115" s="14">
        <v>625.08223911828998</v>
      </c>
      <c r="AF115" s="14">
        <v>401.06241610351992</v>
      </c>
    </row>
    <row r="116" spans="1:32" x14ac:dyDescent="0.25">
      <c r="A116" s="13" t="s">
        <v>396</v>
      </c>
      <c r="B116" s="13">
        <v>9</v>
      </c>
      <c r="C116" s="13">
        <v>11</v>
      </c>
      <c r="M116" s="14">
        <v>945.12319150111978</v>
      </c>
      <c r="N116" s="14">
        <v>963.13375618514976</v>
      </c>
      <c r="O116" s="14">
        <v>1025.0895223904797</v>
      </c>
      <c r="P116" s="14">
        <v>1043.1000870745097</v>
      </c>
      <c r="Q116" s="14">
        <v>819.08026405973976</v>
      </c>
      <c r="R116" s="14">
        <v>927.11262681708979</v>
      </c>
      <c r="S116" s="14">
        <v>945.12319150111978</v>
      </c>
      <c r="T116" s="14">
        <v>1007.0789577064498</v>
      </c>
      <c r="U116" s="14">
        <v>1025.0895223904797</v>
      </c>
      <c r="V116" s="14">
        <v>801.06969937570977</v>
      </c>
      <c r="W116" s="14">
        <v>865.15686061175984</v>
      </c>
      <c r="X116" s="14">
        <v>883.16742529578983</v>
      </c>
      <c r="Y116" s="14">
        <v>945.12319150111989</v>
      </c>
      <c r="Z116" s="14">
        <v>963.13375618514988</v>
      </c>
      <c r="AA116" s="14">
        <v>739.11393317037982</v>
      </c>
      <c r="AB116" s="14">
        <v>847.14629592772985</v>
      </c>
      <c r="AC116" s="14">
        <v>865.15686061175984</v>
      </c>
      <c r="AD116" s="14">
        <v>927.1126268170899</v>
      </c>
      <c r="AE116" s="14">
        <v>945.12319150111989</v>
      </c>
      <c r="AF116" s="14">
        <v>721.10336848634984</v>
      </c>
    </row>
    <row r="117" spans="1:32" x14ac:dyDescent="0.25">
      <c r="A117" s="13" t="s">
        <v>397</v>
      </c>
      <c r="B117" s="13">
        <v>9</v>
      </c>
      <c r="C117" s="13">
        <v>12</v>
      </c>
      <c r="M117" s="14">
        <v>1250.16447823658</v>
      </c>
      <c r="N117" s="14">
        <v>1268.1750429206099</v>
      </c>
      <c r="O117" s="14">
        <v>1330.1308091259398</v>
      </c>
      <c r="P117" s="14">
        <v>1348.1413738099698</v>
      </c>
      <c r="Q117" s="14">
        <v>1139.1212164425699</v>
      </c>
      <c r="R117" s="14">
        <v>1232.15391355255</v>
      </c>
      <c r="S117" s="14">
        <v>1250.16447823658</v>
      </c>
      <c r="T117" s="14">
        <v>1312.1202444419098</v>
      </c>
      <c r="U117" s="14">
        <v>1330.1308091259398</v>
      </c>
      <c r="V117" s="14">
        <v>1121.1106517585399</v>
      </c>
      <c r="W117" s="14">
        <v>1170.1981473472201</v>
      </c>
      <c r="X117" s="14">
        <v>1188.2087120312501</v>
      </c>
      <c r="Y117" s="14">
        <v>1250.16447823658</v>
      </c>
      <c r="Z117" s="14">
        <v>1268.1750429206099</v>
      </c>
      <c r="AA117" s="14">
        <v>1059.1548855532101</v>
      </c>
      <c r="AB117" s="14">
        <v>1152.1875826631901</v>
      </c>
      <c r="AC117" s="14">
        <v>1170.1981473472201</v>
      </c>
      <c r="AD117" s="14">
        <v>1232.15391355255</v>
      </c>
      <c r="AE117" s="14">
        <v>1250.16447823658</v>
      </c>
      <c r="AF117" s="14">
        <v>1041.1443208691801</v>
      </c>
    </row>
    <row r="118" spans="1:32" x14ac:dyDescent="0.25">
      <c r="A118" s="13" t="s">
        <v>398</v>
      </c>
      <c r="B118" s="13">
        <v>9</v>
      </c>
      <c r="C118" s="13">
        <v>13</v>
      </c>
      <c r="M118" s="14">
        <v>1579.2169983613298</v>
      </c>
      <c r="N118" s="14">
        <v>1597.2275630453598</v>
      </c>
      <c r="O118" s="14">
        <v>1659.1833292506897</v>
      </c>
      <c r="P118" s="14">
        <v>1677.1938939347197</v>
      </c>
      <c r="Q118" s="14">
        <v>1444.16250317803</v>
      </c>
      <c r="R118" s="14">
        <v>1561.2064336772999</v>
      </c>
      <c r="S118" s="14">
        <v>1579.2169983613298</v>
      </c>
      <c r="T118" s="14">
        <v>1641.1727645666597</v>
      </c>
      <c r="U118" s="14">
        <v>1659.1833292506897</v>
      </c>
      <c r="V118" s="14">
        <v>1426.1519384939998</v>
      </c>
      <c r="W118" s="14">
        <v>1499.25066747197</v>
      </c>
      <c r="X118" s="14">
        <v>1517.261232156</v>
      </c>
      <c r="Y118" s="14">
        <v>1579.2169983613298</v>
      </c>
      <c r="Z118" s="14">
        <v>1597.2275630453598</v>
      </c>
      <c r="AA118" s="14">
        <v>1364.1961722886699</v>
      </c>
      <c r="AB118" s="14">
        <v>1481.24010278794</v>
      </c>
      <c r="AC118" s="14">
        <v>1499.25066747197</v>
      </c>
      <c r="AD118" s="14">
        <v>1561.2064336772999</v>
      </c>
      <c r="AE118" s="14">
        <v>1579.2169983613298</v>
      </c>
      <c r="AF118" s="14">
        <v>1346.1856076046402</v>
      </c>
    </row>
    <row r="119" spans="1:32" x14ac:dyDescent="0.25">
      <c r="A119" s="13" t="s">
        <v>399</v>
      </c>
      <c r="B119" s="13">
        <v>9</v>
      </c>
      <c r="C119" s="13">
        <v>14</v>
      </c>
      <c r="M119" s="14">
        <v>1890.2589538020497</v>
      </c>
      <c r="N119" s="14">
        <v>1908.2695184860797</v>
      </c>
      <c r="O119" s="14">
        <v>1970.2252846914096</v>
      </c>
      <c r="P119" s="14">
        <v>1988.2358493754396</v>
      </c>
      <c r="Q119" s="14">
        <v>1755.2044586187499</v>
      </c>
      <c r="R119" s="14">
        <v>1872.2483891180198</v>
      </c>
      <c r="S119" s="14">
        <v>1890.2589538020497</v>
      </c>
      <c r="T119" s="14">
        <v>1952.2147200073796</v>
      </c>
      <c r="U119" s="14">
        <v>1970.2252846914096</v>
      </c>
      <c r="V119" s="14">
        <v>1737.1938939347197</v>
      </c>
      <c r="W119" s="14">
        <v>1810.2926229126899</v>
      </c>
      <c r="X119" s="14">
        <v>1828.3031875967199</v>
      </c>
      <c r="Y119" s="14">
        <v>1890.2589538020497</v>
      </c>
      <c r="Z119" s="14">
        <v>1908.2695184860797</v>
      </c>
      <c r="AA119" s="14">
        <v>1675.2381277293898</v>
      </c>
      <c r="AB119" s="14">
        <v>1792.2820582286599</v>
      </c>
      <c r="AC119" s="14">
        <v>1810.2926229126899</v>
      </c>
      <c r="AD119" s="14">
        <v>1872.2483891180198</v>
      </c>
      <c r="AE119" s="14">
        <v>1890.2589538020497</v>
      </c>
      <c r="AF119" s="14">
        <v>1657.2275630453601</v>
      </c>
    </row>
    <row r="120" spans="1:32" x14ac:dyDescent="0.25">
      <c r="A120" s="13" t="s">
        <v>235</v>
      </c>
      <c r="B120" s="13">
        <v>10</v>
      </c>
      <c r="C120" s="13">
        <v>10</v>
      </c>
      <c r="M120" s="14">
        <v>320.04095238282997</v>
      </c>
      <c r="N120" s="14">
        <v>338.05151706686001</v>
      </c>
      <c r="O120" s="14">
        <v>400.00728327218997</v>
      </c>
      <c r="P120" s="14">
        <v>418.01784795622001</v>
      </c>
      <c r="Q120" s="14">
        <v>193.99802494144998</v>
      </c>
      <c r="R120" s="14">
        <v>302.03038769879993</v>
      </c>
      <c r="S120" s="14">
        <v>320.04095238282991</v>
      </c>
      <c r="T120" s="14">
        <v>381.99671858815998</v>
      </c>
      <c r="U120" s="14">
        <v>400.00728327218997</v>
      </c>
      <c r="V120" s="14">
        <v>175.98746025741994</v>
      </c>
      <c r="W120" s="14">
        <v>240.07462149346998</v>
      </c>
      <c r="X120" s="14">
        <v>258.08518617749996</v>
      </c>
      <c r="Y120" s="14">
        <v>320.04095238283003</v>
      </c>
      <c r="Z120" s="14">
        <v>338.05151706686001</v>
      </c>
      <c r="AA120" s="14">
        <v>114.03169405208999</v>
      </c>
      <c r="AB120" s="14">
        <v>222.06405680943993</v>
      </c>
      <c r="AC120" s="14">
        <v>240.07462149346995</v>
      </c>
      <c r="AD120" s="14">
        <v>302.03038769879993</v>
      </c>
      <c r="AE120" s="14">
        <v>320.04095238282997</v>
      </c>
      <c r="AF120" s="14">
        <v>96.021129368059945</v>
      </c>
    </row>
    <row r="121" spans="1:32" x14ac:dyDescent="0.25">
      <c r="A121" s="13" t="s">
        <v>406</v>
      </c>
      <c r="B121" s="13">
        <v>10</v>
      </c>
      <c r="C121" s="13">
        <v>11</v>
      </c>
      <c r="M121" s="14">
        <v>640.08190476565994</v>
      </c>
      <c r="N121" s="14">
        <v>658.09246944968993</v>
      </c>
      <c r="O121" s="14">
        <v>720.04823565501999</v>
      </c>
      <c r="P121" s="14">
        <v>738.05880033904998</v>
      </c>
      <c r="Q121" s="14">
        <v>514.03897732427993</v>
      </c>
      <c r="R121" s="14">
        <v>622.07134008162996</v>
      </c>
      <c r="S121" s="14">
        <v>640.08190476565994</v>
      </c>
      <c r="T121" s="14">
        <v>702.03767097099001</v>
      </c>
      <c r="U121" s="14">
        <v>720.04823565501999</v>
      </c>
      <c r="V121" s="14">
        <v>496.02841264024994</v>
      </c>
      <c r="W121" s="14">
        <v>560.11557387629989</v>
      </c>
      <c r="X121" s="14">
        <v>578.12613856032988</v>
      </c>
      <c r="Y121" s="14">
        <v>640.08190476565994</v>
      </c>
      <c r="Z121" s="14">
        <v>658.09246944968993</v>
      </c>
      <c r="AA121" s="14">
        <v>434.07264643491987</v>
      </c>
      <c r="AB121" s="14">
        <v>542.1050091922699</v>
      </c>
      <c r="AC121" s="14">
        <v>560.11557387629989</v>
      </c>
      <c r="AD121" s="14">
        <v>622.07134008162996</v>
      </c>
      <c r="AE121" s="14">
        <v>640.08190476565994</v>
      </c>
      <c r="AF121" s="14">
        <v>416.06208175088989</v>
      </c>
    </row>
    <row r="122" spans="1:32" x14ac:dyDescent="0.25">
      <c r="A122" s="13" t="s">
        <v>407</v>
      </c>
      <c r="B122" s="13">
        <v>10</v>
      </c>
      <c r="C122" s="13">
        <v>12</v>
      </c>
      <c r="M122" s="14">
        <v>945.12319150111978</v>
      </c>
      <c r="N122" s="14">
        <v>963.13375618514976</v>
      </c>
      <c r="O122" s="14">
        <v>1025.0895223904797</v>
      </c>
      <c r="P122" s="14">
        <v>1043.1000870745097</v>
      </c>
      <c r="Q122" s="14">
        <v>834.07992970710984</v>
      </c>
      <c r="R122" s="14">
        <v>927.11262681708979</v>
      </c>
      <c r="S122" s="14">
        <v>945.12319150111978</v>
      </c>
      <c r="T122" s="14">
        <v>1007.0789577064498</v>
      </c>
      <c r="U122" s="14">
        <v>1025.0895223904797</v>
      </c>
      <c r="V122" s="14">
        <v>816.06936502307985</v>
      </c>
      <c r="W122" s="14">
        <v>865.15686061175984</v>
      </c>
      <c r="X122" s="14">
        <v>883.16742529578983</v>
      </c>
      <c r="Y122" s="14">
        <v>945.12319150111989</v>
      </c>
      <c r="Z122" s="14">
        <v>963.13375618514988</v>
      </c>
      <c r="AA122" s="14">
        <v>754.11359881774979</v>
      </c>
      <c r="AB122" s="14">
        <v>847.14629592772985</v>
      </c>
      <c r="AC122" s="14">
        <v>865.15686061175984</v>
      </c>
      <c r="AD122" s="14">
        <v>927.1126268170899</v>
      </c>
      <c r="AE122" s="14">
        <v>945.12319150111989</v>
      </c>
      <c r="AF122" s="14">
        <v>736.1030341337198</v>
      </c>
    </row>
    <row r="123" spans="1:32" x14ac:dyDescent="0.25">
      <c r="A123" s="13" t="s">
        <v>408</v>
      </c>
      <c r="B123" s="13">
        <v>10</v>
      </c>
      <c r="C123" s="13">
        <v>13</v>
      </c>
      <c r="M123" s="14">
        <v>1274.17571162587</v>
      </c>
      <c r="N123" s="14">
        <v>1292.1862763099</v>
      </c>
      <c r="O123" s="14">
        <v>1354.1420425152298</v>
      </c>
      <c r="P123" s="14">
        <v>1372.1526071992598</v>
      </c>
      <c r="Q123" s="14">
        <v>1139.1212164425701</v>
      </c>
      <c r="R123" s="14">
        <v>1256.16514694184</v>
      </c>
      <c r="S123" s="14">
        <v>1274.17571162587</v>
      </c>
      <c r="T123" s="14">
        <v>1336.1314778311998</v>
      </c>
      <c r="U123" s="14">
        <v>1354.1420425152298</v>
      </c>
      <c r="V123" s="14">
        <v>1121.1106517585399</v>
      </c>
      <c r="W123" s="14">
        <v>1194.2093807365102</v>
      </c>
      <c r="X123" s="14">
        <v>1212.2199454205402</v>
      </c>
      <c r="Y123" s="14">
        <v>1274.17571162587</v>
      </c>
      <c r="Z123" s="14">
        <v>1292.1862763099</v>
      </c>
      <c r="AA123" s="14">
        <v>1059.1548855532101</v>
      </c>
      <c r="AB123" s="14">
        <v>1176.1988160524802</v>
      </c>
      <c r="AC123" s="14">
        <v>1194.2093807365102</v>
      </c>
      <c r="AD123" s="14">
        <v>1256.16514694184</v>
      </c>
      <c r="AE123" s="14">
        <v>1274.17571162587</v>
      </c>
      <c r="AF123" s="14">
        <v>1041.1443208691803</v>
      </c>
    </row>
    <row r="124" spans="1:32" x14ac:dyDescent="0.25">
      <c r="A124" s="13" t="s">
        <v>409</v>
      </c>
      <c r="B124" s="13">
        <v>10</v>
      </c>
      <c r="C124" s="13">
        <v>14</v>
      </c>
      <c r="M124" s="14">
        <v>1585.2176670665899</v>
      </c>
      <c r="N124" s="14">
        <v>1603.2282317506199</v>
      </c>
      <c r="O124" s="14">
        <v>1665.1839979559497</v>
      </c>
      <c r="P124" s="14">
        <v>1683.1945626399797</v>
      </c>
      <c r="Q124" s="14">
        <v>1450.16317188329</v>
      </c>
      <c r="R124" s="14">
        <v>1567.2071023825599</v>
      </c>
      <c r="S124" s="14">
        <v>1585.2176670665899</v>
      </c>
      <c r="T124" s="14">
        <v>1647.1734332719197</v>
      </c>
      <c r="U124" s="14">
        <v>1665.1839979559497</v>
      </c>
      <c r="V124" s="14">
        <v>1432.1526071992598</v>
      </c>
      <c r="W124" s="14">
        <v>1505.2513361772301</v>
      </c>
      <c r="X124" s="14">
        <v>1523.2619008612601</v>
      </c>
      <c r="Y124" s="14">
        <v>1585.2176670665899</v>
      </c>
      <c r="Z124" s="14">
        <v>1603.2282317506199</v>
      </c>
      <c r="AA124" s="14">
        <v>1370.19684099393</v>
      </c>
      <c r="AB124" s="14">
        <v>1487.2407714932001</v>
      </c>
      <c r="AC124" s="14">
        <v>1505.2513361772301</v>
      </c>
      <c r="AD124" s="14">
        <v>1567.2071023825599</v>
      </c>
      <c r="AE124" s="14">
        <v>1585.2176670665899</v>
      </c>
      <c r="AF124" s="14">
        <v>1352.1862763099002</v>
      </c>
    </row>
    <row r="125" spans="1:32" x14ac:dyDescent="0.25">
      <c r="A125" s="13" t="s">
        <v>235</v>
      </c>
      <c r="B125" s="13">
        <v>11</v>
      </c>
      <c r="C125" s="13">
        <v>11</v>
      </c>
      <c r="M125" s="14">
        <v>320.04095238282997</v>
      </c>
      <c r="N125" s="14">
        <v>338.05151706686001</v>
      </c>
      <c r="O125" s="14">
        <v>400.00728327218997</v>
      </c>
      <c r="P125" s="14">
        <v>418.01784795622001</v>
      </c>
      <c r="Q125" s="14">
        <v>193.99802494144998</v>
      </c>
      <c r="R125" s="14">
        <v>302.03038769879993</v>
      </c>
      <c r="S125" s="14">
        <v>320.04095238282991</v>
      </c>
      <c r="T125" s="14">
        <v>381.99671858815998</v>
      </c>
      <c r="U125" s="14">
        <v>400.00728327218997</v>
      </c>
      <c r="V125" s="14">
        <v>175.98746025741994</v>
      </c>
      <c r="W125" s="14">
        <v>240.07462149346998</v>
      </c>
      <c r="X125" s="14">
        <v>258.08518617749996</v>
      </c>
      <c r="Y125" s="14">
        <v>320.04095238283003</v>
      </c>
      <c r="Z125" s="14">
        <v>338.05151706686001</v>
      </c>
      <c r="AA125" s="14">
        <v>114.03169405208999</v>
      </c>
      <c r="AB125" s="14">
        <v>222.06405680943993</v>
      </c>
      <c r="AC125" s="14">
        <v>240.07462149346995</v>
      </c>
      <c r="AD125" s="14">
        <v>302.03038769879993</v>
      </c>
      <c r="AE125" s="14">
        <v>320.04095238282997</v>
      </c>
      <c r="AF125" s="14">
        <v>96.021129368059945</v>
      </c>
    </row>
    <row r="126" spans="1:32" x14ac:dyDescent="0.25">
      <c r="A126" s="13" t="s">
        <v>242</v>
      </c>
      <c r="B126" s="13">
        <v>11</v>
      </c>
      <c r="C126" s="13">
        <v>12</v>
      </c>
      <c r="M126" s="14">
        <v>625.08223911828998</v>
      </c>
      <c r="N126" s="14">
        <v>643.09280380231996</v>
      </c>
      <c r="O126" s="14">
        <v>705.04857000765003</v>
      </c>
      <c r="P126" s="14">
        <v>723.05913469168001</v>
      </c>
      <c r="Q126" s="14">
        <v>514.03897732428004</v>
      </c>
      <c r="R126" s="14">
        <v>607.07167443425999</v>
      </c>
      <c r="S126" s="14">
        <v>625.08223911828998</v>
      </c>
      <c r="T126" s="14">
        <v>687.03800532362004</v>
      </c>
      <c r="U126" s="14">
        <v>705.04857000765003</v>
      </c>
      <c r="V126" s="14">
        <v>496.02841264025</v>
      </c>
      <c r="W126" s="14">
        <v>545.11590822892992</v>
      </c>
      <c r="X126" s="14">
        <v>563.12647291295991</v>
      </c>
      <c r="Y126" s="14">
        <v>625.08223911828998</v>
      </c>
      <c r="Z126" s="14">
        <v>643.09280380231996</v>
      </c>
      <c r="AA126" s="14">
        <v>434.07264643491993</v>
      </c>
      <c r="AB126" s="14">
        <v>527.10534354489994</v>
      </c>
      <c r="AC126" s="14">
        <v>545.11590822892992</v>
      </c>
      <c r="AD126" s="14">
        <v>607.07167443425999</v>
      </c>
      <c r="AE126" s="14">
        <v>625.08223911828998</v>
      </c>
      <c r="AF126" s="14">
        <v>416.06208175088994</v>
      </c>
    </row>
    <row r="127" spans="1:32" x14ac:dyDescent="0.25">
      <c r="A127" s="13" t="s">
        <v>416</v>
      </c>
      <c r="B127" s="13">
        <v>11</v>
      </c>
      <c r="C127" s="13">
        <v>13</v>
      </c>
      <c r="M127" s="14">
        <v>954.13475924303987</v>
      </c>
      <c r="N127" s="14">
        <v>972.14532392706985</v>
      </c>
      <c r="O127" s="14">
        <v>1034.1010901323998</v>
      </c>
      <c r="P127" s="14">
        <v>1052.1116548164298</v>
      </c>
      <c r="Q127" s="14">
        <v>819.08026405973987</v>
      </c>
      <c r="R127" s="14">
        <v>936.12419455900988</v>
      </c>
      <c r="S127" s="14">
        <v>954.13475924303987</v>
      </c>
      <c r="T127" s="14">
        <v>1016.0905254483699</v>
      </c>
      <c r="U127" s="14">
        <v>1034.1010901323998</v>
      </c>
      <c r="V127" s="14">
        <v>801.06969937570989</v>
      </c>
      <c r="W127" s="14">
        <v>874.16842835367993</v>
      </c>
      <c r="X127" s="14">
        <v>892.17899303770992</v>
      </c>
      <c r="Y127" s="14">
        <v>954.13475924303998</v>
      </c>
      <c r="Z127" s="14">
        <v>972.14532392706997</v>
      </c>
      <c r="AA127" s="14">
        <v>739.11393317037994</v>
      </c>
      <c r="AB127" s="14">
        <v>856.15786366964994</v>
      </c>
      <c r="AC127" s="14">
        <v>874.16842835367993</v>
      </c>
      <c r="AD127" s="14">
        <v>936.12419455900999</v>
      </c>
      <c r="AE127" s="14">
        <v>954.13475924303998</v>
      </c>
      <c r="AF127" s="14">
        <v>721.10336848634995</v>
      </c>
    </row>
    <row r="128" spans="1:32" x14ac:dyDescent="0.25">
      <c r="A128" s="13" t="s">
        <v>417</v>
      </c>
      <c r="B128" s="13">
        <v>11</v>
      </c>
      <c r="C128" s="13">
        <v>14</v>
      </c>
      <c r="M128" s="14">
        <v>1265.1767146837601</v>
      </c>
      <c r="N128" s="14">
        <v>1283.1872793677901</v>
      </c>
      <c r="O128" s="14">
        <v>1345.1430455731199</v>
      </c>
      <c r="P128" s="14">
        <v>1363.1536102571499</v>
      </c>
      <c r="Q128" s="14">
        <v>1130.1222195004602</v>
      </c>
      <c r="R128" s="14">
        <v>1247.1661499997301</v>
      </c>
      <c r="S128" s="14">
        <v>1265.1767146837601</v>
      </c>
      <c r="T128" s="14">
        <v>1327.1324808890899</v>
      </c>
      <c r="U128" s="14">
        <v>1345.1430455731199</v>
      </c>
      <c r="V128" s="14">
        <v>1112.11165481643</v>
      </c>
      <c r="W128" s="14">
        <v>1185.2103837944003</v>
      </c>
      <c r="X128" s="14">
        <v>1203.2209484784303</v>
      </c>
      <c r="Y128" s="14">
        <v>1265.1767146837601</v>
      </c>
      <c r="Z128" s="14">
        <v>1283.1872793677901</v>
      </c>
      <c r="AA128" s="14">
        <v>1050.1558886111002</v>
      </c>
      <c r="AB128" s="14">
        <v>1167.1998191103703</v>
      </c>
      <c r="AC128" s="14">
        <v>1185.2103837944003</v>
      </c>
      <c r="AD128" s="14">
        <v>1247.1661499997301</v>
      </c>
      <c r="AE128" s="14">
        <v>1265.1767146837601</v>
      </c>
      <c r="AF128" s="14">
        <v>1032.1453239270704</v>
      </c>
    </row>
    <row r="129" spans="1:32" x14ac:dyDescent="0.25">
      <c r="A129" s="13" t="s">
        <v>182</v>
      </c>
      <c r="B129" s="13">
        <v>12</v>
      </c>
      <c r="C129" s="13">
        <v>12</v>
      </c>
      <c r="M129" s="14">
        <v>305.04128673546001</v>
      </c>
      <c r="N129" s="14">
        <v>323.05185141949005</v>
      </c>
      <c r="O129" s="14">
        <v>385.00761762482</v>
      </c>
      <c r="P129" s="14">
        <v>403.01818230885004</v>
      </c>
      <c r="Q129" s="14">
        <v>193.99802494145001</v>
      </c>
      <c r="R129" s="14">
        <v>287.03072205142996</v>
      </c>
      <c r="S129" s="14">
        <v>305.04128673545995</v>
      </c>
      <c r="T129" s="14">
        <v>366.99705294079001</v>
      </c>
      <c r="U129" s="14">
        <v>385.00761762482</v>
      </c>
      <c r="V129" s="14">
        <v>175.98746025741997</v>
      </c>
      <c r="W129" s="14">
        <v>225.07495584610001</v>
      </c>
      <c r="X129" s="14">
        <v>243.08552053013003</v>
      </c>
      <c r="Y129" s="14">
        <v>305.04128673546006</v>
      </c>
      <c r="Z129" s="14">
        <v>323.05185141949005</v>
      </c>
      <c r="AA129" s="14">
        <v>114.03169405209002</v>
      </c>
      <c r="AB129" s="14">
        <v>207.06439116206997</v>
      </c>
      <c r="AC129" s="14">
        <v>225.07495584609998</v>
      </c>
      <c r="AD129" s="14">
        <v>287.03072205142996</v>
      </c>
      <c r="AE129" s="14">
        <v>305.04128673546001</v>
      </c>
      <c r="AF129" s="14">
        <v>96.021129368059974</v>
      </c>
    </row>
    <row r="130" spans="1:32" x14ac:dyDescent="0.25">
      <c r="A130" s="13" t="s">
        <v>244</v>
      </c>
      <c r="B130" s="13">
        <v>12</v>
      </c>
      <c r="C130" s="13">
        <v>13</v>
      </c>
      <c r="M130" s="14">
        <v>634.09380686020995</v>
      </c>
      <c r="N130" s="14">
        <v>652.10437154423994</v>
      </c>
      <c r="O130" s="14">
        <v>714.06013774957</v>
      </c>
      <c r="P130" s="14">
        <v>732.07070243359999</v>
      </c>
      <c r="Q130" s="14">
        <v>499.03931167690996</v>
      </c>
      <c r="R130" s="14">
        <v>616.08324217617997</v>
      </c>
      <c r="S130" s="14">
        <v>634.09380686020995</v>
      </c>
      <c r="T130" s="14">
        <v>696.04957306554002</v>
      </c>
      <c r="U130" s="14">
        <v>714.06013774957</v>
      </c>
      <c r="V130" s="14">
        <v>481.02874699287997</v>
      </c>
      <c r="W130" s="14">
        <v>554.1274759708499</v>
      </c>
      <c r="X130" s="14">
        <v>572.13804065487989</v>
      </c>
      <c r="Y130" s="14">
        <v>634.09380686020995</v>
      </c>
      <c r="Z130" s="14">
        <v>652.10437154423994</v>
      </c>
      <c r="AA130" s="14">
        <v>419.07298078754991</v>
      </c>
      <c r="AB130" s="14">
        <v>536.11691128681991</v>
      </c>
      <c r="AC130" s="14">
        <v>554.1274759708499</v>
      </c>
      <c r="AD130" s="14">
        <v>616.08324217617997</v>
      </c>
      <c r="AE130" s="14">
        <v>634.09380686020995</v>
      </c>
      <c r="AF130" s="14">
        <v>401.06241610351992</v>
      </c>
    </row>
    <row r="131" spans="1:32" x14ac:dyDescent="0.25">
      <c r="A131" s="13" t="s">
        <v>245</v>
      </c>
      <c r="B131" s="13">
        <v>12</v>
      </c>
      <c r="C131" s="13">
        <v>14</v>
      </c>
      <c r="M131" s="14">
        <v>945.13576230092997</v>
      </c>
      <c r="N131" s="14">
        <v>963.14632698495996</v>
      </c>
      <c r="O131" s="14">
        <v>1025.1020931902899</v>
      </c>
      <c r="P131" s="14">
        <v>1043.1126578743199</v>
      </c>
      <c r="Q131" s="14">
        <v>810.08126711762998</v>
      </c>
      <c r="R131" s="14">
        <v>927.12519761689998</v>
      </c>
      <c r="S131" s="14">
        <v>945.13576230092997</v>
      </c>
      <c r="T131" s="14">
        <v>1007.09152850626</v>
      </c>
      <c r="U131" s="14">
        <v>1025.1020931902899</v>
      </c>
      <c r="V131" s="14">
        <v>792.07070243359999</v>
      </c>
      <c r="W131" s="14">
        <v>865.16943141156992</v>
      </c>
      <c r="X131" s="14">
        <v>883.1799960955999</v>
      </c>
      <c r="Y131" s="14">
        <v>945.13576230092997</v>
      </c>
      <c r="Z131" s="14">
        <v>963.14632698495996</v>
      </c>
      <c r="AA131" s="14">
        <v>730.11493622826993</v>
      </c>
      <c r="AB131" s="14">
        <v>847.15886672753993</v>
      </c>
      <c r="AC131" s="14">
        <v>865.16943141156992</v>
      </c>
      <c r="AD131" s="14">
        <v>927.12519761689998</v>
      </c>
      <c r="AE131" s="14">
        <v>945.13576230092997</v>
      </c>
      <c r="AF131" s="14">
        <v>712.10437154423994</v>
      </c>
    </row>
    <row r="132" spans="1:32" x14ac:dyDescent="0.25">
      <c r="A132" s="13" t="s">
        <v>166</v>
      </c>
      <c r="B132" s="13">
        <v>13</v>
      </c>
      <c r="C132" s="13">
        <v>13</v>
      </c>
      <c r="M132" s="14">
        <v>329.05252012475</v>
      </c>
      <c r="N132" s="14">
        <v>347.06308480877999</v>
      </c>
      <c r="O132" s="14">
        <v>409.01885101411006</v>
      </c>
      <c r="P132" s="14">
        <v>427.02941569814004</v>
      </c>
      <c r="Q132" s="14">
        <v>193.99802494145001</v>
      </c>
      <c r="R132" s="14">
        <v>311.04195544072002</v>
      </c>
      <c r="S132" s="14">
        <v>329.05252012475</v>
      </c>
      <c r="T132" s="14">
        <v>391.00828633008007</v>
      </c>
      <c r="U132" s="14">
        <v>409.01885101411006</v>
      </c>
      <c r="V132" s="14">
        <v>175.98746025742003</v>
      </c>
      <c r="W132" s="14">
        <v>249.08618923538995</v>
      </c>
      <c r="X132" s="14">
        <v>267.09675391941994</v>
      </c>
      <c r="Y132" s="14">
        <v>329.05252012475</v>
      </c>
      <c r="Z132" s="14">
        <v>347.06308480877999</v>
      </c>
      <c r="AA132" s="14">
        <v>114.03169405208996</v>
      </c>
      <c r="AB132" s="14">
        <v>231.07562455135997</v>
      </c>
      <c r="AC132" s="14">
        <v>249.08618923538998</v>
      </c>
      <c r="AD132" s="14">
        <v>311.04195544072002</v>
      </c>
      <c r="AE132" s="14">
        <v>329.05252012475</v>
      </c>
      <c r="AF132" s="14">
        <v>96.021129368059974</v>
      </c>
    </row>
    <row r="133" spans="1:32" x14ac:dyDescent="0.25">
      <c r="A133" s="13" t="s">
        <v>246</v>
      </c>
      <c r="B133" s="13">
        <v>13</v>
      </c>
      <c r="C133" s="13">
        <v>14</v>
      </c>
      <c r="M133" s="14">
        <v>640.09447556547002</v>
      </c>
      <c r="N133" s="14">
        <v>658.10504024950001</v>
      </c>
      <c r="O133" s="14">
        <v>720.06080645483007</v>
      </c>
      <c r="P133" s="14">
        <v>738.07137113886006</v>
      </c>
      <c r="Q133" s="14">
        <v>505.03998038217003</v>
      </c>
      <c r="R133" s="14">
        <v>622.08391088144003</v>
      </c>
      <c r="S133" s="14">
        <v>640.09447556547002</v>
      </c>
      <c r="T133" s="14">
        <v>702.05024177080008</v>
      </c>
      <c r="U133" s="14">
        <v>720.06080645483007</v>
      </c>
      <c r="V133" s="14">
        <v>487.02941569814004</v>
      </c>
      <c r="W133" s="14">
        <v>560.12814467610997</v>
      </c>
      <c r="X133" s="14">
        <v>578.13870936013996</v>
      </c>
      <c r="Y133" s="14">
        <v>640.09447556547002</v>
      </c>
      <c r="Z133" s="14">
        <v>658.10504024950001</v>
      </c>
      <c r="AA133" s="14">
        <v>425.07364949280998</v>
      </c>
      <c r="AB133" s="14">
        <v>542.11757999207998</v>
      </c>
      <c r="AC133" s="14">
        <v>560.12814467610997</v>
      </c>
      <c r="AD133" s="14">
        <v>622.08391088144003</v>
      </c>
      <c r="AE133" s="14">
        <v>640.09447556547002</v>
      </c>
      <c r="AF133" s="14">
        <v>407.06308480877999</v>
      </c>
    </row>
    <row r="134" spans="1:32" x14ac:dyDescent="0.25">
      <c r="A134" s="13" t="s">
        <v>166</v>
      </c>
      <c r="B134" s="13">
        <v>14</v>
      </c>
      <c r="C134" s="13">
        <v>14</v>
      </c>
      <c r="M134" s="14">
        <v>311.04195544072002</v>
      </c>
      <c r="N134" s="14">
        <v>329.05252012475</v>
      </c>
      <c r="O134" s="14">
        <v>391.00828633008007</v>
      </c>
      <c r="P134" s="14">
        <v>409.01885101411006</v>
      </c>
      <c r="Q134" s="14">
        <v>175.98746025742003</v>
      </c>
      <c r="R134" s="14">
        <v>293.03139075669003</v>
      </c>
      <c r="S134" s="14">
        <v>311.04195544072002</v>
      </c>
      <c r="T134" s="14">
        <v>372.99772164605008</v>
      </c>
      <c r="U134" s="14">
        <v>391.00828633008007</v>
      </c>
      <c r="V134" s="14">
        <v>157.97689557339004</v>
      </c>
      <c r="W134" s="14">
        <v>231.07562455135997</v>
      </c>
      <c r="X134" s="14">
        <v>249.08618923538998</v>
      </c>
      <c r="Y134" s="14">
        <v>311.04195544072002</v>
      </c>
      <c r="Z134" s="14">
        <v>329.05252012475</v>
      </c>
      <c r="AA134" s="14">
        <v>96.021129368059974</v>
      </c>
      <c r="AB134" s="14">
        <v>213.06505986732998</v>
      </c>
      <c r="AC134" s="14">
        <v>231.07562455135999</v>
      </c>
      <c r="AD134" s="14">
        <v>293.03139075669003</v>
      </c>
      <c r="AE134" s="14">
        <v>311.04195544072002</v>
      </c>
      <c r="AF134" s="14">
        <v>78.010564684029987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51480-FDC4-4681-AF79-F347E76FCAE4}">
  <sheetPr codeName="Sheet4"/>
  <dimension ref="A1:N514"/>
  <sheetViews>
    <sheetView workbookViewId="0">
      <selection sqref="A1:XFD1048576"/>
    </sheetView>
  </sheetViews>
  <sheetFormatPr defaultColWidth="8.85546875" defaultRowHeight="15" x14ac:dyDescent="0.25"/>
  <cols>
    <col min="1" max="1" width="22.7109375" style="13" customWidth="1"/>
    <col min="2" max="2" width="10.42578125" style="16" bestFit="1" customWidth="1"/>
    <col min="3" max="5" width="8.85546875" style="13"/>
    <col min="6" max="6" width="9.28515625" style="13" bestFit="1" customWidth="1"/>
    <col min="7" max="7" width="9" style="13" bestFit="1" customWidth="1"/>
    <col min="8" max="16384" width="8.85546875" style="13"/>
  </cols>
  <sheetData>
    <row r="1" spans="1:14" x14ac:dyDescent="0.25">
      <c r="A1" s="13" t="s">
        <v>62</v>
      </c>
      <c r="B1" s="16" t="s">
        <v>41</v>
      </c>
      <c r="C1" s="13" t="s">
        <v>52</v>
      </c>
      <c r="D1" s="13" t="s">
        <v>66</v>
      </c>
      <c r="E1" s="13" t="s">
        <v>126</v>
      </c>
      <c r="F1" s="13" t="s">
        <v>130</v>
      </c>
    </row>
    <row r="2" spans="1:14" x14ac:dyDescent="0.25">
      <c r="A2" s="13" t="s">
        <v>476</v>
      </c>
      <c r="B2" s="16">
        <v>78.010559999999998</v>
      </c>
      <c r="C2" s="13" t="s">
        <v>166</v>
      </c>
      <c r="D2" s="13" t="s">
        <v>67</v>
      </c>
      <c r="E2" s="13" t="s">
        <v>99</v>
      </c>
      <c r="F2" s="13" t="s">
        <v>289</v>
      </c>
    </row>
    <row r="3" spans="1:14" x14ac:dyDescent="0.25">
      <c r="A3" s="13" t="s">
        <v>478</v>
      </c>
      <c r="B3" s="16">
        <v>96.021129999999999</v>
      </c>
      <c r="C3" s="13" t="s">
        <v>479</v>
      </c>
      <c r="D3" s="13" t="s">
        <v>67</v>
      </c>
      <c r="E3" s="13" t="s">
        <v>99</v>
      </c>
      <c r="F3" s="13" t="s">
        <v>223</v>
      </c>
    </row>
    <row r="4" spans="1:14" x14ac:dyDescent="0.25">
      <c r="A4" s="13" t="s">
        <v>239</v>
      </c>
      <c r="B4" s="16">
        <v>111.04326</v>
      </c>
      <c r="D4" s="13" t="s">
        <v>67</v>
      </c>
      <c r="E4" s="13" t="s">
        <v>238</v>
      </c>
    </row>
    <row r="5" spans="1:14" x14ac:dyDescent="0.25">
      <c r="A5" s="13" t="s">
        <v>150</v>
      </c>
      <c r="B5" s="16">
        <v>114.03169</v>
      </c>
      <c r="C5" s="13" t="s">
        <v>346</v>
      </c>
      <c r="D5" s="13" t="s">
        <v>69</v>
      </c>
      <c r="E5" s="13" t="s">
        <v>64</v>
      </c>
      <c r="F5" s="13" t="s">
        <v>131</v>
      </c>
    </row>
    <row r="6" spans="1:14" x14ac:dyDescent="0.25">
      <c r="A6" s="13" t="s">
        <v>241</v>
      </c>
      <c r="B6" s="16">
        <v>126.04293</v>
      </c>
      <c r="D6" s="13" t="s">
        <v>67</v>
      </c>
      <c r="E6" s="13" t="s">
        <v>238</v>
      </c>
    </row>
    <row r="7" spans="1:14" x14ac:dyDescent="0.25">
      <c r="A7" s="13" t="s">
        <v>343</v>
      </c>
      <c r="B7" s="16">
        <v>135.05449999999999</v>
      </c>
      <c r="D7" s="13" t="s">
        <v>67</v>
      </c>
      <c r="E7" s="13" t="s">
        <v>238</v>
      </c>
    </row>
    <row r="8" spans="1:14" x14ac:dyDescent="0.25">
      <c r="A8" s="13" t="s">
        <v>476</v>
      </c>
      <c r="B8" s="16">
        <v>157.9769</v>
      </c>
      <c r="C8" s="13" t="s">
        <v>166</v>
      </c>
      <c r="D8" s="13" t="s">
        <v>67</v>
      </c>
      <c r="E8" s="13" t="s">
        <v>89</v>
      </c>
      <c r="F8" s="13" t="s">
        <v>289</v>
      </c>
    </row>
    <row r="9" spans="1:14" x14ac:dyDescent="0.25">
      <c r="A9" s="13" t="s">
        <v>480</v>
      </c>
      <c r="B9" s="16">
        <v>175.98746</v>
      </c>
      <c r="C9" s="13" t="s">
        <v>481</v>
      </c>
      <c r="D9" s="13" t="s">
        <v>67</v>
      </c>
      <c r="E9" s="13" t="s">
        <v>89</v>
      </c>
      <c r="F9" s="13" t="s">
        <v>223</v>
      </c>
    </row>
    <row r="10" spans="1:14" x14ac:dyDescent="0.25">
      <c r="A10" s="13" t="s">
        <v>482</v>
      </c>
      <c r="B10" s="16">
        <v>193.99802</v>
      </c>
      <c r="C10" s="13" t="s">
        <v>483</v>
      </c>
      <c r="D10" s="13" t="s">
        <v>67</v>
      </c>
      <c r="E10" s="13" t="s">
        <v>58</v>
      </c>
      <c r="F10" s="13" t="s">
        <v>223</v>
      </c>
    </row>
    <row r="11" spans="1:14" x14ac:dyDescent="0.25">
      <c r="A11" s="13" t="s">
        <v>484</v>
      </c>
      <c r="B11" s="16">
        <v>207.06439</v>
      </c>
      <c r="C11" s="13" t="s">
        <v>485</v>
      </c>
      <c r="D11" s="13" t="s">
        <v>67</v>
      </c>
      <c r="E11" s="13" t="s">
        <v>95</v>
      </c>
      <c r="F11" s="13" t="s">
        <v>217</v>
      </c>
    </row>
    <row r="12" spans="1:14" x14ac:dyDescent="0.25">
      <c r="A12" s="13" t="s">
        <v>454</v>
      </c>
      <c r="B12" s="16">
        <v>213.06505999999999</v>
      </c>
      <c r="C12" s="13" t="s">
        <v>166</v>
      </c>
      <c r="D12" s="13" t="s">
        <v>67</v>
      </c>
      <c r="E12" s="13" t="s">
        <v>95</v>
      </c>
      <c r="F12" s="13" t="s">
        <v>289</v>
      </c>
      <c r="J12" s="21"/>
      <c r="K12" s="21"/>
      <c r="L12" s="21"/>
      <c r="M12" s="21"/>
      <c r="N12" s="21"/>
    </row>
    <row r="13" spans="1:14" x14ac:dyDescent="0.25">
      <c r="A13" s="13" t="s">
        <v>486</v>
      </c>
      <c r="B13" s="16">
        <v>222.06406000000001</v>
      </c>
      <c r="C13" s="13" t="s">
        <v>236</v>
      </c>
      <c r="D13" s="13" t="s">
        <v>67</v>
      </c>
      <c r="E13" s="13" t="s">
        <v>95</v>
      </c>
      <c r="F13" s="13" t="s">
        <v>223</v>
      </c>
      <c r="J13" s="21"/>
      <c r="K13" s="21"/>
      <c r="L13" s="21"/>
      <c r="M13" s="21"/>
      <c r="N13" s="21"/>
    </row>
    <row r="14" spans="1:14" x14ac:dyDescent="0.25">
      <c r="A14" s="13" t="s">
        <v>487</v>
      </c>
      <c r="B14" s="16">
        <v>225.07496</v>
      </c>
      <c r="C14" s="13" t="s">
        <v>488</v>
      </c>
      <c r="D14" s="13" t="s">
        <v>67</v>
      </c>
      <c r="E14" s="13" t="s">
        <v>96</v>
      </c>
      <c r="F14" s="13" t="s">
        <v>217</v>
      </c>
    </row>
    <row r="15" spans="1:14" x14ac:dyDescent="0.25">
      <c r="A15" s="13" t="s">
        <v>489</v>
      </c>
      <c r="B15" s="16">
        <v>231.07561999999999</v>
      </c>
      <c r="C15" s="13" t="s">
        <v>490</v>
      </c>
      <c r="D15" s="13" t="s">
        <v>67</v>
      </c>
      <c r="E15" s="13" t="s">
        <v>90</v>
      </c>
      <c r="F15" s="13" t="s">
        <v>289</v>
      </c>
    </row>
    <row r="16" spans="1:14" x14ac:dyDescent="0.25">
      <c r="A16" s="13" t="s">
        <v>491</v>
      </c>
      <c r="B16" s="16">
        <v>240.07462000000001</v>
      </c>
      <c r="C16" s="13" t="s">
        <v>492</v>
      </c>
      <c r="D16" s="13" t="s">
        <v>67</v>
      </c>
      <c r="E16" s="13" t="s">
        <v>96</v>
      </c>
      <c r="F16" s="13" t="s">
        <v>223</v>
      </c>
    </row>
    <row r="17" spans="1:6" x14ac:dyDescent="0.25">
      <c r="A17" s="13" t="s">
        <v>484</v>
      </c>
      <c r="B17" s="16">
        <v>243.08552</v>
      </c>
      <c r="C17" s="13" t="s">
        <v>485</v>
      </c>
      <c r="D17" s="13" t="s">
        <v>67</v>
      </c>
      <c r="E17" s="13" t="s">
        <v>91</v>
      </c>
      <c r="F17" s="13" t="s">
        <v>217</v>
      </c>
    </row>
    <row r="18" spans="1:6" x14ac:dyDescent="0.25">
      <c r="A18" s="13" t="s">
        <v>111</v>
      </c>
      <c r="B18" s="16">
        <v>249.08618999999999</v>
      </c>
      <c r="C18" s="13" t="s">
        <v>346</v>
      </c>
      <c r="D18" s="13" t="s">
        <v>69</v>
      </c>
      <c r="E18" s="13" t="s">
        <v>46</v>
      </c>
      <c r="F18" s="13" t="s">
        <v>131</v>
      </c>
    </row>
    <row r="19" spans="1:6" x14ac:dyDescent="0.25">
      <c r="A19" s="13" t="s">
        <v>486</v>
      </c>
      <c r="B19" s="16">
        <v>258.08519000000001</v>
      </c>
      <c r="C19" s="13" t="s">
        <v>236</v>
      </c>
      <c r="D19" s="13" t="s">
        <v>67</v>
      </c>
      <c r="E19" s="13" t="s">
        <v>91</v>
      </c>
      <c r="F19" s="13" t="s">
        <v>223</v>
      </c>
    </row>
    <row r="20" spans="1:6" x14ac:dyDescent="0.25">
      <c r="A20" s="13" t="s">
        <v>114</v>
      </c>
      <c r="B20" s="16">
        <v>267.09674999999999</v>
      </c>
      <c r="C20" s="13" t="s">
        <v>346</v>
      </c>
      <c r="D20" s="13" t="s">
        <v>69</v>
      </c>
      <c r="E20" s="13" t="s">
        <v>47</v>
      </c>
      <c r="F20" s="13" t="s">
        <v>131</v>
      </c>
    </row>
    <row r="21" spans="1:6" x14ac:dyDescent="0.25">
      <c r="A21" s="13" t="s">
        <v>487</v>
      </c>
      <c r="B21" s="16">
        <v>287.03071999999997</v>
      </c>
      <c r="C21" s="13" t="s">
        <v>488</v>
      </c>
      <c r="D21" s="13" t="s">
        <v>67</v>
      </c>
      <c r="E21" s="13" t="s">
        <v>85</v>
      </c>
      <c r="F21" s="13" t="s">
        <v>217</v>
      </c>
    </row>
    <row r="22" spans="1:6" x14ac:dyDescent="0.25">
      <c r="A22" s="13" t="s">
        <v>493</v>
      </c>
      <c r="B22" s="16">
        <v>293.03138999999999</v>
      </c>
      <c r="C22" s="13" t="s">
        <v>494</v>
      </c>
      <c r="D22" s="13" t="s">
        <v>67</v>
      </c>
      <c r="E22" s="13" t="s">
        <v>85</v>
      </c>
      <c r="F22" s="13" t="s">
        <v>289</v>
      </c>
    </row>
    <row r="23" spans="1:6" x14ac:dyDescent="0.25">
      <c r="A23" s="13" t="s">
        <v>491</v>
      </c>
      <c r="B23" s="16">
        <v>302.03039000000001</v>
      </c>
      <c r="C23" s="13" t="s">
        <v>492</v>
      </c>
      <c r="D23" s="13" t="s">
        <v>67</v>
      </c>
      <c r="E23" s="13" t="s">
        <v>85</v>
      </c>
      <c r="F23" s="13" t="s">
        <v>223</v>
      </c>
    </row>
    <row r="24" spans="1:6" x14ac:dyDescent="0.25">
      <c r="A24" s="13" t="s">
        <v>495</v>
      </c>
      <c r="B24" s="16">
        <v>305.04129</v>
      </c>
      <c r="C24" s="13" t="s">
        <v>496</v>
      </c>
      <c r="D24" s="13" t="s">
        <v>67</v>
      </c>
      <c r="E24" s="13" t="s">
        <v>86</v>
      </c>
      <c r="F24" s="13" t="s">
        <v>217</v>
      </c>
    </row>
    <row r="25" spans="1:6" x14ac:dyDescent="0.25">
      <c r="A25" s="13" t="s">
        <v>137</v>
      </c>
      <c r="B25" s="16">
        <v>311.04196000000002</v>
      </c>
      <c r="C25" s="13" t="s">
        <v>360</v>
      </c>
      <c r="D25" s="13" t="s">
        <v>68</v>
      </c>
      <c r="E25" s="13" t="s">
        <v>45</v>
      </c>
      <c r="F25" s="13" t="s">
        <v>289</v>
      </c>
    </row>
    <row r="26" spans="1:6" x14ac:dyDescent="0.25">
      <c r="A26" s="13" t="s">
        <v>497</v>
      </c>
      <c r="B26" s="16">
        <v>320.04095000000001</v>
      </c>
      <c r="C26" s="13" t="s">
        <v>498</v>
      </c>
      <c r="D26" s="13" t="s">
        <v>67</v>
      </c>
      <c r="E26" s="13" t="s">
        <v>86</v>
      </c>
      <c r="F26" s="13" t="s">
        <v>223</v>
      </c>
    </row>
    <row r="27" spans="1:6" x14ac:dyDescent="0.25">
      <c r="A27" s="13" t="s">
        <v>487</v>
      </c>
      <c r="B27" s="16">
        <v>323.05185</v>
      </c>
      <c r="C27" s="13" t="s">
        <v>488</v>
      </c>
      <c r="D27" s="13" t="s">
        <v>67</v>
      </c>
      <c r="E27" s="13" t="s">
        <v>78</v>
      </c>
      <c r="F27" s="13" t="s">
        <v>217</v>
      </c>
    </row>
    <row r="28" spans="1:6" x14ac:dyDescent="0.25">
      <c r="A28" s="13" t="s">
        <v>222</v>
      </c>
      <c r="B28" s="16">
        <v>329.05252000000002</v>
      </c>
      <c r="C28" s="13" t="s">
        <v>346</v>
      </c>
      <c r="D28" s="13" t="s">
        <v>69</v>
      </c>
      <c r="E28" s="13" t="s">
        <v>48</v>
      </c>
      <c r="F28" s="13" t="s">
        <v>131</v>
      </c>
    </row>
    <row r="29" spans="1:6" x14ac:dyDescent="0.25">
      <c r="A29" s="13" t="s">
        <v>491</v>
      </c>
      <c r="B29" s="16">
        <v>338.05151999999998</v>
      </c>
      <c r="C29" s="13" t="s">
        <v>492</v>
      </c>
      <c r="D29" s="13" t="s">
        <v>67</v>
      </c>
      <c r="E29" s="13" t="s">
        <v>78</v>
      </c>
      <c r="F29" s="13" t="s">
        <v>223</v>
      </c>
    </row>
    <row r="30" spans="1:6" x14ac:dyDescent="0.25">
      <c r="A30" s="13" t="s">
        <v>140</v>
      </c>
      <c r="B30" s="16">
        <v>347.06308000000001</v>
      </c>
      <c r="C30" s="13" t="s">
        <v>346</v>
      </c>
      <c r="D30" s="13" t="s">
        <v>69</v>
      </c>
      <c r="E30" s="13" t="s">
        <v>49</v>
      </c>
      <c r="F30" s="13" t="s">
        <v>131</v>
      </c>
    </row>
    <row r="31" spans="1:6" x14ac:dyDescent="0.25">
      <c r="A31" s="13" t="s">
        <v>484</v>
      </c>
      <c r="B31" s="16">
        <v>366.99705</v>
      </c>
      <c r="C31" s="13" t="s">
        <v>485</v>
      </c>
      <c r="D31" s="13" t="s">
        <v>67</v>
      </c>
      <c r="E31" s="13" t="s">
        <v>87</v>
      </c>
      <c r="F31" s="13" t="s">
        <v>217</v>
      </c>
    </row>
    <row r="32" spans="1:6" x14ac:dyDescent="0.25">
      <c r="A32" s="13" t="s">
        <v>454</v>
      </c>
      <c r="B32" s="16">
        <v>372.99772000000002</v>
      </c>
      <c r="C32" s="13" t="s">
        <v>166</v>
      </c>
      <c r="D32" s="13" t="s">
        <v>67</v>
      </c>
      <c r="E32" s="13" t="s">
        <v>87</v>
      </c>
      <c r="F32" s="13" t="s">
        <v>289</v>
      </c>
    </row>
    <row r="33" spans="1:6" x14ac:dyDescent="0.25">
      <c r="A33" s="13" t="s">
        <v>486</v>
      </c>
      <c r="B33" s="16">
        <v>381.99671999999998</v>
      </c>
      <c r="C33" s="13" t="s">
        <v>236</v>
      </c>
      <c r="D33" s="13" t="s">
        <v>67</v>
      </c>
      <c r="E33" s="13" t="s">
        <v>87</v>
      </c>
      <c r="F33" s="13" t="s">
        <v>223</v>
      </c>
    </row>
    <row r="34" spans="1:6" x14ac:dyDescent="0.25">
      <c r="A34" s="13" t="s">
        <v>487</v>
      </c>
      <c r="B34" s="16">
        <v>385.00761999999997</v>
      </c>
      <c r="C34" s="13" t="s">
        <v>488</v>
      </c>
      <c r="D34" s="13" t="s">
        <v>67</v>
      </c>
      <c r="E34" s="13" t="s">
        <v>84</v>
      </c>
      <c r="F34" s="13" t="s">
        <v>217</v>
      </c>
    </row>
    <row r="35" spans="1:6" x14ac:dyDescent="0.25">
      <c r="A35" s="13" t="s">
        <v>102</v>
      </c>
      <c r="B35" s="16">
        <v>391.00828999999999</v>
      </c>
      <c r="C35" s="13" t="s">
        <v>360</v>
      </c>
      <c r="D35" s="13" t="s">
        <v>68</v>
      </c>
      <c r="E35" s="13" t="s">
        <v>17</v>
      </c>
      <c r="F35" s="13" t="s">
        <v>289</v>
      </c>
    </row>
    <row r="36" spans="1:6" x14ac:dyDescent="0.25">
      <c r="A36" s="13" t="s">
        <v>491</v>
      </c>
      <c r="B36" s="16">
        <v>400.00727999999998</v>
      </c>
      <c r="C36" s="13" t="s">
        <v>492</v>
      </c>
      <c r="D36" s="13" t="s">
        <v>67</v>
      </c>
      <c r="E36" s="13" t="s">
        <v>84</v>
      </c>
      <c r="F36" s="13" t="s">
        <v>223</v>
      </c>
    </row>
    <row r="37" spans="1:6" x14ac:dyDescent="0.25">
      <c r="A37" s="13" t="s">
        <v>499</v>
      </c>
      <c r="B37" s="16">
        <v>401.06241999999997</v>
      </c>
      <c r="C37" s="13" t="s">
        <v>500</v>
      </c>
      <c r="D37" s="13" t="s">
        <v>67</v>
      </c>
      <c r="E37" s="13" t="s">
        <v>99</v>
      </c>
      <c r="F37" s="13" t="s">
        <v>218</v>
      </c>
    </row>
    <row r="38" spans="1:6" x14ac:dyDescent="0.25">
      <c r="A38" s="13" t="s">
        <v>484</v>
      </c>
      <c r="B38" s="16">
        <v>403.01817999999997</v>
      </c>
      <c r="C38" s="13" t="s">
        <v>485</v>
      </c>
      <c r="D38" s="13" t="s">
        <v>67</v>
      </c>
      <c r="E38" s="13" t="s">
        <v>79</v>
      </c>
      <c r="F38" s="13" t="s">
        <v>217</v>
      </c>
    </row>
    <row r="39" spans="1:6" x14ac:dyDescent="0.25">
      <c r="A39" s="13" t="s">
        <v>475</v>
      </c>
      <c r="B39" s="16">
        <v>407.06308000000001</v>
      </c>
      <c r="C39" s="13" t="s">
        <v>246</v>
      </c>
      <c r="D39" s="13" t="s">
        <v>67</v>
      </c>
      <c r="E39" s="13" t="s">
        <v>99</v>
      </c>
      <c r="F39" s="13" t="s">
        <v>290</v>
      </c>
    </row>
    <row r="40" spans="1:6" x14ac:dyDescent="0.25">
      <c r="A40" s="13" t="s">
        <v>101</v>
      </c>
      <c r="B40" s="16">
        <v>409.01884999999999</v>
      </c>
      <c r="C40" s="13" t="s">
        <v>360</v>
      </c>
      <c r="D40" s="13" t="s">
        <v>68</v>
      </c>
      <c r="E40" s="13" t="s">
        <v>24</v>
      </c>
      <c r="F40" s="13" t="s">
        <v>289</v>
      </c>
    </row>
    <row r="41" spans="1:6" x14ac:dyDescent="0.25">
      <c r="A41" s="13" t="s">
        <v>501</v>
      </c>
      <c r="B41" s="16">
        <v>416.06207999999998</v>
      </c>
      <c r="C41" s="13" t="s">
        <v>502</v>
      </c>
      <c r="D41" s="13" t="s">
        <v>67</v>
      </c>
      <c r="E41" s="13" t="s">
        <v>99</v>
      </c>
      <c r="F41" s="13" t="s">
        <v>189</v>
      </c>
    </row>
    <row r="42" spans="1:6" x14ac:dyDescent="0.25">
      <c r="A42" s="13" t="s">
        <v>486</v>
      </c>
      <c r="B42" s="16">
        <v>418.01785000000001</v>
      </c>
      <c r="C42" s="13" t="s">
        <v>236</v>
      </c>
      <c r="D42" s="13" t="s">
        <v>67</v>
      </c>
      <c r="E42" s="13" t="s">
        <v>79</v>
      </c>
      <c r="F42" s="13" t="s">
        <v>223</v>
      </c>
    </row>
    <row r="43" spans="1:6" x14ac:dyDescent="0.25">
      <c r="A43" s="13" t="s">
        <v>499</v>
      </c>
      <c r="B43" s="16">
        <v>419.07297999999997</v>
      </c>
      <c r="C43" s="13" t="s">
        <v>500</v>
      </c>
      <c r="D43" s="13" t="s">
        <v>67</v>
      </c>
      <c r="E43" s="13" t="s">
        <v>94</v>
      </c>
      <c r="F43" s="13" t="s">
        <v>218</v>
      </c>
    </row>
    <row r="44" spans="1:6" x14ac:dyDescent="0.25">
      <c r="A44" s="13" t="s">
        <v>503</v>
      </c>
      <c r="B44" s="16">
        <v>425.07364999999999</v>
      </c>
      <c r="C44" s="13" t="s">
        <v>504</v>
      </c>
      <c r="D44" s="13" t="s">
        <v>67</v>
      </c>
      <c r="E44" s="13" t="s">
        <v>99</v>
      </c>
      <c r="F44" s="13" t="s">
        <v>134</v>
      </c>
    </row>
    <row r="45" spans="1:6" x14ac:dyDescent="0.25">
      <c r="A45" s="13" t="s">
        <v>505</v>
      </c>
      <c r="B45" s="16">
        <v>427.02942000000002</v>
      </c>
      <c r="C45" s="13" t="s">
        <v>506</v>
      </c>
      <c r="D45" s="13" t="s">
        <v>67</v>
      </c>
      <c r="E45" s="13" t="s">
        <v>79</v>
      </c>
      <c r="F45" s="13" t="s">
        <v>135</v>
      </c>
    </row>
    <row r="46" spans="1:6" x14ac:dyDescent="0.25">
      <c r="A46" s="13" t="s">
        <v>501</v>
      </c>
      <c r="B46" s="16">
        <v>434.07265000000001</v>
      </c>
      <c r="C46" s="13" t="s">
        <v>502</v>
      </c>
      <c r="D46" s="13" t="s">
        <v>67</v>
      </c>
      <c r="E46" s="13" t="s">
        <v>94</v>
      </c>
      <c r="F46" s="13" t="s">
        <v>189</v>
      </c>
    </row>
    <row r="47" spans="1:6" x14ac:dyDescent="0.25">
      <c r="A47" s="13" t="s">
        <v>151</v>
      </c>
      <c r="B47" s="16">
        <v>443.08420999999998</v>
      </c>
      <c r="C47" s="13" t="s">
        <v>347</v>
      </c>
      <c r="D47" s="13" t="s">
        <v>69</v>
      </c>
      <c r="E47" s="13" t="s">
        <v>64</v>
      </c>
      <c r="F47" s="13" t="s">
        <v>132</v>
      </c>
    </row>
    <row r="48" spans="1:6" x14ac:dyDescent="0.25">
      <c r="A48" s="13" t="s">
        <v>499</v>
      </c>
      <c r="B48" s="16">
        <v>481.02875</v>
      </c>
      <c r="C48" s="13" t="s">
        <v>500</v>
      </c>
      <c r="D48" s="13" t="s">
        <v>67</v>
      </c>
      <c r="E48" s="13" t="s">
        <v>89</v>
      </c>
      <c r="F48" s="13" t="s">
        <v>218</v>
      </c>
    </row>
    <row r="49" spans="1:6" x14ac:dyDescent="0.25">
      <c r="A49" s="13" t="s">
        <v>475</v>
      </c>
      <c r="B49" s="16">
        <v>487.02942000000002</v>
      </c>
      <c r="C49" s="13" t="s">
        <v>246</v>
      </c>
      <c r="D49" s="13" t="s">
        <v>67</v>
      </c>
      <c r="E49" s="13" t="s">
        <v>89</v>
      </c>
      <c r="F49" s="13" t="s">
        <v>290</v>
      </c>
    </row>
    <row r="50" spans="1:6" x14ac:dyDescent="0.25">
      <c r="A50" s="13" t="s">
        <v>501</v>
      </c>
      <c r="B50" s="16">
        <v>496.02841000000001</v>
      </c>
      <c r="C50" s="13" t="s">
        <v>502</v>
      </c>
      <c r="D50" s="13" t="s">
        <v>67</v>
      </c>
      <c r="E50" s="13" t="s">
        <v>89</v>
      </c>
      <c r="F50" s="13" t="s">
        <v>189</v>
      </c>
    </row>
    <row r="51" spans="1:6" x14ac:dyDescent="0.25">
      <c r="A51" s="13" t="s">
        <v>499</v>
      </c>
      <c r="B51" s="16">
        <v>499.03931</v>
      </c>
      <c r="C51" s="13" t="s">
        <v>500</v>
      </c>
      <c r="D51" s="13" t="s">
        <v>67</v>
      </c>
      <c r="E51" s="13" t="s">
        <v>58</v>
      </c>
      <c r="F51" s="13" t="s">
        <v>218</v>
      </c>
    </row>
    <row r="52" spans="1:6" x14ac:dyDescent="0.25">
      <c r="A52" s="13" t="s">
        <v>503</v>
      </c>
      <c r="B52" s="16">
        <v>505.03998000000001</v>
      </c>
      <c r="C52" s="13" t="s">
        <v>504</v>
      </c>
      <c r="D52" s="13" t="s">
        <v>67</v>
      </c>
      <c r="E52" s="13" t="s">
        <v>89</v>
      </c>
      <c r="F52" s="13" t="s">
        <v>134</v>
      </c>
    </row>
    <row r="53" spans="1:6" x14ac:dyDescent="0.25">
      <c r="A53" s="13" t="s">
        <v>501</v>
      </c>
      <c r="B53" s="16">
        <v>514.03898000000004</v>
      </c>
      <c r="C53" s="13" t="s">
        <v>502</v>
      </c>
      <c r="D53" s="13" t="s">
        <v>67</v>
      </c>
      <c r="E53" s="13" t="s">
        <v>58</v>
      </c>
      <c r="F53" s="13" t="s">
        <v>189</v>
      </c>
    </row>
    <row r="54" spans="1:6" x14ac:dyDescent="0.25">
      <c r="A54" s="13" t="s">
        <v>507</v>
      </c>
      <c r="B54" s="16">
        <v>523.05055000000004</v>
      </c>
      <c r="C54" s="13" t="s">
        <v>508</v>
      </c>
      <c r="D54" s="13" t="s">
        <v>67</v>
      </c>
      <c r="E54" s="13" t="s">
        <v>58</v>
      </c>
      <c r="F54" s="13" t="s">
        <v>134</v>
      </c>
    </row>
    <row r="55" spans="1:6" x14ac:dyDescent="0.25">
      <c r="A55" s="13" t="s">
        <v>509</v>
      </c>
      <c r="B55" s="16">
        <v>527.10533999999996</v>
      </c>
      <c r="C55" s="13" t="s">
        <v>510</v>
      </c>
      <c r="D55" s="13" t="s">
        <v>67</v>
      </c>
      <c r="E55" s="13" t="s">
        <v>95</v>
      </c>
      <c r="F55" s="13" t="s">
        <v>218</v>
      </c>
    </row>
    <row r="56" spans="1:6" x14ac:dyDescent="0.25">
      <c r="A56" s="13" t="s">
        <v>511</v>
      </c>
      <c r="B56" s="16">
        <v>536.11690999999996</v>
      </c>
      <c r="C56" s="13" t="s">
        <v>512</v>
      </c>
      <c r="D56" s="13" t="s">
        <v>67</v>
      </c>
      <c r="E56" s="13" t="s">
        <v>95</v>
      </c>
      <c r="F56" s="13" t="s">
        <v>134</v>
      </c>
    </row>
    <row r="57" spans="1:6" x14ac:dyDescent="0.25">
      <c r="A57" s="13" t="s">
        <v>513</v>
      </c>
      <c r="B57" s="16">
        <v>542.10500999999999</v>
      </c>
      <c r="C57" s="13" t="s">
        <v>514</v>
      </c>
      <c r="D57" s="13" t="s">
        <v>67</v>
      </c>
      <c r="E57" s="13" t="s">
        <v>95</v>
      </c>
      <c r="F57" s="13" t="s">
        <v>189</v>
      </c>
    </row>
    <row r="58" spans="1:6" x14ac:dyDescent="0.25">
      <c r="A58" s="13" t="s">
        <v>453</v>
      </c>
      <c r="B58" s="16">
        <v>542.11757999999998</v>
      </c>
      <c r="C58" s="13" t="s">
        <v>246</v>
      </c>
      <c r="D58" s="13" t="s">
        <v>67</v>
      </c>
      <c r="E58" s="13" t="s">
        <v>95</v>
      </c>
      <c r="F58" s="13" t="s">
        <v>290</v>
      </c>
    </row>
    <row r="59" spans="1:6" x14ac:dyDescent="0.25">
      <c r="A59" s="13" t="s">
        <v>515</v>
      </c>
      <c r="B59" s="16">
        <v>545.11590999999999</v>
      </c>
      <c r="C59" s="13" t="s">
        <v>516</v>
      </c>
      <c r="D59" s="13" t="s">
        <v>67</v>
      </c>
      <c r="E59" s="13" t="s">
        <v>90</v>
      </c>
      <c r="F59" s="13" t="s">
        <v>218</v>
      </c>
    </row>
    <row r="60" spans="1:6" x14ac:dyDescent="0.25">
      <c r="A60" s="13" t="s">
        <v>517</v>
      </c>
      <c r="B60" s="16">
        <v>554.12747999999999</v>
      </c>
      <c r="C60" s="13" t="s">
        <v>518</v>
      </c>
      <c r="D60" s="13" t="s">
        <v>67</v>
      </c>
      <c r="E60" s="13" t="s">
        <v>90</v>
      </c>
      <c r="F60" s="13" t="s">
        <v>134</v>
      </c>
    </row>
    <row r="61" spans="1:6" x14ac:dyDescent="0.25">
      <c r="A61" s="13" t="s">
        <v>519</v>
      </c>
      <c r="B61" s="16">
        <v>560.11557000000005</v>
      </c>
      <c r="C61" s="13" t="s">
        <v>520</v>
      </c>
      <c r="D61" s="13" t="s">
        <v>67</v>
      </c>
      <c r="E61" s="13" t="s">
        <v>90</v>
      </c>
      <c r="F61" s="13" t="s">
        <v>189</v>
      </c>
    </row>
    <row r="62" spans="1:6" x14ac:dyDescent="0.25">
      <c r="A62" s="13" t="s">
        <v>521</v>
      </c>
      <c r="B62" s="16">
        <v>560.12814000000003</v>
      </c>
      <c r="C62" s="13" t="s">
        <v>522</v>
      </c>
      <c r="D62" s="13" t="s">
        <v>67</v>
      </c>
      <c r="E62" s="13" t="s">
        <v>90</v>
      </c>
      <c r="F62" s="13" t="s">
        <v>290</v>
      </c>
    </row>
    <row r="63" spans="1:6" x14ac:dyDescent="0.25">
      <c r="A63" s="13" t="s">
        <v>509</v>
      </c>
      <c r="B63" s="16">
        <v>563.12647000000004</v>
      </c>
      <c r="C63" s="13" t="s">
        <v>510</v>
      </c>
      <c r="D63" s="13" t="s">
        <v>67</v>
      </c>
      <c r="E63" s="13" t="s">
        <v>91</v>
      </c>
      <c r="F63" s="13" t="s">
        <v>218</v>
      </c>
    </row>
    <row r="64" spans="1:6" x14ac:dyDescent="0.25">
      <c r="A64" s="13" t="s">
        <v>511</v>
      </c>
      <c r="B64" s="16">
        <v>572.13804000000005</v>
      </c>
      <c r="C64" s="13" t="s">
        <v>512</v>
      </c>
      <c r="D64" s="13" t="s">
        <v>67</v>
      </c>
      <c r="E64" s="13" t="s">
        <v>91</v>
      </c>
      <c r="F64" s="13" t="s">
        <v>134</v>
      </c>
    </row>
    <row r="65" spans="1:6" x14ac:dyDescent="0.25">
      <c r="A65" s="13" t="s">
        <v>513</v>
      </c>
      <c r="B65" s="16">
        <v>578.12613999999996</v>
      </c>
      <c r="C65" s="13" t="s">
        <v>514</v>
      </c>
      <c r="D65" s="13" t="s">
        <v>67</v>
      </c>
      <c r="E65" s="13" t="s">
        <v>91</v>
      </c>
      <c r="F65" s="13" t="s">
        <v>189</v>
      </c>
    </row>
    <row r="66" spans="1:6" x14ac:dyDescent="0.25">
      <c r="A66" s="13" t="s">
        <v>112</v>
      </c>
      <c r="B66" s="16">
        <v>578.13870999999995</v>
      </c>
      <c r="C66" s="13" t="s">
        <v>347</v>
      </c>
      <c r="D66" s="13" t="s">
        <v>69</v>
      </c>
      <c r="E66" s="13" t="s">
        <v>46</v>
      </c>
      <c r="F66" s="13" t="s">
        <v>132</v>
      </c>
    </row>
    <row r="67" spans="1:6" x14ac:dyDescent="0.25">
      <c r="A67" s="13" t="s">
        <v>115</v>
      </c>
      <c r="B67" s="16">
        <v>596.14927</v>
      </c>
      <c r="C67" s="13" t="s">
        <v>347</v>
      </c>
      <c r="D67" s="13" t="s">
        <v>69</v>
      </c>
      <c r="E67" s="13" t="s">
        <v>47</v>
      </c>
      <c r="F67" s="13" t="s">
        <v>132</v>
      </c>
    </row>
    <row r="68" spans="1:6" x14ac:dyDescent="0.25">
      <c r="A68" s="13" t="s">
        <v>515</v>
      </c>
      <c r="B68" s="16">
        <v>607.07167000000004</v>
      </c>
      <c r="C68" s="13" t="s">
        <v>516</v>
      </c>
      <c r="D68" s="13" t="s">
        <v>67</v>
      </c>
      <c r="E68" s="13" t="s">
        <v>85</v>
      </c>
      <c r="F68" s="13" t="s">
        <v>218</v>
      </c>
    </row>
    <row r="69" spans="1:6" x14ac:dyDescent="0.25">
      <c r="A69" s="13" t="s">
        <v>517</v>
      </c>
      <c r="B69" s="16">
        <v>616.08324000000005</v>
      </c>
      <c r="C69" s="13" t="s">
        <v>518</v>
      </c>
      <c r="D69" s="13" t="s">
        <v>67</v>
      </c>
      <c r="E69" s="13" t="s">
        <v>85</v>
      </c>
      <c r="F69" s="13" t="s">
        <v>134</v>
      </c>
    </row>
    <row r="70" spans="1:6" x14ac:dyDescent="0.25">
      <c r="A70" s="13" t="s">
        <v>519</v>
      </c>
      <c r="B70" s="16">
        <v>622.07133999999996</v>
      </c>
      <c r="C70" s="13" t="s">
        <v>520</v>
      </c>
      <c r="D70" s="13" t="s">
        <v>67</v>
      </c>
      <c r="E70" s="13" t="s">
        <v>85</v>
      </c>
      <c r="F70" s="13" t="s">
        <v>189</v>
      </c>
    </row>
    <row r="71" spans="1:6" x14ac:dyDescent="0.25">
      <c r="A71" s="13" t="s">
        <v>523</v>
      </c>
      <c r="B71" s="16">
        <v>622.08390999999995</v>
      </c>
      <c r="C71" s="13" t="s">
        <v>344</v>
      </c>
      <c r="D71" s="13" t="s">
        <v>67</v>
      </c>
      <c r="E71" s="13" t="s">
        <v>85</v>
      </c>
      <c r="F71" s="13" t="s">
        <v>290</v>
      </c>
    </row>
    <row r="72" spans="1:6" x14ac:dyDescent="0.25">
      <c r="A72" s="13" t="s">
        <v>524</v>
      </c>
      <c r="B72" s="16">
        <v>625.08223999999996</v>
      </c>
      <c r="C72" s="13" t="s">
        <v>525</v>
      </c>
      <c r="D72" s="13" t="s">
        <v>67</v>
      </c>
      <c r="E72" s="13" t="s">
        <v>57</v>
      </c>
      <c r="F72" s="13" t="s">
        <v>218</v>
      </c>
    </row>
    <row r="73" spans="1:6" x14ac:dyDescent="0.25">
      <c r="A73" s="13" t="s">
        <v>526</v>
      </c>
      <c r="B73" s="16">
        <v>634.09380999999996</v>
      </c>
      <c r="C73" s="13" t="s">
        <v>527</v>
      </c>
      <c r="D73" s="13" t="s">
        <v>67</v>
      </c>
      <c r="E73" s="13" t="s">
        <v>57</v>
      </c>
      <c r="F73" s="13" t="s">
        <v>134</v>
      </c>
    </row>
    <row r="74" spans="1:6" x14ac:dyDescent="0.25">
      <c r="A74" s="13" t="s">
        <v>528</v>
      </c>
      <c r="B74" s="16">
        <v>640.08190000000002</v>
      </c>
      <c r="C74" s="13" t="s">
        <v>529</v>
      </c>
      <c r="D74" s="13" t="s">
        <v>67</v>
      </c>
      <c r="E74" s="13" t="s">
        <v>57</v>
      </c>
      <c r="F74" s="13" t="s">
        <v>189</v>
      </c>
    </row>
    <row r="75" spans="1:6" x14ac:dyDescent="0.25">
      <c r="A75" s="13" t="s">
        <v>61</v>
      </c>
      <c r="B75" s="16">
        <v>640.09447999999998</v>
      </c>
      <c r="C75" s="13" t="s">
        <v>361</v>
      </c>
      <c r="D75" s="13" t="s">
        <v>68</v>
      </c>
      <c r="E75" s="13" t="s">
        <v>45</v>
      </c>
      <c r="F75" s="13" t="s">
        <v>290</v>
      </c>
    </row>
    <row r="76" spans="1:6" x14ac:dyDescent="0.25">
      <c r="A76" s="13" t="s">
        <v>515</v>
      </c>
      <c r="B76" s="16">
        <v>643.09280000000001</v>
      </c>
      <c r="C76" s="13" t="s">
        <v>516</v>
      </c>
      <c r="D76" s="13" t="s">
        <v>67</v>
      </c>
      <c r="E76" s="13" t="s">
        <v>78</v>
      </c>
      <c r="F76" s="13" t="s">
        <v>218</v>
      </c>
    </row>
    <row r="77" spans="1:6" x14ac:dyDescent="0.25">
      <c r="A77" s="13" t="s">
        <v>517</v>
      </c>
      <c r="B77" s="16">
        <v>652.10437000000002</v>
      </c>
      <c r="C77" s="13" t="s">
        <v>518</v>
      </c>
      <c r="D77" s="13" t="s">
        <v>67</v>
      </c>
      <c r="E77" s="13" t="s">
        <v>78</v>
      </c>
      <c r="F77" s="13" t="s">
        <v>134</v>
      </c>
    </row>
    <row r="78" spans="1:6" x14ac:dyDescent="0.25">
      <c r="A78" s="13" t="s">
        <v>519</v>
      </c>
      <c r="B78" s="16">
        <v>658.09247000000005</v>
      </c>
      <c r="C78" s="13" t="s">
        <v>520</v>
      </c>
      <c r="D78" s="13" t="s">
        <v>67</v>
      </c>
      <c r="E78" s="13" t="s">
        <v>78</v>
      </c>
      <c r="F78" s="13" t="s">
        <v>189</v>
      </c>
    </row>
    <row r="79" spans="1:6" x14ac:dyDescent="0.25">
      <c r="A79" s="13" t="s">
        <v>138</v>
      </c>
      <c r="B79" s="16">
        <v>658.10504000000003</v>
      </c>
      <c r="C79" s="13" t="s">
        <v>347</v>
      </c>
      <c r="D79" s="13" t="s">
        <v>69</v>
      </c>
      <c r="E79" s="13" t="s">
        <v>48</v>
      </c>
      <c r="F79" s="13" t="s">
        <v>132</v>
      </c>
    </row>
    <row r="80" spans="1:6" x14ac:dyDescent="0.25">
      <c r="A80" s="13" t="s">
        <v>141</v>
      </c>
      <c r="B80" s="16">
        <v>676.11559999999997</v>
      </c>
      <c r="C80" s="13" t="s">
        <v>347</v>
      </c>
      <c r="D80" s="13" t="s">
        <v>69</v>
      </c>
      <c r="E80" s="13" t="s">
        <v>49</v>
      </c>
      <c r="F80" s="13" t="s">
        <v>132</v>
      </c>
    </row>
    <row r="81" spans="1:6" x14ac:dyDescent="0.25">
      <c r="A81" s="13" t="s">
        <v>509</v>
      </c>
      <c r="B81" s="16">
        <v>687.03800999999999</v>
      </c>
      <c r="C81" s="13" t="s">
        <v>510</v>
      </c>
      <c r="D81" s="13" t="s">
        <v>67</v>
      </c>
      <c r="E81" s="13" t="s">
        <v>87</v>
      </c>
      <c r="F81" s="13" t="s">
        <v>218</v>
      </c>
    </row>
    <row r="82" spans="1:6" x14ac:dyDescent="0.25">
      <c r="A82" s="13" t="s">
        <v>511</v>
      </c>
      <c r="B82" s="16">
        <v>696.04957000000002</v>
      </c>
      <c r="C82" s="13" t="s">
        <v>512</v>
      </c>
      <c r="D82" s="13" t="s">
        <v>67</v>
      </c>
      <c r="E82" s="13" t="s">
        <v>87</v>
      </c>
      <c r="F82" s="13" t="s">
        <v>134</v>
      </c>
    </row>
    <row r="83" spans="1:6" x14ac:dyDescent="0.25">
      <c r="A83" s="13" t="s">
        <v>513</v>
      </c>
      <c r="B83" s="16">
        <v>702.03767000000005</v>
      </c>
      <c r="C83" s="13" t="s">
        <v>514</v>
      </c>
      <c r="D83" s="13" t="s">
        <v>67</v>
      </c>
      <c r="E83" s="13" t="s">
        <v>87</v>
      </c>
      <c r="F83" s="13" t="s">
        <v>189</v>
      </c>
    </row>
    <row r="84" spans="1:6" x14ac:dyDescent="0.25">
      <c r="A84" s="13" t="s">
        <v>453</v>
      </c>
      <c r="B84" s="16">
        <v>702.05024000000003</v>
      </c>
      <c r="C84" s="13" t="s">
        <v>246</v>
      </c>
      <c r="D84" s="13" t="s">
        <v>67</v>
      </c>
      <c r="E84" s="13" t="s">
        <v>87</v>
      </c>
      <c r="F84" s="13" t="s">
        <v>290</v>
      </c>
    </row>
    <row r="85" spans="1:6" x14ac:dyDescent="0.25">
      <c r="A85" s="13" t="s">
        <v>515</v>
      </c>
      <c r="B85" s="16">
        <v>705.04857000000004</v>
      </c>
      <c r="C85" s="13" t="s">
        <v>516</v>
      </c>
      <c r="D85" s="13" t="s">
        <v>67</v>
      </c>
      <c r="E85" s="13" t="s">
        <v>84</v>
      </c>
      <c r="F85" s="13" t="s">
        <v>218</v>
      </c>
    </row>
    <row r="86" spans="1:6" x14ac:dyDescent="0.25">
      <c r="A86" s="13" t="s">
        <v>474</v>
      </c>
      <c r="B86" s="16">
        <v>712.10437000000002</v>
      </c>
      <c r="C86" s="13" t="s">
        <v>245</v>
      </c>
      <c r="D86" s="13" t="s">
        <v>67</v>
      </c>
      <c r="E86" s="13" t="s">
        <v>99</v>
      </c>
      <c r="F86" s="13" t="s">
        <v>291</v>
      </c>
    </row>
    <row r="87" spans="1:6" x14ac:dyDescent="0.25">
      <c r="A87" s="13" t="s">
        <v>517</v>
      </c>
      <c r="B87" s="16">
        <v>714.06014000000005</v>
      </c>
      <c r="C87" s="13" t="s">
        <v>518</v>
      </c>
      <c r="D87" s="13" t="s">
        <v>67</v>
      </c>
      <c r="E87" s="13" t="s">
        <v>84</v>
      </c>
      <c r="F87" s="13" t="s">
        <v>134</v>
      </c>
    </row>
    <row r="88" spans="1:6" x14ac:dyDescent="0.25">
      <c r="A88" s="13" t="s">
        <v>519</v>
      </c>
      <c r="B88" s="16">
        <v>720.04823999999996</v>
      </c>
      <c r="C88" s="13" t="s">
        <v>520</v>
      </c>
      <c r="D88" s="13" t="s">
        <v>67</v>
      </c>
      <c r="E88" s="13" t="s">
        <v>84</v>
      </c>
      <c r="F88" s="13" t="s">
        <v>189</v>
      </c>
    </row>
    <row r="89" spans="1:6" x14ac:dyDescent="0.25">
      <c r="A89" s="13" t="s">
        <v>60</v>
      </c>
      <c r="B89" s="16">
        <v>720.06080999999995</v>
      </c>
      <c r="C89" s="13" t="s">
        <v>361</v>
      </c>
      <c r="D89" s="13" t="s">
        <v>68</v>
      </c>
      <c r="E89" s="13" t="s">
        <v>17</v>
      </c>
      <c r="F89" s="13" t="s">
        <v>290</v>
      </c>
    </row>
    <row r="90" spans="1:6" x14ac:dyDescent="0.25">
      <c r="A90" s="13" t="s">
        <v>530</v>
      </c>
      <c r="B90" s="16">
        <v>721.10337000000004</v>
      </c>
      <c r="C90" s="13" t="s">
        <v>531</v>
      </c>
      <c r="D90" s="13" t="s">
        <v>67</v>
      </c>
      <c r="E90" s="13" t="s">
        <v>99</v>
      </c>
      <c r="F90" s="13" t="s">
        <v>190</v>
      </c>
    </row>
    <row r="91" spans="1:6" x14ac:dyDescent="0.25">
      <c r="A91" s="13" t="s">
        <v>509</v>
      </c>
      <c r="B91" s="16">
        <v>723.05912999999998</v>
      </c>
      <c r="C91" s="13" t="s">
        <v>510</v>
      </c>
      <c r="D91" s="13" t="s">
        <v>67</v>
      </c>
      <c r="E91" s="13" t="s">
        <v>79</v>
      </c>
      <c r="F91" s="13" t="s">
        <v>218</v>
      </c>
    </row>
    <row r="92" spans="1:6" x14ac:dyDescent="0.25">
      <c r="A92" s="13" t="s">
        <v>532</v>
      </c>
      <c r="B92" s="16">
        <v>730.11494000000005</v>
      </c>
      <c r="C92" s="13" t="s">
        <v>533</v>
      </c>
      <c r="D92" s="13" t="s">
        <v>67</v>
      </c>
      <c r="E92" s="13" t="s">
        <v>94</v>
      </c>
      <c r="F92" s="13" t="s">
        <v>291</v>
      </c>
    </row>
    <row r="93" spans="1:6" x14ac:dyDescent="0.25">
      <c r="A93" s="13" t="s">
        <v>511</v>
      </c>
      <c r="B93" s="16">
        <v>732.07069999999999</v>
      </c>
      <c r="C93" s="13" t="s">
        <v>512</v>
      </c>
      <c r="D93" s="13" t="s">
        <v>67</v>
      </c>
      <c r="E93" s="13" t="s">
        <v>79</v>
      </c>
      <c r="F93" s="13" t="s">
        <v>134</v>
      </c>
    </row>
    <row r="94" spans="1:6" x14ac:dyDescent="0.25">
      <c r="A94" s="13" t="s">
        <v>534</v>
      </c>
      <c r="B94" s="16">
        <v>736.10302999999999</v>
      </c>
      <c r="C94" s="13" t="s">
        <v>535</v>
      </c>
      <c r="D94" s="13" t="s">
        <v>67</v>
      </c>
      <c r="E94" s="13" t="s">
        <v>99</v>
      </c>
      <c r="F94" s="13" t="s">
        <v>201</v>
      </c>
    </row>
    <row r="95" spans="1:6" x14ac:dyDescent="0.25">
      <c r="A95" s="13" t="s">
        <v>513</v>
      </c>
      <c r="B95" s="16">
        <v>738.05880000000002</v>
      </c>
      <c r="C95" s="13" t="s">
        <v>514</v>
      </c>
      <c r="D95" s="13" t="s">
        <v>67</v>
      </c>
      <c r="E95" s="13" t="s">
        <v>79</v>
      </c>
      <c r="F95" s="13" t="s">
        <v>189</v>
      </c>
    </row>
    <row r="96" spans="1:6" x14ac:dyDescent="0.25">
      <c r="A96" s="13" t="s">
        <v>59</v>
      </c>
      <c r="B96" s="16">
        <v>738.07137</v>
      </c>
      <c r="C96" s="13" t="s">
        <v>361</v>
      </c>
      <c r="D96" s="13" t="s">
        <v>68</v>
      </c>
      <c r="E96" s="13" t="s">
        <v>24</v>
      </c>
      <c r="F96" s="13" t="s">
        <v>290</v>
      </c>
    </row>
    <row r="97" spans="1:6" x14ac:dyDescent="0.25">
      <c r="A97" s="13" t="s">
        <v>530</v>
      </c>
      <c r="B97" s="16">
        <v>739.11392999999998</v>
      </c>
      <c r="C97" s="13" t="s">
        <v>531</v>
      </c>
      <c r="D97" s="13" t="s">
        <v>67</v>
      </c>
      <c r="E97" s="13" t="s">
        <v>94</v>
      </c>
      <c r="F97" s="13" t="s">
        <v>190</v>
      </c>
    </row>
    <row r="98" spans="1:6" x14ac:dyDescent="0.25">
      <c r="A98" s="13" t="s">
        <v>536</v>
      </c>
      <c r="B98" s="16">
        <v>748.12549999999999</v>
      </c>
      <c r="C98" s="13" t="s">
        <v>537</v>
      </c>
      <c r="D98" s="13" t="s">
        <v>67</v>
      </c>
      <c r="E98" s="13" t="s">
        <v>94</v>
      </c>
      <c r="F98" s="13" t="s">
        <v>163</v>
      </c>
    </row>
    <row r="99" spans="1:6" x14ac:dyDescent="0.25">
      <c r="A99" s="13" t="s">
        <v>534</v>
      </c>
      <c r="B99" s="16">
        <v>754.11360000000002</v>
      </c>
      <c r="C99" s="13" t="s">
        <v>535</v>
      </c>
      <c r="D99" s="13" t="s">
        <v>67</v>
      </c>
      <c r="E99" s="13" t="s">
        <v>94</v>
      </c>
      <c r="F99" s="13" t="s">
        <v>201</v>
      </c>
    </row>
    <row r="100" spans="1:6" x14ac:dyDescent="0.25">
      <c r="A100" s="13" t="s">
        <v>468</v>
      </c>
      <c r="B100" s="16">
        <v>754.12617</v>
      </c>
      <c r="C100" s="13" t="s">
        <v>374</v>
      </c>
      <c r="D100" s="13" t="s">
        <v>67</v>
      </c>
      <c r="E100" s="13" t="s">
        <v>99</v>
      </c>
      <c r="F100" s="13" t="s">
        <v>341</v>
      </c>
    </row>
    <row r="101" spans="1:6" x14ac:dyDescent="0.25">
      <c r="A101" s="13" t="s">
        <v>445</v>
      </c>
      <c r="B101" s="16">
        <v>756.08194000000003</v>
      </c>
      <c r="C101" s="13" t="s">
        <v>246</v>
      </c>
      <c r="D101" s="13" t="s">
        <v>67</v>
      </c>
      <c r="E101" s="13" t="s">
        <v>79</v>
      </c>
      <c r="F101" s="13" t="s">
        <v>446</v>
      </c>
    </row>
    <row r="102" spans="1:6" x14ac:dyDescent="0.25">
      <c r="A102" s="13" t="s">
        <v>152</v>
      </c>
      <c r="B102" s="16">
        <v>772.13672999999994</v>
      </c>
      <c r="C102" s="13" t="s">
        <v>348</v>
      </c>
      <c r="D102" s="13" t="s">
        <v>69</v>
      </c>
      <c r="E102" s="13" t="s">
        <v>64</v>
      </c>
      <c r="F102" s="13" t="s">
        <v>133</v>
      </c>
    </row>
    <row r="103" spans="1:6" x14ac:dyDescent="0.25">
      <c r="A103" s="13" t="s">
        <v>474</v>
      </c>
      <c r="B103" s="16">
        <v>792.07069999999999</v>
      </c>
      <c r="C103" s="13" t="s">
        <v>245</v>
      </c>
      <c r="D103" s="13" t="s">
        <v>67</v>
      </c>
      <c r="E103" s="13" t="s">
        <v>89</v>
      </c>
      <c r="F103" s="13" t="s">
        <v>291</v>
      </c>
    </row>
    <row r="104" spans="1:6" x14ac:dyDescent="0.25">
      <c r="A104" s="13" t="s">
        <v>530</v>
      </c>
      <c r="B104" s="16">
        <v>801.06970000000001</v>
      </c>
      <c r="C104" s="13" t="s">
        <v>531</v>
      </c>
      <c r="D104" s="13" t="s">
        <v>67</v>
      </c>
      <c r="E104" s="13" t="s">
        <v>89</v>
      </c>
      <c r="F104" s="13" t="s">
        <v>190</v>
      </c>
    </row>
    <row r="105" spans="1:6" x14ac:dyDescent="0.25">
      <c r="A105" s="13" t="s">
        <v>538</v>
      </c>
      <c r="B105" s="16">
        <v>810.08127000000002</v>
      </c>
      <c r="C105" s="13" t="s">
        <v>539</v>
      </c>
      <c r="D105" s="13" t="s">
        <v>67</v>
      </c>
      <c r="E105" s="13" t="s">
        <v>89</v>
      </c>
      <c r="F105" s="13" t="s">
        <v>163</v>
      </c>
    </row>
    <row r="106" spans="1:6" x14ac:dyDescent="0.25">
      <c r="A106" s="13" t="s">
        <v>534</v>
      </c>
      <c r="B106" s="16">
        <v>816.06937000000005</v>
      </c>
      <c r="C106" s="13" t="s">
        <v>535</v>
      </c>
      <c r="D106" s="13" t="s">
        <v>67</v>
      </c>
      <c r="E106" s="13" t="s">
        <v>89</v>
      </c>
      <c r="F106" s="13" t="s">
        <v>201</v>
      </c>
    </row>
    <row r="107" spans="1:6" x14ac:dyDescent="0.25">
      <c r="A107" s="13" t="s">
        <v>530</v>
      </c>
      <c r="B107" s="16">
        <v>819.08025999999995</v>
      </c>
      <c r="C107" s="13" t="s">
        <v>531</v>
      </c>
      <c r="D107" s="13" t="s">
        <v>67</v>
      </c>
      <c r="E107" s="13" t="s">
        <v>58</v>
      </c>
      <c r="F107" s="13" t="s">
        <v>190</v>
      </c>
    </row>
    <row r="108" spans="1:6" x14ac:dyDescent="0.25">
      <c r="A108" s="13" t="s">
        <v>540</v>
      </c>
      <c r="B108" s="16">
        <v>828.09182999999996</v>
      </c>
      <c r="C108" s="13" t="s">
        <v>541</v>
      </c>
      <c r="D108" s="13" t="s">
        <v>67</v>
      </c>
      <c r="E108" s="13" t="s">
        <v>58</v>
      </c>
      <c r="F108" s="13" t="s">
        <v>163</v>
      </c>
    </row>
    <row r="109" spans="1:6" x14ac:dyDescent="0.25">
      <c r="A109" s="13" t="s">
        <v>534</v>
      </c>
      <c r="B109" s="16">
        <v>834.07992999999999</v>
      </c>
      <c r="C109" s="13" t="s">
        <v>535</v>
      </c>
      <c r="D109" s="13" t="s">
        <v>67</v>
      </c>
      <c r="E109" s="13" t="s">
        <v>58</v>
      </c>
      <c r="F109" s="13" t="s">
        <v>201</v>
      </c>
    </row>
    <row r="110" spans="1:6" x14ac:dyDescent="0.25">
      <c r="A110" s="13" t="s">
        <v>468</v>
      </c>
      <c r="B110" s="16">
        <v>834.09249999999997</v>
      </c>
      <c r="C110" s="13" t="s">
        <v>374</v>
      </c>
      <c r="D110" s="13" t="s">
        <v>67</v>
      </c>
      <c r="E110" s="13" t="s">
        <v>89</v>
      </c>
      <c r="F110" s="13" t="s">
        <v>341</v>
      </c>
    </row>
    <row r="111" spans="1:6" x14ac:dyDescent="0.25">
      <c r="A111" s="13" t="s">
        <v>542</v>
      </c>
      <c r="B111" s="16">
        <v>847.1463</v>
      </c>
      <c r="C111" s="13" t="s">
        <v>543</v>
      </c>
      <c r="D111" s="13" t="s">
        <v>67</v>
      </c>
      <c r="E111" s="13" t="s">
        <v>95</v>
      </c>
      <c r="F111" s="13" t="s">
        <v>190</v>
      </c>
    </row>
    <row r="112" spans="1:6" x14ac:dyDescent="0.25">
      <c r="A112" s="13" t="s">
        <v>452</v>
      </c>
      <c r="B112" s="16">
        <v>847.15886999999998</v>
      </c>
      <c r="C112" s="13" t="s">
        <v>245</v>
      </c>
      <c r="D112" s="13" t="s">
        <v>67</v>
      </c>
      <c r="E112" s="13" t="s">
        <v>95</v>
      </c>
      <c r="F112" s="13" t="s">
        <v>291</v>
      </c>
    </row>
    <row r="113" spans="1:6" x14ac:dyDescent="0.25">
      <c r="A113" s="13" t="s">
        <v>468</v>
      </c>
      <c r="B113" s="16">
        <v>852.10307</v>
      </c>
      <c r="C113" s="13" t="s">
        <v>374</v>
      </c>
      <c r="D113" s="13" t="s">
        <v>67</v>
      </c>
      <c r="E113" s="13" t="s">
        <v>58</v>
      </c>
      <c r="F113" s="13" t="s">
        <v>341</v>
      </c>
    </row>
    <row r="114" spans="1:6" x14ac:dyDescent="0.25">
      <c r="A114" s="13" t="s">
        <v>544</v>
      </c>
      <c r="B114" s="16">
        <v>856.15786000000003</v>
      </c>
      <c r="C114" s="13" t="s">
        <v>545</v>
      </c>
      <c r="D114" s="13" t="s">
        <v>67</v>
      </c>
      <c r="E114" s="13" t="s">
        <v>95</v>
      </c>
      <c r="F114" s="13" t="s">
        <v>163</v>
      </c>
    </row>
    <row r="115" spans="1:6" x14ac:dyDescent="0.25">
      <c r="A115" s="13" t="s">
        <v>546</v>
      </c>
      <c r="B115" s="16">
        <v>865.15686000000005</v>
      </c>
      <c r="C115" s="13" t="s">
        <v>547</v>
      </c>
      <c r="D115" s="13" t="s">
        <v>67</v>
      </c>
      <c r="E115" s="13" t="s">
        <v>90</v>
      </c>
      <c r="F115" s="13" t="s">
        <v>190</v>
      </c>
    </row>
    <row r="116" spans="1:6" x14ac:dyDescent="0.25">
      <c r="A116" s="13" t="s">
        <v>548</v>
      </c>
      <c r="B116" s="16">
        <v>865.16943000000003</v>
      </c>
      <c r="C116" s="13" t="s">
        <v>549</v>
      </c>
      <c r="D116" s="13" t="s">
        <v>67</v>
      </c>
      <c r="E116" s="13" t="s">
        <v>90</v>
      </c>
      <c r="F116" s="13" t="s">
        <v>291</v>
      </c>
    </row>
    <row r="117" spans="1:6" x14ac:dyDescent="0.25">
      <c r="A117" s="13" t="s">
        <v>550</v>
      </c>
      <c r="B117" s="16">
        <v>874.16842999999994</v>
      </c>
      <c r="C117" s="13" t="s">
        <v>551</v>
      </c>
      <c r="D117" s="13" t="s">
        <v>67</v>
      </c>
      <c r="E117" s="13" t="s">
        <v>90</v>
      </c>
      <c r="F117" s="13" t="s">
        <v>163</v>
      </c>
    </row>
    <row r="118" spans="1:6" x14ac:dyDescent="0.25">
      <c r="A118" s="13" t="s">
        <v>542</v>
      </c>
      <c r="B118" s="16">
        <v>883.16742999999997</v>
      </c>
      <c r="C118" s="13" t="s">
        <v>543</v>
      </c>
      <c r="D118" s="13" t="s">
        <v>67</v>
      </c>
      <c r="E118" s="13" t="s">
        <v>91</v>
      </c>
      <c r="F118" s="13" t="s">
        <v>190</v>
      </c>
    </row>
    <row r="119" spans="1:6" x14ac:dyDescent="0.25">
      <c r="A119" s="13" t="s">
        <v>113</v>
      </c>
      <c r="B119" s="16">
        <v>883.18</v>
      </c>
      <c r="C119" s="13" t="s">
        <v>348</v>
      </c>
      <c r="D119" s="13" t="s">
        <v>69</v>
      </c>
      <c r="E119" s="13" t="s">
        <v>46</v>
      </c>
      <c r="F119" s="13" t="s">
        <v>133</v>
      </c>
    </row>
    <row r="120" spans="1:6" x14ac:dyDescent="0.25">
      <c r="A120" s="13" t="s">
        <v>544</v>
      </c>
      <c r="B120" s="16">
        <v>892.17899</v>
      </c>
      <c r="C120" s="13" t="s">
        <v>545</v>
      </c>
      <c r="D120" s="13" t="s">
        <v>67</v>
      </c>
      <c r="E120" s="13" t="s">
        <v>91</v>
      </c>
      <c r="F120" s="13" t="s">
        <v>163</v>
      </c>
    </row>
    <row r="121" spans="1:6" x14ac:dyDescent="0.25">
      <c r="A121" s="13" t="s">
        <v>116</v>
      </c>
      <c r="B121" s="16">
        <v>901.19056</v>
      </c>
      <c r="C121" s="13" t="s">
        <v>348</v>
      </c>
      <c r="D121" s="13" t="s">
        <v>69</v>
      </c>
      <c r="E121" s="13" t="s">
        <v>47</v>
      </c>
      <c r="F121" s="13" t="s">
        <v>133</v>
      </c>
    </row>
    <row r="122" spans="1:6" x14ac:dyDescent="0.25">
      <c r="A122" s="13" t="s">
        <v>546</v>
      </c>
      <c r="B122" s="16">
        <v>927.11262999999997</v>
      </c>
      <c r="C122" s="13" t="s">
        <v>547</v>
      </c>
      <c r="D122" s="13" t="s">
        <v>67</v>
      </c>
      <c r="E122" s="13" t="s">
        <v>85</v>
      </c>
      <c r="F122" s="13" t="s">
        <v>190</v>
      </c>
    </row>
    <row r="123" spans="1:6" x14ac:dyDescent="0.25">
      <c r="A123" s="13" t="s">
        <v>552</v>
      </c>
      <c r="B123" s="16">
        <v>927.12519999999995</v>
      </c>
      <c r="C123" s="13" t="s">
        <v>553</v>
      </c>
      <c r="D123" s="13" t="s">
        <v>67</v>
      </c>
      <c r="E123" s="13" t="s">
        <v>85</v>
      </c>
      <c r="F123" s="13" t="s">
        <v>291</v>
      </c>
    </row>
    <row r="124" spans="1:6" x14ac:dyDescent="0.25">
      <c r="A124" s="13" t="s">
        <v>550</v>
      </c>
      <c r="B124" s="16">
        <v>936.12419</v>
      </c>
      <c r="C124" s="13" t="s">
        <v>551</v>
      </c>
      <c r="D124" s="13" t="s">
        <v>67</v>
      </c>
      <c r="E124" s="13" t="s">
        <v>85</v>
      </c>
      <c r="F124" s="13" t="s">
        <v>163</v>
      </c>
    </row>
    <row r="125" spans="1:6" x14ac:dyDescent="0.25">
      <c r="A125" s="13" t="s">
        <v>554</v>
      </c>
      <c r="B125" s="16">
        <v>945.12319000000002</v>
      </c>
      <c r="C125" s="13" t="s">
        <v>555</v>
      </c>
      <c r="D125" s="13" t="s">
        <v>67</v>
      </c>
      <c r="E125" s="13" t="s">
        <v>57</v>
      </c>
      <c r="F125" s="13" t="s">
        <v>190</v>
      </c>
    </row>
    <row r="126" spans="1:6" x14ac:dyDescent="0.25">
      <c r="A126" s="13" t="s">
        <v>165</v>
      </c>
      <c r="B126" s="16">
        <v>945.13576</v>
      </c>
      <c r="C126" s="13" t="s">
        <v>362</v>
      </c>
      <c r="D126" s="13" t="s">
        <v>68</v>
      </c>
      <c r="E126" s="13" t="s">
        <v>45</v>
      </c>
      <c r="F126" s="13" t="s">
        <v>291</v>
      </c>
    </row>
    <row r="127" spans="1:6" x14ac:dyDescent="0.25">
      <c r="A127" s="13" t="s">
        <v>556</v>
      </c>
      <c r="B127" s="16">
        <v>954.13476000000003</v>
      </c>
      <c r="C127" s="13" t="s">
        <v>557</v>
      </c>
      <c r="D127" s="13" t="s">
        <v>67</v>
      </c>
      <c r="E127" s="13" t="s">
        <v>57</v>
      </c>
      <c r="F127" s="13" t="s">
        <v>163</v>
      </c>
    </row>
    <row r="128" spans="1:6" x14ac:dyDescent="0.25">
      <c r="A128" s="13" t="s">
        <v>546</v>
      </c>
      <c r="B128" s="16">
        <v>963.13376000000005</v>
      </c>
      <c r="C128" s="13" t="s">
        <v>547</v>
      </c>
      <c r="D128" s="13" t="s">
        <v>67</v>
      </c>
      <c r="E128" s="13" t="s">
        <v>78</v>
      </c>
      <c r="F128" s="13" t="s">
        <v>190</v>
      </c>
    </row>
    <row r="129" spans="1:6" x14ac:dyDescent="0.25">
      <c r="A129" s="13" t="s">
        <v>139</v>
      </c>
      <c r="B129" s="16">
        <v>963.14633000000003</v>
      </c>
      <c r="C129" s="13" t="s">
        <v>348</v>
      </c>
      <c r="D129" s="13" t="s">
        <v>69</v>
      </c>
      <c r="E129" s="13" t="s">
        <v>48</v>
      </c>
      <c r="F129" s="13" t="s">
        <v>133</v>
      </c>
    </row>
    <row r="130" spans="1:6" x14ac:dyDescent="0.25">
      <c r="A130" s="13" t="s">
        <v>550</v>
      </c>
      <c r="B130" s="16">
        <v>972.14531999999997</v>
      </c>
      <c r="C130" s="13" t="s">
        <v>551</v>
      </c>
      <c r="D130" s="13" t="s">
        <v>67</v>
      </c>
      <c r="E130" s="13" t="s">
        <v>78</v>
      </c>
      <c r="F130" s="13" t="s">
        <v>163</v>
      </c>
    </row>
    <row r="131" spans="1:6" x14ac:dyDescent="0.25">
      <c r="A131" s="13" t="s">
        <v>160</v>
      </c>
      <c r="B131" s="16">
        <v>981.15688999999998</v>
      </c>
      <c r="C131" s="13" t="s">
        <v>348</v>
      </c>
      <c r="D131" s="13" t="s">
        <v>69</v>
      </c>
      <c r="E131" s="13" t="s">
        <v>49</v>
      </c>
      <c r="F131" s="13" t="s">
        <v>133</v>
      </c>
    </row>
    <row r="132" spans="1:6" x14ac:dyDescent="0.25">
      <c r="A132" s="13" t="s">
        <v>542</v>
      </c>
      <c r="B132" s="16">
        <v>1007.0789600000001</v>
      </c>
      <c r="C132" s="13" t="s">
        <v>543</v>
      </c>
      <c r="D132" s="13" t="s">
        <v>67</v>
      </c>
      <c r="E132" s="13" t="s">
        <v>87</v>
      </c>
      <c r="F132" s="13" t="s">
        <v>190</v>
      </c>
    </row>
    <row r="133" spans="1:6" x14ac:dyDescent="0.25">
      <c r="A133" s="13" t="s">
        <v>452</v>
      </c>
      <c r="B133" s="16">
        <v>1007.09153</v>
      </c>
      <c r="C133" s="13" t="s">
        <v>245</v>
      </c>
      <c r="D133" s="13" t="s">
        <v>67</v>
      </c>
      <c r="E133" s="13" t="s">
        <v>87</v>
      </c>
      <c r="F133" s="13" t="s">
        <v>291</v>
      </c>
    </row>
    <row r="134" spans="1:6" x14ac:dyDescent="0.25">
      <c r="A134" s="13" t="s">
        <v>544</v>
      </c>
      <c r="B134" s="16">
        <v>1016.0905299999999</v>
      </c>
      <c r="C134" s="13" t="s">
        <v>545</v>
      </c>
      <c r="D134" s="13" t="s">
        <v>67</v>
      </c>
      <c r="E134" s="13" t="s">
        <v>87</v>
      </c>
      <c r="F134" s="13" t="s">
        <v>163</v>
      </c>
    </row>
    <row r="135" spans="1:6" x14ac:dyDescent="0.25">
      <c r="A135" s="13" t="s">
        <v>546</v>
      </c>
      <c r="B135" s="16">
        <v>1025.08952</v>
      </c>
      <c r="C135" s="13" t="s">
        <v>547</v>
      </c>
      <c r="D135" s="13" t="s">
        <v>67</v>
      </c>
      <c r="E135" s="13" t="s">
        <v>84</v>
      </c>
      <c r="F135" s="13" t="s">
        <v>190</v>
      </c>
    </row>
    <row r="136" spans="1:6" x14ac:dyDescent="0.25">
      <c r="A136" s="13" t="s">
        <v>164</v>
      </c>
      <c r="B136" s="16">
        <v>1025.1020900000001</v>
      </c>
      <c r="C136" s="13" t="s">
        <v>362</v>
      </c>
      <c r="D136" s="13" t="s">
        <v>68</v>
      </c>
      <c r="E136" s="13" t="s">
        <v>17</v>
      </c>
      <c r="F136" s="13" t="s">
        <v>291</v>
      </c>
    </row>
    <row r="137" spans="1:6" x14ac:dyDescent="0.25">
      <c r="A137" s="13" t="s">
        <v>473</v>
      </c>
      <c r="B137" s="16">
        <v>1032.1453200000001</v>
      </c>
      <c r="C137" s="13" t="s">
        <v>417</v>
      </c>
      <c r="D137" s="13" t="s">
        <v>67</v>
      </c>
      <c r="E137" s="13" t="s">
        <v>99</v>
      </c>
      <c r="F137" s="13" t="s">
        <v>292</v>
      </c>
    </row>
    <row r="138" spans="1:6" x14ac:dyDescent="0.25">
      <c r="A138" s="13" t="s">
        <v>550</v>
      </c>
      <c r="B138" s="16">
        <v>1034.1010900000001</v>
      </c>
      <c r="C138" s="13" t="s">
        <v>551</v>
      </c>
      <c r="D138" s="13" t="s">
        <v>67</v>
      </c>
      <c r="E138" s="13" t="s">
        <v>84</v>
      </c>
      <c r="F138" s="13" t="s">
        <v>163</v>
      </c>
    </row>
    <row r="139" spans="1:6" x14ac:dyDescent="0.25">
      <c r="A139" s="13" t="s">
        <v>558</v>
      </c>
      <c r="B139" s="16">
        <v>1041.1443200000001</v>
      </c>
      <c r="C139" s="13" t="s">
        <v>559</v>
      </c>
      <c r="D139" s="13" t="s">
        <v>67</v>
      </c>
      <c r="E139" s="13" t="s">
        <v>99</v>
      </c>
      <c r="F139" s="13" t="s">
        <v>202</v>
      </c>
    </row>
    <row r="140" spans="1:6" x14ac:dyDescent="0.25">
      <c r="A140" s="13" t="s">
        <v>542</v>
      </c>
      <c r="B140" s="16">
        <v>1043.1000899999999</v>
      </c>
      <c r="C140" s="13" t="s">
        <v>543</v>
      </c>
      <c r="D140" s="13" t="s">
        <v>67</v>
      </c>
      <c r="E140" s="13" t="s">
        <v>79</v>
      </c>
      <c r="F140" s="13" t="s">
        <v>190</v>
      </c>
    </row>
    <row r="141" spans="1:6" x14ac:dyDescent="0.25">
      <c r="A141" s="13" t="s">
        <v>162</v>
      </c>
      <c r="B141" s="16">
        <v>1043.11266</v>
      </c>
      <c r="C141" s="13" t="s">
        <v>362</v>
      </c>
      <c r="D141" s="13" t="s">
        <v>68</v>
      </c>
      <c r="E141" s="13" t="s">
        <v>24</v>
      </c>
      <c r="F141" s="13" t="s">
        <v>291</v>
      </c>
    </row>
    <row r="142" spans="1:6" x14ac:dyDescent="0.25">
      <c r="A142" s="13" t="s">
        <v>560</v>
      </c>
      <c r="B142" s="16">
        <v>1050.15589</v>
      </c>
      <c r="C142" s="13" t="s">
        <v>561</v>
      </c>
      <c r="D142" s="13" t="s">
        <v>67</v>
      </c>
      <c r="E142" s="13" t="s">
        <v>94</v>
      </c>
      <c r="F142" s="13" t="s">
        <v>292</v>
      </c>
    </row>
    <row r="143" spans="1:6" x14ac:dyDescent="0.25">
      <c r="A143" s="13" t="s">
        <v>544</v>
      </c>
      <c r="B143" s="16">
        <v>1052.1116500000001</v>
      </c>
      <c r="C143" s="13" t="s">
        <v>545</v>
      </c>
      <c r="D143" s="13" t="s">
        <v>67</v>
      </c>
      <c r="E143" s="13" t="s">
        <v>79</v>
      </c>
      <c r="F143" s="13" t="s">
        <v>163</v>
      </c>
    </row>
    <row r="144" spans="1:6" x14ac:dyDescent="0.25">
      <c r="A144" s="13" t="s">
        <v>562</v>
      </c>
      <c r="B144" s="16">
        <v>1059.15489</v>
      </c>
      <c r="C144" s="13" t="s">
        <v>563</v>
      </c>
      <c r="D144" s="13" t="s">
        <v>67</v>
      </c>
      <c r="E144" s="13" t="s">
        <v>94</v>
      </c>
      <c r="F144" s="13" t="s">
        <v>202</v>
      </c>
    </row>
    <row r="145" spans="1:6" x14ac:dyDescent="0.25">
      <c r="A145" s="13" t="s">
        <v>564</v>
      </c>
      <c r="B145" s="16">
        <v>1059.1674599999999</v>
      </c>
      <c r="C145" s="13" t="s">
        <v>565</v>
      </c>
      <c r="D145" s="13" t="s">
        <v>67</v>
      </c>
      <c r="E145" s="13" t="s">
        <v>99</v>
      </c>
      <c r="F145" s="13" t="s">
        <v>442</v>
      </c>
    </row>
    <row r="146" spans="1:6" x14ac:dyDescent="0.25">
      <c r="A146" s="13" t="s">
        <v>566</v>
      </c>
      <c r="B146" s="16">
        <v>1061.1232199999999</v>
      </c>
      <c r="C146" s="13" t="s">
        <v>567</v>
      </c>
      <c r="D146" s="13" t="s">
        <v>67</v>
      </c>
      <c r="E146" s="13" t="s">
        <v>79</v>
      </c>
      <c r="F146" s="13" t="s">
        <v>440</v>
      </c>
    </row>
    <row r="147" spans="1:6" x14ac:dyDescent="0.25">
      <c r="A147" s="13" t="s">
        <v>568</v>
      </c>
      <c r="B147" s="16">
        <v>1068.1664499999999</v>
      </c>
      <c r="C147" s="13" t="s">
        <v>569</v>
      </c>
      <c r="D147" s="13" t="s">
        <v>67</v>
      </c>
      <c r="E147" s="13" t="s">
        <v>94</v>
      </c>
      <c r="F147" s="13" t="s">
        <v>438</v>
      </c>
    </row>
    <row r="148" spans="1:6" x14ac:dyDescent="0.25">
      <c r="A148" s="13" t="s">
        <v>161</v>
      </c>
      <c r="B148" s="16">
        <v>1077.1780200000001</v>
      </c>
      <c r="C148" s="13" t="s">
        <v>349</v>
      </c>
      <c r="D148" s="13" t="s">
        <v>69</v>
      </c>
      <c r="E148" s="13" t="s">
        <v>64</v>
      </c>
      <c r="F148" s="13" t="s">
        <v>157</v>
      </c>
    </row>
    <row r="149" spans="1:6" x14ac:dyDescent="0.25">
      <c r="A149" s="13" t="s">
        <v>473</v>
      </c>
      <c r="B149" s="16">
        <v>1112.1116500000001</v>
      </c>
      <c r="C149" s="13" t="s">
        <v>417</v>
      </c>
      <c r="D149" s="13" t="s">
        <v>67</v>
      </c>
      <c r="E149" s="13" t="s">
        <v>89</v>
      </c>
      <c r="F149" s="13" t="s">
        <v>292</v>
      </c>
    </row>
    <row r="150" spans="1:6" x14ac:dyDescent="0.25">
      <c r="A150" s="13" t="s">
        <v>562</v>
      </c>
      <c r="B150" s="16">
        <v>1121.1106500000001</v>
      </c>
      <c r="C150" s="13" t="s">
        <v>563</v>
      </c>
      <c r="D150" s="13" t="s">
        <v>67</v>
      </c>
      <c r="E150" s="13" t="s">
        <v>89</v>
      </c>
      <c r="F150" s="13" t="s">
        <v>202</v>
      </c>
    </row>
    <row r="151" spans="1:6" x14ac:dyDescent="0.25">
      <c r="A151" s="13" t="s">
        <v>570</v>
      </c>
      <c r="B151" s="16">
        <v>1130.12222</v>
      </c>
      <c r="C151" s="13" t="s">
        <v>571</v>
      </c>
      <c r="D151" s="13" t="s">
        <v>67</v>
      </c>
      <c r="E151" s="13" t="s">
        <v>89</v>
      </c>
      <c r="F151" s="13" t="s">
        <v>438</v>
      </c>
    </row>
    <row r="152" spans="1:6" x14ac:dyDescent="0.25">
      <c r="A152" s="13" t="s">
        <v>558</v>
      </c>
      <c r="B152" s="16">
        <v>1139.12122</v>
      </c>
      <c r="C152" s="13" t="s">
        <v>559</v>
      </c>
      <c r="D152" s="13" t="s">
        <v>67</v>
      </c>
      <c r="E152" s="13" t="s">
        <v>58</v>
      </c>
      <c r="F152" s="13" t="s">
        <v>202</v>
      </c>
    </row>
    <row r="153" spans="1:6" x14ac:dyDescent="0.25">
      <c r="A153" s="13" t="s">
        <v>564</v>
      </c>
      <c r="B153" s="16">
        <v>1139.1337900000001</v>
      </c>
      <c r="C153" s="13" t="s">
        <v>565</v>
      </c>
      <c r="D153" s="13" t="s">
        <v>67</v>
      </c>
      <c r="E153" s="13" t="s">
        <v>89</v>
      </c>
      <c r="F153" s="13" t="s">
        <v>442</v>
      </c>
    </row>
    <row r="154" spans="1:6" x14ac:dyDescent="0.25">
      <c r="A154" s="13" t="s">
        <v>572</v>
      </c>
      <c r="B154" s="16">
        <v>1148.1327799999999</v>
      </c>
      <c r="C154" s="13" t="s">
        <v>573</v>
      </c>
      <c r="D154" s="13" t="s">
        <v>67</v>
      </c>
      <c r="E154" s="13" t="s">
        <v>58</v>
      </c>
      <c r="F154" s="13" t="s">
        <v>192</v>
      </c>
    </row>
    <row r="155" spans="1:6" x14ac:dyDescent="0.25">
      <c r="A155" s="13" t="s">
        <v>574</v>
      </c>
      <c r="B155" s="16">
        <v>1152.18758</v>
      </c>
      <c r="C155" s="13" t="s">
        <v>575</v>
      </c>
      <c r="D155" s="13" t="s">
        <v>67</v>
      </c>
      <c r="E155" s="13" t="s">
        <v>95</v>
      </c>
      <c r="F155" s="13" t="s">
        <v>202</v>
      </c>
    </row>
    <row r="156" spans="1:6" x14ac:dyDescent="0.25">
      <c r="A156" s="13" t="s">
        <v>564</v>
      </c>
      <c r="B156" s="16">
        <v>1157.14435</v>
      </c>
      <c r="C156" s="13" t="s">
        <v>565</v>
      </c>
      <c r="D156" s="13" t="s">
        <v>67</v>
      </c>
      <c r="E156" s="13" t="s">
        <v>58</v>
      </c>
      <c r="F156" s="13" t="s">
        <v>442</v>
      </c>
    </row>
    <row r="157" spans="1:6" x14ac:dyDescent="0.25">
      <c r="A157" s="13" t="s">
        <v>451</v>
      </c>
      <c r="B157" s="16">
        <v>1167.19982</v>
      </c>
      <c r="C157" s="13" t="s">
        <v>417</v>
      </c>
      <c r="D157" s="13" t="s">
        <v>67</v>
      </c>
      <c r="E157" s="13" t="s">
        <v>95</v>
      </c>
      <c r="F157" s="13" t="s">
        <v>292</v>
      </c>
    </row>
    <row r="158" spans="1:6" x14ac:dyDescent="0.25">
      <c r="A158" s="13" t="s">
        <v>576</v>
      </c>
      <c r="B158" s="16">
        <v>1170.1981499999999</v>
      </c>
      <c r="C158" s="13" t="s">
        <v>577</v>
      </c>
      <c r="D158" s="13" t="s">
        <v>67</v>
      </c>
      <c r="E158" s="13" t="s">
        <v>90</v>
      </c>
      <c r="F158" s="13" t="s">
        <v>202</v>
      </c>
    </row>
    <row r="159" spans="1:6" x14ac:dyDescent="0.25">
      <c r="A159" s="13" t="s">
        <v>441</v>
      </c>
      <c r="B159" s="16">
        <v>1170.21072</v>
      </c>
      <c r="C159" s="13" t="s">
        <v>424</v>
      </c>
      <c r="D159" s="13" t="s">
        <v>67</v>
      </c>
      <c r="E159" s="13" t="s">
        <v>95</v>
      </c>
      <c r="F159" s="13" t="s">
        <v>442</v>
      </c>
    </row>
    <row r="160" spans="1:6" x14ac:dyDescent="0.25">
      <c r="A160" s="13" t="s">
        <v>578</v>
      </c>
      <c r="B160" s="16">
        <v>1176.1988200000001</v>
      </c>
      <c r="C160" s="13" t="s">
        <v>579</v>
      </c>
      <c r="D160" s="13" t="s">
        <v>67</v>
      </c>
      <c r="E160" s="13" t="s">
        <v>95</v>
      </c>
      <c r="F160" s="13" t="s">
        <v>192</v>
      </c>
    </row>
    <row r="161" spans="1:6" x14ac:dyDescent="0.25">
      <c r="A161" s="13" t="s">
        <v>580</v>
      </c>
      <c r="B161" s="16">
        <v>1185.21038</v>
      </c>
      <c r="C161" s="13" t="s">
        <v>581</v>
      </c>
      <c r="D161" s="13" t="s">
        <v>67</v>
      </c>
      <c r="E161" s="13" t="s">
        <v>95</v>
      </c>
      <c r="F161" s="13" t="s">
        <v>438</v>
      </c>
    </row>
    <row r="162" spans="1:6" x14ac:dyDescent="0.25">
      <c r="A162" s="13" t="s">
        <v>574</v>
      </c>
      <c r="B162" s="16">
        <v>1188.2087100000001</v>
      </c>
      <c r="C162" s="13" t="s">
        <v>575</v>
      </c>
      <c r="D162" s="13" t="s">
        <v>67</v>
      </c>
      <c r="E162" s="13" t="s">
        <v>91</v>
      </c>
      <c r="F162" s="13" t="s">
        <v>202</v>
      </c>
    </row>
    <row r="163" spans="1:6" x14ac:dyDescent="0.25">
      <c r="A163" s="13" t="s">
        <v>582</v>
      </c>
      <c r="B163" s="16">
        <v>1188.22128</v>
      </c>
      <c r="C163" s="13" t="s">
        <v>583</v>
      </c>
      <c r="D163" s="13" t="s">
        <v>67</v>
      </c>
      <c r="E163" s="13" t="s">
        <v>90</v>
      </c>
      <c r="F163" s="13" t="s">
        <v>442</v>
      </c>
    </row>
    <row r="164" spans="1:6" x14ac:dyDescent="0.25">
      <c r="A164" s="13" t="s">
        <v>584</v>
      </c>
      <c r="B164" s="16">
        <v>1194.20938</v>
      </c>
      <c r="C164" s="13" t="s">
        <v>585</v>
      </c>
      <c r="D164" s="13" t="s">
        <v>67</v>
      </c>
      <c r="E164" s="13" t="s">
        <v>90</v>
      </c>
      <c r="F164" s="13" t="s">
        <v>192</v>
      </c>
    </row>
    <row r="165" spans="1:6" x14ac:dyDescent="0.25">
      <c r="A165" s="13" t="s">
        <v>156</v>
      </c>
      <c r="B165" s="16">
        <v>1203.2209499999999</v>
      </c>
      <c r="C165" s="13" t="s">
        <v>349</v>
      </c>
      <c r="D165" s="13" t="s">
        <v>69</v>
      </c>
      <c r="E165" s="13" t="s">
        <v>46</v>
      </c>
      <c r="F165" s="13" t="s">
        <v>157</v>
      </c>
    </row>
    <row r="166" spans="1:6" x14ac:dyDescent="0.25">
      <c r="A166" s="13" t="s">
        <v>441</v>
      </c>
      <c r="B166" s="16">
        <v>1206.2318499999999</v>
      </c>
      <c r="C166" s="13" t="s">
        <v>424</v>
      </c>
      <c r="D166" s="13" t="s">
        <v>67</v>
      </c>
      <c r="E166" s="13" t="s">
        <v>91</v>
      </c>
      <c r="F166" s="13" t="s">
        <v>442</v>
      </c>
    </row>
    <row r="167" spans="1:6" x14ac:dyDescent="0.25">
      <c r="A167" s="13" t="s">
        <v>578</v>
      </c>
      <c r="B167" s="16">
        <v>1212.2199499999999</v>
      </c>
      <c r="C167" s="13" t="s">
        <v>579</v>
      </c>
      <c r="D167" s="13" t="s">
        <v>67</v>
      </c>
      <c r="E167" s="13" t="s">
        <v>91</v>
      </c>
      <c r="F167" s="13" t="s">
        <v>192</v>
      </c>
    </row>
    <row r="168" spans="1:6" x14ac:dyDescent="0.25">
      <c r="A168" s="13" t="s">
        <v>158</v>
      </c>
      <c r="B168" s="16">
        <v>1221.2315100000001</v>
      </c>
      <c r="C168" s="13" t="s">
        <v>349</v>
      </c>
      <c r="D168" s="13" t="s">
        <v>69</v>
      </c>
      <c r="E168" s="13" t="s">
        <v>47</v>
      </c>
      <c r="F168" s="13" t="s">
        <v>157</v>
      </c>
    </row>
    <row r="169" spans="1:6" x14ac:dyDescent="0.25">
      <c r="A169" s="13" t="s">
        <v>576</v>
      </c>
      <c r="B169" s="16">
        <v>1232.15391</v>
      </c>
      <c r="C169" s="13" t="s">
        <v>577</v>
      </c>
      <c r="D169" s="13" t="s">
        <v>67</v>
      </c>
      <c r="E169" s="13" t="s">
        <v>85</v>
      </c>
      <c r="F169" s="13" t="s">
        <v>202</v>
      </c>
    </row>
    <row r="170" spans="1:6" x14ac:dyDescent="0.25">
      <c r="A170" s="13" t="s">
        <v>586</v>
      </c>
      <c r="B170" s="16">
        <v>1247.16615</v>
      </c>
      <c r="C170" s="13" t="s">
        <v>587</v>
      </c>
      <c r="D170" s="13" t="s">
        <v>67</v>
      </c>
      <c r="E170" s="13" t="s">
        <v>85</v>
      </c>
      <c r="F170" s="13" t="s">
        <v>292</v>
      </c>
    </row>
    <row r="171" spans="1:6" x14ac:dyDescent="0.25">
      <c r="A171" s="13" t="s">
        <v>588</v>
      </c>
      <c r="B171" s="16">
        <v>1250.1644799999999</v>
      </c>
      <c r="C171" s="13" t="s">
        <v>589</v>
      </c>
      <c r="D171" s="13" t="s">
        <v>67</v>
      </c>
      <c r="E171" s="13" t="s">
        <v>57</v>
      </c>
      <c r="F171" s="13" t="s">
        <v>202</v>
      </c>
    </row>
    <row r="172" spans="1:6" x14ac:dyDescent="0.25">
      <c r="A172" s="13" t="s">
        <v>582</v>
      </c>
      <c r="B172" s="16">
        <v>1250.17705</v>
      </c>
      <c r="C172" s="13" t="s">
        <v>583</v>
      </c>
      <c r="D172" s="13" t="s">
        <v>67</v>
      </c>
      <c r="E172" s="13" t="s">
        <v>85</v>
      </c>
      <c r="F172" s="13" t="s">
        <v>442</v>
      </c>
    </row>
    <row r="173" spans="1:6" x14ac:dyDescent="0.25">
      <c r="A173" s="13" t="s">
        <v>584</v>
      </c>
      <c r="B173" s="16">
        <v>1256.16515</v>
      </c>
      <c r="C173" s="13" t="s">
        <v>585</v>
      </c>
      <c r="D173" s="13" t="s">
        <v>67</v>
      </c>
      <c r="E173" s="13" t="s">
        <v>85</v>
      </c>
      <c r="F173" s="13" t="s">
        <v>192</v>
      </c>
    </row>
    <row r="174" spans="1:6" x14ac:dyDescent="0.25">
      <c r="A174" s="13" t="s">
        <v>194</v>
      </c>
      <c r="B174" s="16">
        <v>1265.17671</v>
      </c>
      <c r="C174" s="13" t="s">
        <v>363</v>
      </c>
      <c r="D174" s="13" t="s">
        <v>68</v>
      </c>
      <c r="E174" s="13" t="s">
        <v>45</v>
      </c>
      <c r="F174" s="13" t="s">
        <v>292</v>
      </c>
    </row>
    <row r="175" spans="1:6" x14ac:dyDescent="0.25">
      <c r="A175" s="13" t="s">
        <v>576</v>
      </c>
      <c r="B175" s="16">
        <v>1268.1750400000001</v>
      </c>
      <c r="C175" s="13" t="s">
        <v>577</v>
      </c>
      <c r="D175" s="13" t="s">
        <v>67</v>
      </c>
      <c r="E175" s="13" t="s">
        <v>78</v>
      </c>
      <c r="F175" s="13" t="s">
        <v>202</v>
      </c>
    </row>
    <row r="176" spans="1:6" x14ac:dyDescent="0.25">
      <c r="A176" s="13" t="s">
        <v>590</v>
      </c>
      <c r="B176" s="16">
        <v>1268.1876099999999</v>
      </c>
      <c r="C176" s="13" t="s">
        <v>591</v>
      </c>
      <c r="D176" s="13" t="s">
        <v>67</v>
      </c>
      <c r="E176" s="13" t="s">
        <v>57</v>
      </c>
      <c r="F176" s="13" t="s">
        <v>442</v>
      </c>
    </row>
    <row r="177" spans="1:6" x14ac:dyDescent="0.25">
      <c r="A177" s="13" t="s">
        <v>592</v>
      </c>
      <c r="B177" s="16">
        <v>1274.17571</v>
      </c>
      <c r="C177" s="13" t="s">
        <v>593</v>
      </c>
      <c r="D177" s="13" t="s">
        <v>67</v>
      </c>
      <c r="E177" s="13" t="s">
        <v>57</v>
      </c>
      <c r="F177" s="13" t="s">
        <v>192</v>
      </c>
    </row>
    <row r="178" spans="1:6" x14ac:dyDescent="0.25">
      <c r="A178" s="13" t="s">
        <v>159</v>
      </c>
      <c r="B178" s="16">
        <v>1283.1872800000001</v>
      </c>
      <c r="C178" s="13" t="s">
        <v>349</v>
      </c>
      <c r="D178" s="13" t="s">
        <v>69</v>
      </c>
      <c r="E178" s="13" t="s">
        <v>48</v>
      </c>
      <c r="F178" s="13" t="s">
        <v>157</v>
      </c>
    </row>
    <row r="179" spans="1:6" x14ac:dyDescent="0.25">
      <c r="A179" s="13" t="s">
        <v>582</v>
      </c>
      <c r="B179" s="16">
        <v>1286.1981800000001</v>
      </c>
      <c r="C179" s="13" t="s">
        <v>583</v>
      </c>
      <c r="D179" s="13" t="s">
        <v>67</v>
      </c>
      <c r="E179" s="13" t="s">
        <v>78</v>
      </c>
      <c r="F179" s="13" t="s">
        <v>442</v>
      </c>
    </row>
    <row r="180" spans="1:6" x14ac:dyDescent="0.25">
      <c r="A180" s="13" t="s">
        <v>584</v>
      </c>
      <c r="B180" s="16">
        <v>1292.1862799999999</v>
      </c>
      <c r="C180" s="13" t="s">
        <v>585</v>
      </c>
      <c r="D180" s="13" t="s">
        <v>67</v>
      </c>
      <c r="E180" s="13" t="s">
        <v>78</v>
      </c>
      <c r="F180" s="13" t="s">
        <v>192</v>
      </c>
    </row>
    <row r="181" spans="1:6" x14ac:dyDescent="0.25">
      <c r="A181" s="13" t="s">
        <v>187</v>
      </c>
      <c r="B181" s="16">
        <v>1301.19784</v>
      </c>
      <c r="C181" s="13" t="s">
        <v>349</v>
      </c>
      <c r="D181" s="13" t="s">
        <v>69</v>
      </c>
      <c r="E181" s="13" t="s">
        <v>49</v>
      </c>
      <c r="F181" s="13" t="s">
        <v>157</v>
      </c>
    </row>
    <row r="182" spans="1:6" x14ac:dyDescent="0.25">
      <c r="A182" s="13" t="s">
        <v>574</v>
      </c>
      <c r="B182" s="16">
        <v>1312.12024</v>
      </c>
      <c r="C182" s="13" t="s">
        <v>575</v>
      </c>
      <c r="D182" s="13" t="s">
        <v>67</v>
      </c>
      <c r="E182" s="13" t="s">
        <v>87</v>
      </c>
      <c r="F182" s="13" t="s">
        <v>202</v>
      </c>
    </row>
    <row r="183" spans="1:6" x14ac:dyDescent="0.25">
      <c r="A183" s="13" t="s">
        <v>451</v>
      </c>
      <c r="B183" s="16">
        <v>1327.13248</v>
      </c>
      <c r="C183" s="13" t="s">
        <v>417</v>
      </c>
      <c r="D183" s="13" t="s">
        <v>67</v>
      </c>
      <c r="E183" s="13" t="s">
        <v>87</v>
      </c>
      <c r="F183" s="13" t="s">
        <v>292</v>
      </c>
    </row>
    <row r="184" spans="1:6" x14ac:dyDescent="0.25">
      <c r="A184" s="13" t="s">
        <v>576</v>
      </c>
      <c r="B184" s="16">
        <v>1330.1308100000001</v>
      </c>
      <c r="C184" s="13" t="s">
        <v>577</v>
      </c>
      <c r="D184" s="13" t="s">
        <v>67</v>
      </c>
      <c r="E184" s="13" t="s">
        <v>84</v>
      </c>
      <c r="F184" s="13" t="s">
        <v>202</v>
      </c>
    </row>
    <row r="185" spans="1:6" x14ac:dyDescent="0.25">
      <c r="A185" s="13" t="s">
        <v>441</v>
      </c>
      <c r="B185" s="16">
        <v>1330.14338</v>
      </c>
      <c r="C185" s="13" t="s">
        <v>424</v>
      </c>
      <c r="D185" s="13" t="s">
        <v>67</v>
      </c>
      <c r="E185" s="13" t="s">
        <v>87</v>
      </c>
      <c r="F185" s="13" t="s">
        <v>442</v>
      </c>
    </row>
    <row r="186" spans="1:6" x14ac:dyDescent="0.25">
      <c r="A186" s="13" t="s">
        <v>578</v>
      </c>
      <c r="B186" s="16">
        <v>1336.13148</v>
      </c>
      <c r="C186" s="13" t="s">
        <v>579</v>
      </c>
      <c r="D186" s="13" t="s">
        <v>67</v>
      </c>
      <c r="E186" s="13" t="s">
        <v>87</v>
      </c>
      <c r="F186" s="13" t="s">
        <v>192</v>
      </c>
    </row>
    <row r="187" spans="1:6" x14ac:dyDescent="0.25">
      <c r="A187" s="13" t="s">
        <v>193</v>
      </c>
      <c r="B187" s="16">
        <v>1345.1430499999999</v>
      </c>
      <c r="C187" s="13" t="s">
        <v>363</v>
      </c>
      <c r="D187" s="13" t="s">
        <v>68</v>
      </c>
      <c r="E187" s="13" t="s">
        <v>17</v>
      </c>
      <c r="F187" s="13" t="s">
        <v>292</v>
      </c>
    </row>
    <row r="188" spans="1:6" x14ac:dyDescent="0.25">
      <c r="A188" s="13" t="s">
        <v>594</v>
      </c>
      <c r="B188" s="16">
        <v>1346.18561</v>
      </c>
      <c r="C188" s="13" t="s">
        <v>595</v>
      </c>
      <c r="D188" s="13" t="s">
        <v>67</v>
      </c>
      <c r="E188" s="13" t="s">
        <v>99</v>
      </c>
      <c r="F188" s="13" t="s">
        <v>213</v>
      </c>
    </row>
    <row r="189" spans="1:6" x14ac:dyDescent="0.25">
      <c r="A189" s="13" t="s">
        <v>574</v>
      </c>
      <c r="B189" s="16">
        <v>1348.1413700000001</v>
      </c>
      <c r="C189" s="13" t="s">
        <v>575</v>
      </c>
      <c r="D189" s="13" t="s">
        <v>67</v>
      </c>
      <c r="E189" s="13" t="s">
        <v>79</v>
      </c>
      <c r="F189" s="13" t="s">
        <v>202</v>
      </c>
    </row>
    <row r="190" spans="1:6" x14ac:dyDescent="0.25">
      <c r="A190" s="13" t="s">
        <v>582</v>
      </c>
      <c r="B190" s="16">
        <v>1348.1539399999999</v>
      </c>
      <c r="C190" s="13" t="s">
        <v>583</v>
      </c>
      <c r="D190" s="13" t="s">
        <v>67</v>
      </c>
      <c r="E190" s="13" t="s">
        <v>84</v>
      </c>
      <c r="F190" s="13" t="s">
        <v>442</v>
      </c>
    </row>
    <row r="191" spans="1:6" x14ac:dyDescent="0.25">
      <c r="A191" s="13" t="s">
        <v>472</v>
      </c>
      <c r="B191" s="16">
        <v>1352.1862799999999</v>
      </c>
      <c r="C191" s="13" t="s">
        <v>409</v>
      </c>
      <c r="D191" s="13" t="s">
        <v>67</v>
      </c>
      <c r="E191" s="13" t="s">
        <v>99</v>
      </c>
      <c r="F191" s="13" t="s">
        <v>293</v>
      </c>
    </row>
    <row r="192" spans="1:6" x14ac:dyDescent="0.25">
      <c r="A192" s="13" t="s">
        <v>584</v>
      </c>
      <c r="B192" s="16">
        <v>1354.14204</v>
      </c>
      <c r="C192" s="13" t="s">
        <v>585</v>
      </c>
      <c r="D192" s="13" t="s">
        <v>67</v>
      </c>
      <c r="E192" s="13" t="s">
        <v>84</v>
      </c>
      <c r="F192" s="13" t="s">
        <v>192</v>
      </c>
    </row>
    <row r="193" spans="1:6" x14ac:dyDescent="0.25">
      <c r="A193" s="13" t="s">
        <v>191</v>
      </c>
      <c r="B193" s="16">
        <v>1363.1536100000001</v>
      </c>
      <c r="C193" s="13" t="s">
        <v>363</v>
      </c>
      <c r="D193" s="13" t="s">
        <v>68</v>
      </c>
      <c r="E193" s="13" t="s">
        <v>24</v>
      </c>
      <c r="F193" s="13" t="s">
        <v>292</v>
      </c>
    </row>
    <row r="194" spans="1:6" x14ac:dyDescent="0.25">
      <c r="A194" s="13" t="s">
        <v>594</v>
      </c>
      <c r="B194" s="16">
        <v>1364.1961699999999</v>
      </c>
      <c r="C194" s="13" t="s">
        <v>595</v>
      </c>
      <c r="D194" s="13" t="s">
        <v>67</v>
      </c>
      <c r="E194" s="13" t="s">
        <v>94</v>
      </c>
      <c r="F194" s="13" t="s">
        <v>213</v>
      </c>
    </row>
    <row r="195" spans="1:6" x14ac:dyDescent="0.25">
      <c r="A195" s="13" t="s">
        <v>466</v>
      </c>
      <c r="B195" s="16">
        <v>1364.20874</v>
      </c>
      <c r="C195" s="13" t="s">
        <v>425</v>
      </c>
      <c r="D195" s="13" t="s">
        <v>67</v>
      </c>
      <c r="E195" s="13" t="s">
        <v>99</v>
      </c>
      <c r="F195" s="13" t="s">
        <v>443</v>
      </c>
    </row>
    <row r="196" spans="1:6" x14ac:dyDescent="0.25">
      <c r="A196" s="13" t="s">
        <v>441</v>
      </c>
      <c r="B196" s="16">
        <v>1366.1645100000001</v>
      </c>
      <c r="C196" s="13" t="s">
        <v>424</v>
      </c>
      <c r="D196" s="13" t="s">
        <v>67</v>
      </c>
      <c r="E196" s="13" t="s">
        <v>79</v>
      </c>
      <c r="F196" s="13" t="s">
        <v>442</v>
      </c>
    </row>
    <row r="197" spans="1:6" x14ac:dyDescent="0.25">
      <c r="A197" s="13" t="s">
        <v>596</v>
      </c>
      <c r="B197" s="16">
        <v>1370.1968400000001</v>
      </c>
      <c r="C197" s="13" t="s">
        <v>597</v>
      </c>
      <c r="D197" s="13" t="s">
        <v>67</v>
      </c>
      <c r="E197" s="13" t="s">
        <v>94</v>
      </c>
      <c r="F197" s="13" t="s">
        <v>293</v>
      </c>
    </row>
    <row r="198" spans="1:6" x14ac:dyDescent="0.25">
      <c r="A198" s="13" t="s">
        <v>578</v>
      </c>
      <c r="B198" s="16">
        <v>1372.1526100000001</v>
      </c>
      <c r="C198" s="13" t="s">
        <v>579</v>
      </c>
      <c r="D198" s="13" t="s">
        <v>67</v>
      </c>
      <c r="E198" s="13" t="s">
        <v>79</v>
      </c>
      <c r="F198" s="13" t="s">
        <v>192</v>
      </c>
    </row>
    <row r="199" spans="1:6" x14ac:dyDescent="0.25">
      <c r="A199" s="13" t="s">
        <v>598</v>
      </c>
      <c r="B199" s="16">
        <v>1379.20841</v>
      </c>
      <c r="C199" s="13" t="s">
        <v>599</v>
      </c>
      <c r="D199" s="13" t="s">
        <v>67</v>
      </c>
      <c r="E199" s="13" t="s">
        <v>99</v>
      </c>
      <c r="F199" s="13" t="s">
        <v>337</v>
      </c>
    </row>
    <row r="200" spans="1:6" x14ac:dyDescent="0.25">
      <c r="A200" s="13" t="s">
        <v>600</v>
      </c>
      <c r="B200" s="16">
        <v>1381.16417</v>
      </c>
      <c r="C200" s="13" t="s">
        <v>601</v>
      </c>
      <c r="D200" s="13" t="s">
        <v>67</v>
      </c>
      <c r="E200" s="13" t="s">
        <v>79</v>
      </c>
      <c r="F200" s="13" t="s">
        <v>438</v>
      </c>
    </row>
    <row r="201" spans="1:6" x14ac:dyDescent="0.25">
      <c r="A201" s="13" t="s">
        <v>466</v>
      </c>
      <c r="B201" s="16">
        <v>1382.21931</v>
      </c>
      <c r="C201" s="13" t="s">
        <v>425</v>
      </c>
      <c r="D201" s="13" t="s">
        <v>67</v>
      </c>
      <c r="E201" s="13" t="s">
        <v>94</v>
      </c>
      <c r="F201" s="13" t="s">
        <v>443</v>
      </c>
    </row>
    <row r="202" spans="1:6" x14ac:dyDescent="0.25">
      <c r="A202" s="13" t="s">
        <v>602</v>
      </c>
      <c r="B202" s="16">
        <v>1388.20741</v>
      </c>
      <c r="C202" s="13" t="s">
        <v>603</v>
      </c>
      <c r="D202" s="13" t="s">
        <v>67</v>
      </c>
      <c r="E202" s="13" t="s">
        <v>94</v>
      </c>
      <c r="F202" s="13" t="s">
        <v>204</v>
      </c>
    </row>
    <row r="203" spans="1:6" x14ac:dyDescent="0.25">
      <c r="A203" s="13" t="s">
        <v>188</v>
      </c>
      <c r="B203" s="16">
        <v>1397.2189699999999</v>
      </c>
      <c r="C203" s="13" t="s">
        <v>350</v>
      </c>
      <c r="D203" s="13" t="s">
        <v>69</v>
      </c>
      <c r="E203" s="13" t="s">
        <v>64</v>
      </c>
      <c r="F203" s="13" t="s">
        <v>184</v>
      </c>
    </row>
    <row r="204" spans="1:6" x14ac:dyDescent="0.25">
      <c r="A204" s="13" t="s">
        <v>594</v>
      </c>
      <c r="B204" s="16">
        <v>1426.15194</v>
      </c>
      <c r="C204" s="13" t="s">
        <v>595</v>
      </c>
      <c r="D204" s="13" t="s">
        <v>67</v>
      </c>
      <c r="E204" s="13" t="s">
        <v>89</v>
      </c>
      <c r="F204" s="13" t="s">
        <v>213</v>
      </c>
    </row>
    <row r="205" spans="1:6" x14ac:dyDescent="0.25">
      <c r="A205" s="13" t="s">
        <v>472</v>
      </c>
      <c r="B205" s="16">
        <v>1432.1526100000001</v>
      </c>
      <c r="C205" s="13" t="s">
        <v>409</v>
      </c>
      <c r="D205" s="13" t="s">
        <v>67</v>
      </c>
      <c r="E205" s="13" t="s">
        <v>89</v>
      </c>
      <c r="F205" s="13" t="s">
        <v>293</v>
      </c>
    </row>
    <row r="206" spans="1:6" x14ac:dyDescent="0.25">
      <c r="A206" s="13" t="s">
        <v>594</v>
      </c>
      <c r="B206" s="16">
        <v>1444.1624999999999</v>
      </c>
      <c r="C206" s="13" t="s">
        <v>595</v>
      </c>
      <c r="D206" s="13" t="s">
        <v>67</v>
      </c>
      <c r="E206" s="13" t="s">
        <v>58</v>
      </c>
      <c r="F206" s="13" t="s">
        <v>213</v>
      </c>
    </row>
    <row r="207" spans="1:6" x14ac:dyDescent="0.25">
      <c r="A207" s="13" t="s">
        <v>466</v>
      </c>
      <c r="B207" s="16">
        <v>1444.17507</v>
      </c>
      <c r="C207" s="13" t="s">
        <v>425</v>
      </c>
      <c r="D207" s="13" t="s">
        <v>67</v>
      </c>
      <c r="E207" s="13" t="s">
        <v>89</v>
      </c>
      <c r="F207" s="13" t="s">
        <v>443</v>
      </c>
    </row>
    <row r="208" spans="1:6" x14ac:dyDescent="0.25">
      <c r="A208" s="13" t="s">
        <v>604</v>
      </c>
      <c r="B208" s="16">
        <v>1450.16317</v>
      </c>
      <c r="C208" s="13" t="s">
        <v>605</v>
      </c>
      <c r="D208" s="13" t="s">
        <v>67</v>
      </c>
      <c r="E208" s="13" t="s">
        <v>58</v>
      </c>
      <c r="F208" s="13" t="s">
        <v>293</v>
      </c>
    </row>
    <row r="209" spans="1:6" x14ac:dyDescent="0.25">
      <c r="A209" s="13" t="s">
        <v>598</v>
      </c>
      <c r="B209" s="16">
        <v>1459.1747399999999</v>
      </c>
      <c r="C209" s="13" t="s">
        <v>599</v>
      </c>
      <c r="D209" s="13" t="s">
        <v>67</v>
      </c>
      <c r="E209" s="13" t="s">
        <v>89</v>
      </c>
      <c r="F209" s="13" t="s">
        <v>337</v>
      </c>
    </row>
    <row r="210" spans="1:6" x14ac:dyDescent="0.25">
      <c r="A210" s="13" t="s">
        <v>466</v>
      </c>
      <c r="B210" s="16">
        <v>1462.1856399999999</v>
      </c>
      <c r="C210" s="13" t="s">
        <v>425</v>
      </c>
      <c r="D210" s="13" t="s">
        <v>67</v>
      </c>
      <c r="E210" s="13" t="s">
        <v>58</v>
      </c>
      <c r="F210" s="13" t="s">
        <v>443</v>
      </c>
    </row>
    <row r="211" spans="1:6" x14ac:dyDescent="0.25">
      <c r="A211" s="13" t="s">
        <v>606</v>
      </c>
      <c r="B211" s="16">
        <v>1468.17374</v>
      </c>
      <c r="C211" s="13" t="s">
        <v>607</v>
      </c>
      <c r="D211" s="13" t="s">
        <v>67</v>
      </c>
      <c r="E211" s="13" t="s">
        <v>58</v>
      </c>
      <c r="F211" s="13" t="s">
        <v>204</v>
      </c>
    </row>
    <row r="212" spans="1:6" x14ac:dyDescent="0.25">
      <c r="A212" s="13" t="s">
        <v>598</v>
      </c>
      <c r="B212" s="16">
        <v>1477.1853000000001</v>
      </c>
      <c r="C212" s="13" t="s">
        <v>599</v>
      </c>
      <c r="D212" s="13" t="s">
        <v>67</v>
      </c>
      <c r="E212" s="13" t="s">
        <v>58</v>
      </c>
      <c r="F212" s="13" t="s">
        <v>337</v>
      </c>
    </row>
    <row r="213" spans="1:6" x14ac:dyDescent="0.25">
      <c r="A213" s="13" t="s">
        <v>608</v>
      </c>
      <c r="B213" s="16">
        <v>1481.2401</v>
      </c>
      <c r="C213" s="13" t="s">
        <v>609</v>
      </c>
      <c r="D213" s="13" t="s">
        <v>67</v>
      </c>
      <c r="E213" s="13" t="s">
        <v>95</v>
      </c>
      <c r="F213" s="13" t="s">
        <v>213</v>
      </c>
    </row>
    <row r="214" spans="1:6" x14ac:dyDescent="0.25">
      <c r="A214" s="13" t="s">
        <v>450</v>
      </c>
      <c r="B214" s="16">
        <v>1487.2407700000001</v>
      </c>
      <c r="C214" s="13" t="s">
        <v>409</v>
      </c>
      <c r="D214" s="13" t="s">
        <v>67</v>
      </c>
      <c r="E214" s="13" t="s">
        <v>95</v>
      </c>
      <c r="F214" s="13" t="s">
        <v>293</v>
      </c>
    </row>
    <row r="215" spans="1:6" x14ac:dyDescent="0.25">
      <c r="A215" s="13" t="s">
        <v>610</v>
      </c>
      <c r="B215" s="16">
        <v>1490.2516700000001</v>
      </c>
      <c r="C215" s="13" t="s">
        <v>611</v>
      </c>
      <c r="D215" s="13" t="s">
        <v>67</v>
      </c>
      <c r="E215" s="13" t="s">
        <v>95</v>
      </c>
      <c r="F215" s="13" t="s">
        <v>337</v>
      </c>
    </row>
    <row r="216" spans="1:6" x14ac:dyDescent="0.25">
      <c r="A216" s="13" t="s">
        <v>612</v>
      </c>
      <c r="B216" s="16">
        <v>1499.2506699999999</v>
      </c>
      <c r="C216" s="13" t="s">
        <v>613</v>
      </c>
      <c r="D216" s="13" t="s">
        <v>67</v>
      </c>
      <c r="E216" s="13" t="s">
        <v>90</v>
      </c>
      <c r="F216" s="13" t="s">
        <v>213</v>
      </c>
    </row>
    <row r="217" spans="1:6" x14ac:dyDescent="0.25">
      <c r="A217" s="13" t="s">
        <v>614</v>
      </c>
      <c r="B217" s="16">
        <v>1505.25134</v>
      </c>
      <c r="C217" s="13" t="s">
        <v>615</v>
      </c>
      <c r="D217" s="13" t="s">
        <v>67</v>
      </c>
      <c r="E217" s="13" t="s">
        <v>90</v>
      </c>
      <c r="F217" s="13" t="s">
        <v>293</v>
      </c>
    </row>
    <row r="218" spans="1:6" x14ac:dyDescent="0.25">
      <c r="A218" s="13" t="s">
        <v>616</v>
      </c>
      <c r="B218" s="16">
        <v>1508.26224</v>
      </c>
      <c r="C218" s="13" t="s">
        <v>617</v>
      </c>
      <c r="D218" s="13" t="s">
        <v>67</v>
      </c>
      <c r="E218" s="13" t="s">
        <v>90</v>
      </c>
      <c r="F218" s="13" t="s">
        <v>337</v>
      </c>
    </row>
    <row r="219" spans="1:6" x14ac:dyDescent="0.25">
      <c r="A219" s="13" t="s">
        <v>608</v>
      </c>
      <c r="B219" s="16">
        <v>1517.2612300000001</v>
      </c>
      <c r="C219" s="13" t="s">
        <v>609</v>
      </c>
      <c r="D219" s="13" t="s">
        <v>67</v>
      </c>
      <c r="E219" s="13" t="s">
        <v>91</v>
      </c>
      <c r="F219" s="13" t="s">
        <v>213</v>
      </c>
    </row>
    <row r="220" spans="1:6" x14ac:dyDescent="0.25">
      <c r="A220" s="13" t="s">
        <v>183</v>
      </c>
      <c r="B220" s="16">
        <v>1523.2619</v>
      </c>
      <c r="C220" s="13" t="s">
        <v>350</v>
      </c>
      <c r="D220" s="13" t="s">
        <v>69</v>
      </c>
      <c r="E220" s="13" t="s">
        <v>46</v>
      </c>
      <c r="F220" s="13" t="s">
        <v>184</v>
      </c>
    </row>
    <row r="221" spans="1:6" x14ac:dyDescent="0.25">
      <c r="A221" s="13" t="s">
        <v>610</v>
      </c>
      <c r="B221" s="16">
        <v>1526.2728</v>
      </c>
      <c r="C221" s="13" t="s">
        <v>611</v>
      </c>
      <c r="D221" s="13" t="s">
        <v>67</v>
      </c>
      <c r="E221" s="13" t="s">
        <v>91</v>
      </c>
      <c r="F221" s="13" t="s">
        <v>337</v>
      </c>
    </row>
    <row r="222" spans="1:6" x14ac:dyDescent="0.25">
      <c r="A222" s="13" t="s">
        <v>185</v>
      </c>
      <c r="B222" s="16">
        <v>1541.2724700000001</v>
      </c>
      <c r="C222" s="13" t="s">
        <v>350</v>
      </c>
      <c r="D222" s="13" t="s">
        <v>69</v>
      </c>
      <c r="E222" s="13" t="s">
        <v>47</v>
      </c>
      <c r="F222" s="13" t="s">
        <v>184</v>
      </c>
    </row>
    <row r="223" spans="1:6" x14ac:dyDescent="0.25">
      <c r="A223" s="13" t="s">
        <v>612</v>
      </c>
      <c r="B223" s="16">
        <v>1561.20643</v>
      </c>
      <c r="C223" s="13" t="s">
        <v>613</v>
      </c>
      <c r="D223" s="13" t="s">
        <v>67</v>
      </c>
      <c r="E223" s="13" t="s">
        <v>85</v>
      </c>
      <c r="F223" s="13" t="s">
        <v>213</v>
      </c>
    </row>
    <row r="224" spans="1:6" x14ac:dyDescent="0.25">
      <c r="A224" s="13" t="s">
        <v>618</v>
      </c>
      <c r="B224" s="16">
        <v>1567.2071000000001</v>
      </c>
      <c r="C224" s="13" t="s">
        <v>619</v>
      </c>
      <c r="D224" s="13" t="s">
        <v>67</v>
      </c>
      <c r="E224" s="13" t="s">
        <v>85</v>
      </c>
      <c r="F224" s="13" t="s">
        <v>293</v>
      </c>
    </row>
    <row r="225" spans="1:6" x14ac:dyDescent="0.25">
      <c r="A225" s="13" t="s">
        <v>616</v>
      </c>
      <c r="B225" s="16">
        <v>1570.2180000000001</v>
      </c>
      <c r="C225" s="13" t="s">
        <v>617</v>
      </c>
      <c r="D225" s="13" t="s">
        <v>67</v>
      </c>
      <c r="E225" s="13" t="s">
        <v>85</v>
      </c>
      <c r="F225" s="13" t="s">
        <v>337</v>
      </c>
    </row>
    <row r="226" spans="1:6" x14ac:dyDescent="0.25">
      <c r="A226" s="13" t="s">
        <v>620</v>
      </c>
      <c r="B226" s="16">
        <v>1579.2170000000001</v>
      </c>
      <c r="C226" s="13" t="s">
        <v>621</v>
      </c>
      <c r="D226" s="13" t="s">
        <v>67</v>
      </c>
      <c r="E226" s="13" t="s">
        <v>57</v>
      </c>
      <c r="F226" s="13" t="s">
        <v>213</v>
      </c>
    </row>
    <row r="227" spans="1:6" x14ac:dyDescent="0.25">
      <c r="A227" s="13" t="s">
        <v>206</v>
      </c>
      <c r="B227" s="16">
        <v>1585.21767</v>
      </c>
      <c r="C227" s="13" t="s">
        <v>364</v>
      </c>
      <c r="D227" s="13" t="s">
        <v>68</v>
      </c>
      <c r="E227" s="13" t="s">
        <v>45</v>
      </c>
      <c r="F227" s="13" t="s">
        <v>293</v>
      </c>
    </row>
    <row r="228" spans="1:6" x14ac:dyDescent="0.25">
      <c r="A228" s="13" t="s">
        <v>622</v>
      </c>
      <c r="B228" s="16">
        <v>1588.22857</v>
      </c>
      <c r="C228" s="13" t="s">
        <v>623</v>
      </c>
      <c r="D228" s="13" t="s">
        <v>67</v>
      </c>
      <c r="E228" s="13" t="s">
        <v>57</v>
      </c>
      <c r="F228" s="13" t="s">
        <v>337</v>
      </c>
    </row>
    <row r="229" spans="1:6" x14ac:dyDescent="0.25">
      <c r="A229" s="13" t="s">
        <v>612</v>
      </c>
      <c r="B229" s="16">
        <v>1597.22756</v>
      </c>
      <c r="C229" s="13" t="s">
        <v>613</v>
      </c>
      <c r="D229" s="13" t="s">
        <v>67</v>
      </c>
      <c r="E229" s="13" t="s">
        <v>78</v>
      </c>
      <c r="F229" s="13" t="s">
        <v>213</v>
      </c>
    </row>
    <row r="230" spans="1:6" x14ac:dyDescent="0.25">
      <c r="A230" s="13" t="s">
        <v>186</v>
      </c>
      <c r="B230" s="16">
        <v>1603.2282299999999</v>
      </c>
      <c r="C230" s="13" t="s">
        <v>350</v>
      </c>
      <c r="D230" s="13" t="s">
        <v>69</v>
      </c>
      <c r="E230" s="13" t="s">
        <v>48</v>
      </c>
      <c r="F230" s="13" t="s">
        <v>184</v>
      </c>
    </row>
    <row r="231" spans="1:6" x14ac:dyDescent="0.25">
      <c r="A231" s="13" t="s">
        <v>616</v>
      </c>
      <c r="B231" s="16">
        <v>1606.2391299999999</v>
      </c>
      <c r="C231" s="13" t="s">
        <v>617</v>
      </c>
      <c r="D231" s="13" t="s">
        <v>67</v>
      </c>
      <c r="E231" s="13" t="s">
        <v>78</v>
      </c>
      <c r="F231" s="13" t="s">
        <v>337</v>
      </c>
    </row>
    <row r="232" spans="1:6" x14ac:dyDescent="0.25">
      <c r="A232" s="13" t="s">
        <v>199</v>
      </c>
      <c r="B232" s="16">
        <v>1621.2388000000001</v>
      </c>
      <c r="C232" s="13" t="s">
        <v>350</v>
      </c>
      <c r="D232" s="13" t="s">
        <v>69</v>
      </c>
      <c r="E232" s="13" t="s">
        <v>49</v>
      </c>
      <c r="F232" s="13" t="s">
        <v>184</v>
      </c>
    </row>
    <row r="233" spans="1:6" x14ac:dyDescent="0.25">
      <c r="A233" s="13" t="s">
        <v>608</v>
      </c>
      <c r="B233" s="16">
        <v>1641.1727599999999</v>
      </c>
      <c r="C233" s="13" t="s">
        <v>609</v>
      </c>
      <c r="D233" s="13" t="s">
        <v>67</v>
      </c>
      <c r="E233" s="13" t="s">
        <v>87</v>
      </c>
      <c r="F233" s="13" t="s">
        <v>213</v>
      </c>
    </row>
    <row r="234" spans="1:6" x14ac:dyDescent="0.25">
      <c r="A234" s="13" t="s">
        <v>450</v>
      </c>
      <c r="B234" s="16">
        <v>1647.1734300000001</v>
      </c>
      <c r="C234" s="13" t="s">
        <v>409</v>
      </c>
      <c r="D234" s="13" t="s">
        <v>67</v>
      </c>
      <c r="E234" s="13" t="s">
        <v>87</v>
      </c>
      <c r="F234" s="13" t="s">
        <v>293</v>
      </c>
    </row>
    <row r="235" spans="1:6" x14ac:dyDescent="0.25">
      <c r="A235" s="13" t="s">
        <v>610</v>
      </c>
      <c r="B235" s="16">
        <v>1650.18433</v>
      </c>
      <c r="C235" s="13" t="s">
        <v>611</v>
      </c>
      <c r="D235" s="13" t="s">
        <v>67</v>
      </c>
      <c r="E235" s="13" t="s">
        <v>87</v>
      </c>
      <c r="F235" s="13" t="s">
        <v>337</v>
      </c>
    </row>
    <row r="236" spans="1:6" x14ac:dyDescent="0.25">
      <c r="A236" s="13" t="s">
        <v>471</v>
      </c>
      <c r="B236" s="16">
        <v>1657.22756</v>
      </c>
      <c r="C236" s="13" t="s">
        <v>399</v>
      </c>
      <c r="D236" s="13" t="s">
        <v>67</v>
      </c>
      <c r="E236" s="13" t="s">
        <v>99</v>
      </c>
      <c r="F236" s="13" t="s">
        <v>294</v>
      </c>
    </row>
    <row r="237" spans="1:6" x14ac:dyDescent="0.25">
      <c r="A237" s="13" t="s">
        <v>612</v>
      </c>
      <c r="B237" s="16">
        <v>1659.1833300000001</v>
      </c>
      <c r="C237" s="13" t="s">
        <v>613</v>
      </c>
      <c r="D237" s="13" t="s">
        <v>67</v>
      </c>
      <c r="E237" s="13" t="s">
        <v>84</v>
      </c>
      <c r="F237" s="13" t="s">
        <v>213</v>
      </c>
    </row>
    <row r="238" spans="1:6" x14ac:dyDescent="0.25">
      <c r="A238" s="13" t="s">
        <v>205</v>
      </c>
      <c r="B238" s="16">
        <v>1665.184</v>
      </c>
      <c r="C238" s="13" t="s">
        <v>364</v>
      </c>
      <c r="D238" s="13" t="s">
        <v>68</v>
      </c>
      <c r="E238" s="13" t="s">
        <v>17</v>
      </c>
      <c r="F238" s="13" t="s">
        <v>293</v>
      </c>
    </row>
    <row r="239" spans="1:6" x14ac:dyDescent="0.25">
      <c r="A239" s="13" t="s">
        <v>616</v>
      </c>
      <c r="B239" s="16">
        <v>1668.1949</v>
      </c>
      <c r="C239" s="13" t="s">
        <v>617</v>
      </c>
      <c r="D239" s="13" t="s">
        <v>67</v>
      </c>
      <c r="E239" s="13" t="s">
        <v>84</v>
      </c>
      <c r="F239" s="13" t="s">
        <v>337</v>
      </c>
    </row>
    <row r="240" spans="1:6" x14ac:dyDescent="0.25">
      <c r="A240" s="13" t="s">
        <v>624</v>
      </c>
      <c r="B240" s="16">
        <v>1675.23813</v>
      </c>
      <c r="C240" s="13" t="s">
        <v>625</v>
      </c>
      <c r="D240" s="13" t="s">
        <v>67</v>
      </c>
      <c r="E240" s="13" t="s">
        <v>94</v>
      </c>
      <c r="F240" s="13" t="s">
        <v>294</v>
      </c>
    </row>
    <row r="241" spans="1:6" x14ac:dyDescent="0.25">
      <c r="A241" s="13" t="s">
        <v>608</v>
      </c>
      <c r="B241" s="16">
        <v>1677.19389</v>
      </c>
      <c r="C241" s="13" t="s">
        <v>609</v>
      </c>
      <c r="D241" s="13" t="s">
        <v>67</v>
      </c>
      <c r="E241" s="13" t="s">
        <v>79</v>
      </c>
      <c r="F241" s="13" t="s">
        <v>213</v>
      </c>
    </row>
    <row r="242" spans="1:6" x14ac:dyDescent="0.25">
      <c r="A242" s="13" t="s">
        <v>203</v>
      </c>
      <c r="B242" s="16">
        <v>1683.1945599999999</v>
      </c>
      <c r="C242" s="13" t="s">
        <v>364</v>
      </c>
      <c r="D242" s="13" t="s">
        <v>68</v>
      </c>
      <c r="E242" s="13" t="s">
        <v>24</v>
      </c>
      <c r="F242" s="13" t="s">
        <v>293</v>
      </c>
    </row>
    <row r="243" spans="1:6" x14ac:dyDescent="0.25">
      <c r="A243" s="13" t="s">
        <v>626</v>
      </c>
      <c r="B243" s="16">
        <v>1684.2497000000001</v>
      </c>
      <c r="C243" s="13" t="s">
        <v>627</v>
      </c>
      <c r="D243" s="13" t="s">
        <v>67</v>
      </c>
      <c r="E243" s="13" t="s">
        <v>99</v>
      </c>
      <c r="F243" s="13" t="s">
        <v>338</v>
      </c>
    </row>
    <row r="244" spans="1:6" x14ac:dyDescent="0.25">
      <c r="A244" s="13" t="s">
        <v>610</v>
      </c>
      <c r="B244" s="16">
        <v>1686.2054599999999</v>
      </c>
      <c r="C244" s="13" t="s">
        <v>611</v>
      </c>
      <c r="D244" s="13" t="s">
        <v>67</v>
      </c>
      <c r="E244" s="13" t="s">
        <v>79</v>
      </c>
      <c r="F244" s="13" t="s">
        <v>337</v>
      </c>
    </row>
    <row r="245" spans="1:6" x14ac:dyDescent="0.25">
      <c r="A245" s="13" t="s">
        <v>628</v>
      </c>
      <c r="B245" s="16">
        <v>1693.2486899999999</v>
      </c>
      <c r="C245" s="13" t="s">
        <v>629</v>
      </c>
      <c r="D245" s="13" t="s">
        <v>67</v>
      </c>
      <c r="E245" s="13" t="s">
        <v>94</v>
      </c>
      <c r="F245" s="13" t="s">
        <v>220</v>
      </c>
    </row>
    <row r="246" spans="1:6" x14ac:dyDescent="0.25">
      <c r="A246" s="13" t="s">
        <v>630</v>
      </c>
      <c r="B246" s="16">
        <v>1699.24936</v>
      </c>
      <c r="C246" s="13" t="s">
        <v>631</v>
      </c>
      <c r="D246" s="13" t="s">
        <v>67</v>
      </c>
      <c r="E246" s="13" t="s">
        <v>99</v>
      </c>
      <c r="F246" s="13" t="s">
        <v>334</v>
      </c>
    </row>
    <row r="247" spans="1:6" x14ac:dyDescent="0.25">
      <c r="A247" s="13" t="s">
        <v>632</v>
      </c>
      <c r="B247" s="16">
        <v>1701.2051300000001</v>
      </c>
      <c r="C247" s="13" t="s">
        <v>633</v>
      </c>
      <c r="D247" s="13" t="s">
        <v>67</v>
      </c>
      <c r="E247" s="13" t="s">
        <v>79</v>
      </c>
      <c r="F247" s="13" t="s">
        <v>333</v>
      </c>
    </row>
    <row r="248" spans="1:6" x14ac:dyDescent="0.25">
      <c r="A248" s="13" t="s">
        <v>626</v>
      </c>
      <c r="B248" s="16">
        <v>1702.26026</v>
      </c>
      <c r="C248" s="13" t="s">
        <v>627</v>
      </c>
      <c r="D248" s="13" t="s">
        <v>67</v>
      </c>
      <c r="E248" s="13" t="s">
        <v>94</v>
      </c>
      <c r="F248" s="13" t="s">
        <v>338</v>
      </c>
    </row>
    <row r="249" spans="1:6" x14ac:dyDescent="0.25">
      <c r="A249" s="13" t="s">
        <v>200</v>
      </c>
      <c r="B249" s="16">
        <v>1717.2599299999999</v>
      </c>
      <c r="C249" s="13" t="s">
        <v>351</v>
      </c>
      <c r="D249" s="13" t="s">
        <v>69</v>
      </c>
      <c r="E249" s="13" t="s">
        <v>64</v>
      </c>
      <c r="F249" s="13" t="s">
        <v>196</v>
      </c>
    </row>
    <row r="250" spans="1:6" x14ac:dyDescent="0.25">
      <c r="A250" s="13" t="s">
        <v>471</v>
      </c>
      <c r="B250" s="16">
        <v>1737.19389</v>
      </c>
      <c r="C250" s="13" t="s">
        <v>399</v>
      </c>
      <c r="D250" s="13" t="s">
        <v>67</v>
      </c>
      <c r="E250" s="13" t="s">
        <v>89</v>
      </c>
      <c r="F250" s="13" t="s">
        <v>294</v>
      </c>
    </row>
    <row r="251" spans="1:6" x14ac:dyDescent="0.25">
      <c r="A251" s="13" t="s">
        <v>624</v>
      </c>
      <c r="B251" s="16">
        <v>1755.2044599999999</v>
      </c>
      <c r="C251" s="13" t="s">
        <v>625</v>
      </c>
      <c r="D251" s="13" t="s">
        <v>67</v>
      </c>
      <c r="E251" s="13" t="s">
        <v>58</v>
      </c>
      <c r="F251" s="13" t="s">
        <v>294</v>
      </c>
    </row>
    <row r="252" spans="1:6" x14ac:dyDescent="0.25">
      <c r="A252" s="13" t="s">
        <v>626</v>
      </c>
      <c r="B252" s="16">
        <v>1764.21603</v>
      </c>
      <c r="C252" s="13" t="s">
        <v>627</v>
      </c>
      <c r="D252" s="13" t="s">
        <v>67</v>
      </c>
      <c r="E252" s="13" t="s">
        <v>89</v>
      </c>
      <c r="F252" s="13" t="s">
        <v>338</v>
      </c>
    </row>
    <row r="253" spans="1:6" x14ac:dyDescent="0.25">
      <c r="A253" s="13" t="s">
        <v>628</v>
      </c>
      <c r="B253" s="16">
        <v>1773.2150200000001</v>
      </c>
      <c r="C253" s="13" t="s">
        <v>629</v>
      </c>
      <c r="D253" s="13" t="s">
        <v>67</v>
      </c>
      <c r="E253" s="13" t="s">
        <v>58</v>
      </c>
      <c r="F253" s="13" t="s">
        <v>220</v>
      </c>
    </row>
    <row r="254" spans="1:6" x14ac:dyDescent="0.25">
      <c r="A254" s="13" t="s">
        <v>630</v>
      </c>
      <c r="B254" s="16">
        <v>1779.21569</v>
      </c>
      <c r="C254" s="13" t="s">
        <v>631</v>
      </c>
      <c r="D254" s="13" t="s">
        <v>67</v>
      </c>
      <c r="E254" s="13" t="s">
        <v>89</v>
      </c>
      <c r="F254" s="13" t="s">
        <v>334</v>
      </c>
    </row>
    <row r="255" spans="1:6" x14ac:dyDescent="0.25">
      <c r="A255" s="13" t="s">
        <v>626</v>
      </c>
      <c r="B255" s="16">
        <v>1782.22659</v>
      </c>
      <c r="C255" s="13" t="s">
        <v>627</v>
      </c>
      <c r="D255" s="13" t="s">
        <v>67</v>
      </c>
      <c r="E255" s="13" t="s">
        <v>58</v>
      </c>
      <c r="F255" s="13" t="s">
        <v>338</v>
      </c>
    </row>
    <row r="256" spans="1:6" x14ac:dyDescent="0.25">
      <c r="A256" s="13" t="s">
        <v>449</v>
      </c>
      <c r="B256" s="16">
        <v>1792.28206</v>
      </c>
      <c r="C256" s="13" t="s">
        <v>399</v>
      </c>
      <c r="D256" s="13" t="s">
        <v>67</v>
      </c>
      <c r="E256" s="13" t="s">
        <v>95</v>
      </c>
      <c r="F256" s="13" t="s">
        <v>294</v>
      </c>
    </row>
    <row r="257" spans="1:6" x14ac:dyDescent="0.25">
      <c r="A257" s="13" t="s">
        <v>630</v>
      </c>
      <c r="B257" s="16">
        <v>1797.2262599999999</v>
      </c>
      <c r="C257" s="13" t="s">
        <v>631</v>
      </c>
      <c r="D257" s="13" t="s">
        <v>67</v>
      </c>
      <c r="E257" s="13" t="s">
        <v>58</v>
      </c>
      <c r="F257" s="13" t="s">
        <v>334</v>
      </c>
    </row>
    <row r="258" spans="1:6" x14ac:dyDescent="0.25">
      <c r="A258" s="13" t="s">
        <v>634</v>
      </c>
      <c r="B258" s="16">
        <v>1810.2926199999999</v>
      </c>
      <c r="C258" s="13" t="s">
        <v>635</v>
      </c>
      <c r="D258" s="13" t="s">
        <v>67</v>
      </c>
      <c r="E258" s="13" t="s">
        <v>90</v>
      </c>
      <c r="F258" s="13" t="s">
        <v>294</v>
      </c>
    </row>
    <row r="259" spans="1:6" x14ac:dyDescent="0.25">
      <c r="A259" s="13" t="s">
        <v>195</v>
      </c>
      <c r="B259" s="16">
        <v>1828.3031900000001</v>
      </c>
      <c r="C259" s="13" t="s">
        <v>351</v>
      </c>
      <c r="D259" s="13" t="s">
        <v>69</v>
      </c>
      <c r="E259" s="13" t="s">
        <v>46</v>
      </c>
      <c r="F259" s="13" t="s">
        <v>196</v>
      </c>
    </row>
    <row r="260" spans="1:6" x14ac:dyDescent="0.25">
      <c r="A260" s="13" t="s">
        <v>197</v>
      </c>
      <c r="B260" s="16">
        <v>1846.31375</v>
      </c>
      <c r="C260" s="13" t="s">
        <v>351</v>
      </c>
      <c r="D260" s="13" t="s">
        <v>69</v>
      </c>
      <c r="E260" s="13" t="s">
        <v>47</v>
      </c>
      <c r="F260" s="13" t="s">
        <v>196</v>
      </c>
    </row>
    <row r="261" spans="1:6" x14ac:dyDescent="0.25">
      <c r="A261" s="13" t="s">
        <v>636</v>
      </c>
      <c r="B261" s="16">
        <v>1872.24839</v>
      </c>
      <c r="C261" s="13" t="s">
        <v>637</v>
      </c>
      <c r="D261" s="13" t="s">
        <v>67</v>
      </c>
      <c r="E261" s="13" t="s">
        <v>85</v>
      </c>
      <c r="F261" s="13" t="s">
        <v>294</v>
      </c>
    </row>
    <row r="262" spans="1:6" x14ac:dyDescent="0.25">
      <c r="A262" s="13" t="s">
        <v>216</v>
      </c>
      <c r="B262" s="16">
        <v>1890.2589499999999</v>
      </c>
      <c r="C262" s="13" t="s">
        <v>365</v>
      </c>
      <c r="D262" s="13" t="s">
        <v>68</v>
      </c>
      <c r="E262" s="13" t="s">
        <v>45</v>
      </c>
      <c r="F262" s="13" t="s">
        <v>294</v>
      </c>
    </row>
    <row r="263" spans="1:6" x14ac:dyDescent="0.25">
      <c r="A263" s="13" t="s">
        <v>198</v>
      </c>
      <c r="B263" s="16">
        <v>1908.2695200000001</v>
      </c>
      <c r="C263" s="13" t="s">
        <v>351</v>
      </c>
      <c r="D263" s="13" t="s">
        <v>69</v>
      </c>
      <c r="E263" s="13" t="s">
        <v>48</v>
      </c>
      <c r="F263" s="13" t="s">
        <v>196</v>
      </c>
    </row>
    <row r="264" spans="1:6" x14ac:dyDescent="0.25">
      <c r="A264" s="13" t="s">
        <v>211</v>
      </c>
      <c r="B264" s="16">
        <v>1926.28008</v>
      </c>
      <c r="C264" s="13" t="s">
        <v>351</v>
      </c>
      <c r="D264" s="13" t="s">
        <v>69</v>
      </c>
      <c r="E264" s="13" t="s">
        <v>49</v>
      </c>
      <c r="F264" s="13" t="s">
        <v>196</v>
      </c>
    </row>
    <row r="265" spans="1:6" x14ac:dyDescent="0.25">
      <c r="A265" s="13" t="s">
        <v>449</v>
      </c>
      <c r="B265" s="16">
        <v>1952.2147199999999</v>
      </c>
      <c r="C265" s="13" t="s">
        <v>399</v>
      </c>
      <c r="D265" s="13" t="s">
        <v>67</v>
      </c>
      <c r="E265" s="13" t="s">
        <v>87</v>
      </c>
      <c r="F265" s="13" t="s">
        <v>294</v>
      </c>
    </row>
    <row r="266" spans="1:6" x14ac:dyDescent="0.25">
      <c r="A266" s="13" t="s">
        <v>215</v>
      </c>
      <c r="B266" s="16">
        <v>1970.2252800000001</v>
      </c>
      <c r="C266" s="13" t="s">
        <v>365</v>
      </c>
      <c r="D266" s="13" t="s">
        <v>68</v>
      </c>
      <c r="E266" s="13" t="s">
        <v>17</v>
      </c>
      <c r="F266" s="13" t="s">
        <v>294</v>
      </c>
    </row>
    <row r="267" spans="1:6" x14ac:dyDescent="0.25">
      <c r="A267" s="13" t="s">
        <v>470</v>
      </c>
      <c r="B267" s="16">
        <v>1986.28008</v>
      </c>
      <c r="C267" s="13" t="s">
        <v>389</v>
      </c>
      <c r="D267" s="13" t="s">
        <v>67</v>
      </c>
      <c r="E267" s="13" t="s">
        <v>99</v>
      </c>
      <c r="F267" s="13" t="s">
        <v>296</v>
      </c>
    </row>
    <row r="268" spans="1:6" x14ac:dyDescent="0.25">
      <c r="A268" s="13" t="s">
        <v>214</v>
      </c>
      <c r="B268" s="16">
        <v>1988.23585</v>
      </c>
      <c r="C268" s="13" t="s">
        <v>365</v>
      </c>
      <c r="D268" s="13" t="s">
        <v>68</v>
      </c>
      <c r="E268" s="13" t="s">
        <v>24</v>
      </c>
      <c r="F268" s="13" t="s">
        <v>294</v>
      </c>
    </row>
    <row r="269" spans="1:6" x14ac:dyDescent="0.25">
      <c r="A269" s="13" t="s">
        <v>638</v>
      </c>
      <c r="B269" s="16">
        <v>2004.2906499999999</v>
      </c>
      <c r="C269" s="13" t="s">
        <v>639</v>
      </c>
      <c r="D269" s="13" t="s">
        <v>67</v>
      </c>
      <c r="E269" s="13" t="s">
        <v>94</v>
      </c>
      <c r="F269" s="13" t="s">
        <v>296</v>
      </c>
    </row>
    <row r="270" spans="1:6" x14ac:dyDescent="0.25">
      <c r="A270" s="13" t="s">
        <v>640</v>
      </c>
      <c r="B270" s="16">
        <v>2006.24641</v>
      </c>
      <c r="C270" s="13" t="s">
        <v>641</v>
      </c>
      <c r="D270" s="13" t="s">
        <v>67</v>
      </c>
      <c r="E270" s="13" t="s">
        <v>79</v>
      </c>
      <c r="F270" s="13" t="s">
        <v>220</v>
      </c>
    </row>
    <row r="271" spans="1:6" x14ac:dyDescent="0.25">
      <c r="A271" s="13" t="s">
        <v>212</v>
      </c>
      <c r="B271" s="16">
        <v>2022.3012100000001</v>
      </c>
      <c r="C271" s="13" t="s">
        <v>352</v>
      </c>
      <c r="D271" s="13" t="s">
        <v>69</v>
      </c>
      <c r="E271" s="13" t="s">
        <v>64</v>
      </c>
      <c r="F271" s="13" t="s">
        <v>209</v>
      </c>
    </row>
    <row r="272" spans="1:6" x14ac:dyDescent="0.25">
      <c r="A272" s="13" t="s">
        <v>470</v>
      </c>
      <c r="B272" s="16">
        <v>2066.2464100000002</v>
      </c>
      <c r="C272" s="13" t="s">
        <v>389</v>
      </c>
      <c r="D272" s="13" t="s">
        <v>67</v>
      </c>
      <c r="E272" s="13" t="s">
        <v>89</v>
      </c>
      <c r="F272" s="13" t="s">
        <v>296</v>
      </c>
    </row>
    <row r="273" spans="1:6" x14ac:dyDescent="0.25">
      <c r="A273" s="13" t="s">
        <v>638</v>
      </c>
      <c r="B273" s="16">
        <v>2084.2569800000001</v>
      </c>
      <c r="C273" s="13" t="s">
        <v>639</v>
      </c>
      <c r="D273" s="13" t="s">
        <v>67</v>
      </c>
      <c r="E273" s="13" t="s">
        <v>58</v>
      </c>
      <c r="F273" s="13" t="s">
        <v>296</v>
      </c>
    </row>
    <row r="274" spans="1:6" x14ac:dyDescent="0.25">
      <c r="A274" s="13" t="s">
        <v>642</v>
      </c>
      <c r="B274" s="16">
        <v>2102.2675399999998</v>
      </c>
      <c r="C274" s="13" t="s">
        <v>643</v>
      </c>
      <c r="D274" s="13" t="s">
        <v>67</v>
      </c>
      <c r="E274" s="13" t="s">
        <v>58</v>
      </c>
      <c r="F274" s="13" t="s">
        <v>433</v>
      </c>
    </row>
    <row r="275" spans="1:6" x14ac:dyDescent="0.25">
      <c r="A275" s="13" t="s">
        <v>644</v>
      </c>
      <c r="B275" s="16">
        <v>2115.3339099999998</v>
      </c>
      <c r="C275" s="13" t="s">
        <v>645</v>
      </c>
      <c r="D275" s="13" t="s">
        <v>67</v>
      </c>
      <c r="E275" s="13" t="s">
        <v>95</v>
      </c>
      <c r="F275" s="13" t="s">
        <v>433</v>
      </c>
    </row>
    <row r="276" spans="1:6" x14ac:dyDescent="0.25">
      <c r="A276" s="13" t="s">
        <v>448</v>
      </c>
      <c r="B276" s="16">
        <v>2121.3345800000002</v>
      </c>
      <c r="C276" s="13" t="s">
        <v>389</v>
      </c>
      <c r="D276" s="13" t="s">
        <v>67</v>
      </c>
      <c r="E276" s="13" t="s">
        <v>95</v>
      </c>
      <c r="F276" s="13" t="s">
        <v>296</v>
      </c>
    </row>
    <row r="277" spans="1:6" x14ac:dyDescent="0.25">
      <c r="A277" s="13" t="s">
        <v>646</v>
      </c>
      <c r="B277" s="16">
        <v>2130.33358</v>
      </c>
      <c r="C277" s="13" t="s">
        <v>647</v>
      </c>
      <c r="D277" s="13" t="s">
        <v>67</v>
      </c>
      <c r="E277" s="13" t="s">
        <v>95</v>
      </c>
      <c r="F277" s="13" t="s">
        <v>339</v>
      </c>
    </row>
    <row r="278" spans="1:6" x14ac:dyDescent="0.25">
      <c r="A278" s="13" t="s">
        <v>648</v>
      </c>
      <c r="B278" s="16">
        <v>2133.34447</v>
      </c>
      <c r="C278" s="13" t="s">
        <v>649</v>
      </c>
      <c r="D278" s="13" t="s">
        <v>67</v>
      </c>
      <c r="E278" s="13" t="s">
        <v>90</v>
      </c>
      <c r="F278" s="13" t="s">
        <v>433</v>
      </c>
    </row>
    <row r="279" spans="1:6" x14ac:dyDescent="0.25">
      <c r="A279" s="13" t="s">
        <v>650</v>
      </c>
      <c r="B279" s="16">
        <v>2139.3451399999999</v>
      </c>
      <c r="C279" s="13" t="s">
        <v>651</v>
      </c>
      <c r="D279" s="13" t="s">
        <v>67</v>
      </c>
      <c r="E279" s="13" t="s">
        <v>90</v>
      </c>
      <c r="F279" s="13" t="s">
        <v>296</v>
      </c>
    </row>
    <row r="280" spans="1:6" x14ac:dyDescent="0.25">
      <c r="A280" s="13" t="s">
        <v>652</v>
      </c>
      <c r="B280" s="16">
        <v>2148.3441400000002</v>
      </c>
      <c r="C280" s="13" t="s">
        <v>653</v>
      </c>
      <c r="D280" s="13" t="s">
        <v>67</v>
      </c>
      <c r="E280" s="13" t="s">
        <v>90</v>
      </c>
      <c r="F280" s="13" t="s">
        <v>339</v>
      </c>
    </row>
    <row r="281" spans="1:6" x14ac:dyDescent="0.25">
      <c r="A281" s="13" t="s">
        <v>644</v>
      </c>
      <c r="B281" s="16">
        <v>2151.3550399999999</v>
      </c>
      <c r="C281" s="13" t="s">
        <v>645</v>
      </c>
      <c r="D281" s="13" t="s">
        <v>67</v>
      </c>
      <c r="E281" s="13" t="s">
        <v>91</v>
      </c>
      <c r="F281" s="13" t="s">
        <v>433</v>
      </c>
    </row>
    <row r="282" spans="1:6" x14ac:dyDescent="0.25">
      <c r="A282" s="13" t="s">
        <v>208</v>
      </c>
      <c r="B282" s="16">
        <v>2157.3557099999998</v>
      </c>
      <c r="C282" s="13" t="s">
        <v>352</v>
      </c>
      <c r="D282" s="13" t="s">
        <v>69</v>
      </c>
      <c r="E282" s="13" t="s">
        <v>46</v>
      </c>
      <c r="F282" s="13" t="s">
        <v>209</v>
      </c>
    </row>
    <row r="283" spans="1:6" x14ac:dyDescent="0.25">
      <c r="A283" s="13" t="s">
        <v>646</v>
      </c>
      <c r="B283" s="16">
        <v>2166.3546999999999</v>
      </c>
      <c r="C283" s="13" t="s">
        <v>647</v>
      </c>
      <c r="D283" s="13" t="s">
        <v>67</v>
      </c>
      <c r="E283" s="13" t="s">
        <v>91</v>
      </c>
      <c r="F283" s="13" t="s">
        <v>339</v>
      </c>
    </row>
    <row r="284" spans="1:6" x14ac:dyDescent="0.25">
      <c r="A284" s="13" t="s">
        <v>210</v>
      </c>
      <c r="B284" s="16">
        <v>2175.36627</v>
      </c>
      <c r="C284" s="13" t="s">
        <v>352</v>
      </c>
      <c r="D284" s="13" t="s">
        <v>69</v>
      </c>
      <c r="E284" s="13" t="s">
        <v>47</v>
      </c>
      <c r="F284" s="13" t="s">
        <v>209</v>
      </c>
    </row>
    <row r="285" spans="1:6" x14ac:dyDescent="0.25">
      <c r="A285" s="13" t="s">
        <v>648</v>
      </c>
      <c r="B285" s="16">
        <v>2195.30024</v>
      </c>
      <c r="C285" s="13" t="s">
        <v>649</v>
      </c>
      <c r="D285" s="13" t="s">
        <v>67</v>
      </c>
      <c r="E285" s="13" t="s">
        <v>85</v>
      </c>
      <c r="F285" s="13" t="s">
        <v>433</v>
      </c>
    </row>
    <row r="286" spans="1:6" x14ac:dyDescent="0.25">
      <c r="A286" s="13" t="s">
        <v>654</v>
      </c>
      <c r="B286" s="16">
        <v>2201.3009099999999</v>
      </c>
      <c r="C286" s="13" t="s">
        <v>655</v>
      </c>
      <c r="D286" s="13" t="s">
        <v>67</v>
      </c>
      <c r="E286" s="13" t="s">
        <v>85</v>
      </c>
      <c r="F286" s="13" t="s">
        <v>296</v>
      </c>
    </row>
    <row r="287" spans="1:6" x14ac:dyDescent="0.25">
      <c r="A287" s="13" t="s">
        <v>652</v>
      </c>
      <c r="B287" s="16">
        <v>2210.2999100000002</v>
      </c>
      <c r="C287" s="13" t="s">
        <v>653</v>
      </c>
      <c r="D287" s="13" t="s">
        <v>67</v>
      </c>
      <c r="E287" s="13" t="s">
        <v>85</v>
      </c>
      <c r="F287" s="13" t="s">
        <v>339</v>
      </c>
    </row>
    <row r="288" spans="1:6" x14ac:dyDescent="0.25">
      <c r="A288" s="13" t="s">
        <v>656</v>
      </c>
      <c r="B288" s="16">
        <v>2213.3108099999999</v>
      </c>
      <c r="C288" s="13" t="s">
        <v>657</v>
      </c>
      <c r="D288" s="13" t="s">
        <v>67</v>
      </c>
      <c r="E288" s="13" t="s">
        <v>57</v>
      </c>
      <c r="F288" s="13" t="s">
        <v>433</v>
      </c>
    </row>
    <row r="289" spans="1:6" x14ac:dyDescent="0.25">
      <c r="A289" s="13" t="s">
        <v>316</v>
      </c>
      <c r="B289" s="16">
        <v>2219.3114700000001</v>
      </c>
      <c r="C289" s="13" t="s">
        <v>366</v>
      </c>
      <c r="D289" s="13" t="s">
        <v>68</v>
      </c>
      <c r="E289" s="13" t="s">
        <v>45</v>
      </c>
      <c r="F289" s="13" t="s">
        <v>296</v>
      </c>
    </row>
    <row r="290" spans="1:6" x14ac:dyDescent="0.25">
      <c r="A290" s="13" t="s">
        <v>658</v>
      </c>
      <c r="B290" s="16">
        <v>2228.3104699999999</v>
      </c>
      <c r="C290" s="13" t="s">
        <v>659</v>
      </c>
      <c r="D290" s="13" t="s">
        <v>67</v>
      </c>
      <c r="E290" s="13" t="s">
        <v>57</v>
      </c>
      <c r="F290" s="13" t="s">
        <v>339</v>
      </c>
    </row>
    <row r="291" spans="1:6" x14ac:dyDescent="0.25">
      <c r="A291" s="13" t="s">
        <v>648</v>
      </c>
      <c r="B291" s="16">
        <v>2231.3213700000001</v>
      </c>
      <c r="C291" s="13" t="s">
        <v>649</v>
      </c>
      <c r="D291" s="13" t="s">
        <v>67</v>
      </c>
      <c r="E291" s="13" t="s">
        <v>78</v>
      </c>
      <c r="F291" s="13" t="s">
        <v>433</v>
      </c>
    </row>
    <row r="292" spans="1:6" x14ac:dyDescent="0.25">
      <c r="A292" s="13" t="s">
        <v>219</v>
      </c>
      <c r="B292" s="16">
        <v>2237.32204</v>
      </c>
      <c r="C292" s="13" t="s">
        <v>352</v>
      </c>
      <c r="D292" s="13" t="s">
        <v>69</v>
      </c>
      <c r="E292" s="13" t="s">
        <v>48</v>
      </c>
      <c r="F292" s="13" t="s">
        <v>209</v>
      </c>
    </row>
    <row r="293" spans="1:6" x14ac:dyDescent="0.25">
      <c r="A293" s="13" t="s">
        <v>652</v>
      </c>
      <c r="B293" s="16">
        <v>2246.3210399999998</v>
      </c>
      <c r="C293" s="13" t="s">
        <v>653</v>
      </c>
      <c r="D293" s="13" t="s">
        <v>67</v>
      </c>
      <c r="E293" s="13" t="s">
        <v>78</v>
      </c>
      <c r="F293" s="13" t="s">
        <v>339</v>
      </c>
    </row>
    <row r="294" spans="1:6" x14ac:dyDescent="0.25">
      <c r="A294" s="13" t="s">
        <v>275</v>
      </c>
      <c r="B294" s="16">
        <v>2255.3326000000002</v>
      </c>
      <c r="C294" s="13" t="s">
        <v>352</v>
      </c>
      <c r="D294" s="13" t="s">
        <v>69</v>
      </c>
      <c r="E294" s="13" t="s">
        <v>49</v>
      </c>
      <c r="F294" s="13" t="s">
        <v>209</v>
      </c>
    </row>
    <row r="295" spans="1:6" x14ac:dyDescent="0.25">
      <c r="A295" s="13" t="s">
        <v>644</v>
      </c>
      <c r="B295" s="16">
        <v>2275.2665699999998</v>
      </c>
      <c r="C295" s="13" t="s">
        <v>645</v>
      </c>
      <c r="D295" s="13" t="s">
        <v>67</v>
      </c>
      <c r="E295" s="13" t="s">
        <v>87</v>
      </c>
      <c r="F295" s="13" t="s">
        <v>433</v>
      </c>
    </row>
    <row r="296" spans="1:6" x14ac:dyDescent="0.25">
      <c r="A296" s="13" t="s">
        <v>448</v>
      </c>
      <c r="B296" s="16">
        <v>2281.2672400000001</v>
      </c>
      <c r="C296" s="13" t="s">
        <v>389</v>
      </c>
      <c r="D296" s="13" t="s">
        <v>67</v>
      </c>
      <c r="E296" s="13" t="s">
        <v>87</v>
      </c>
      <c r="F296" s="13" t="s">
        <v>296</v>
      </c>
    </row>
    <row r="297" spans="1:6" x14ac:dyDescent="0.25">
      <c r="A297" s="13" t="s">
        <v>646</v>
      </c>
      <c r="B297" s="16">
        <v>2290.2662399999999</v>
      </c>
      <c r="C297" s="13" t="s">
        <v>647</v>
      </c>
      <c r="D297" s="13" t="s">
        <v>67</v>
      </c>
      <c r="E297" s="13" t="s">
        <v>87</v>
      </c>
      <c r="F297" s="13" t="s">
        <v>339</v>
      </c>
    </row>
    <row r="298" spans="1:6" x14ac:dyDescent="0.25">
      <c r="A298" s="13" t="s">
        <v>648</v>
      </c>
      <c r="B298" s="16">
        <v>2293.2771400000001</v>
      </c>
      <c r="C298" s="13" t="s">
        <v>649</v>
      </c>
      <c r="D298" s="13" t="s">
        <v>67</v>
      </c>
      <c r="E298" s="13" t="s">
        <v>84</v>
      </c>
      <c r="F298" s="13" t="s">
        <v>433</v>
      </c>
    </row>
    <row r="299" spans="1:6" x14ac:dyDescent="0.25">
      <c r="A299" s="13" t="s">
        <v>309</v>
      </c>
      <c r="B299" s="16">
        <v>2299.2777999999998</v>
      </c>
      <c r="C299" s="13" t="s">
        <v>366</v>
      </c>
      <c r="D299" s="13" t="s">
        <v>68</v>
      </c>
      <c r="E299" s="13" t="s">
        <v>17</v>
      </c>
      <c r="F299" s="13" t="s">
        <v>296</v>
      </c>
    </row>
    <row r="300" spans="1:6" x14ac:dyDescent="0.25">
      <c r="A300" s="13" t="s">
        <v>652</v>
      </c>
      <c r="B300" s="16">
        <v>2308.2768000000001</v>
      </c>
      <c r="C300" s="13" t="s">
        <v>653</v>
      </c>
      <c r="D300" s="13" t="s">
        <v>67</v>
      </c>
      <c r="E300" s="13" t="s">
        <v>84</v>
      </c>
      <c r="F300" s="13" t="s">
        <v>339</v>
      </c>
    </row>
    <row r="301" spans="1:6" x14ac:dyDescent="0.25">
      <c r="A301" s="13" t="s">
        <v>660</v>
      </c>
      <c r="B301" s="16">
        <v>2309.3319299999998</v>
      </c>
      <c r="C301" s="13" t="s">
        <v>661</v>
      </c>
      <c r="D301" s="13" t="s">
        <v>67</v>
      </c>
      <c r="E301" s="13" t="s">
        <v>99</v>
      </c>
      <c r="F301" s="13" t="s">
        <v>329</v>
      </c>
    </row>
    <row r="302" spans="1:6" x14ac:dyDescent="0.25">
      <c r="A302" s="13" t="s">
        <v>644</v>
      </c>
      <c r="B302" s="16">
        <v>2311.2876999999999</v>
      </c>
      <c r="C302" s="13" t="s">
        <v>645</v>
      </c>
      <c r="D302" s="13" t="s">
        <v>67</v>
      </c>
      <c r="E302" s="13" t="s">
        <v>79</v>
      </c>
      <c r="F302" s="13" t="s">
        <v>433</v>
      </c>
    </row>
    <row r="303" spans="1:6" x14ac:dyDescent="0.25">
      <c r="A303" s="13" t="s">
        <v>469</v>
      </c>
      <c r="B303" s="16">
        <v>2315.3326000000002</v>
      </c>
      <c r="C303" s="13" t="s">
        <v>379</v>
      </c>
      <c r="D303" s="13" t="s">
        <v>67</v>
      </c>
      <c r="E303" s="13" t="s">
        <v>99</v>
      </c>
      <c r="F303" s="13" t="s">
        <v>298</v>
      </c>
    </row>
    <row r="304" spans="1:6" x14ac:dyDescent="0.25">
      <c r="A304" s="13" t="s">
        <v>295</v>
      </c>
      <c r="B304" s="16">
        <v>2317.2883700000002</v>
      </c>
      <c r="C304" s="13" t="s">
        <v>366</v>
      </c>
      <c r="D304" s="13" t="s">
        <v>68</v>
      </c>
      <c r="E304" s="13" t="s">
        <v>24</v>
      </c>
      <c r="F304" s="13" t="s">
        <v>296</v>
      </c>
    </row>
    <row r="305" spans="1:6" x14ac:dyDescent="0.25">
      <c r="A305" s="13" t="s">
        <v>662</v>
      </c>
      <c r="B305" s="16">
        <v>2324.3316</v>
      </c>
      <c r="C305" s="13" t="s">
        <v>663</v>
      </c>
      <c r="D305" s="13" t="s">
        <v>67</v>
      </c>
      <c r="E305" s="13" t="s">
        <v>99</v>
      </c>
      <c r="F305" s="13" t="s">
        <v>340</v>
      </c>
    </row>
    <row r="306" spans="1:6" x14ac:dyDescent="0.25">
      <c r="A306" s="13" t="s">
        <v>646</v>
      </c>
      <c r="B306" s="16">
        <v>2326.28737</v>
      </c>
      <c r="C306" s="13" t="s">
        <v>647</v>
      </c>
      <c r="D306" s="13" t="s">
        <v>67</v>
      </c>
      <c r="E306" s="13" t="s">
        <v>79</v>
      </c>
      <c r="F306" s="13" t="s">
        <v>339</v>
      </c>
    </row>
    <row r="307" spans="1:6" x14ac:dyDescent="0.25">
      <c r="A307" s="13" t="s">
        <v>660</v>
      </c>
      <c r="B307" s="16">
        <v>2327.3425000000002</v>
      </c>
      <c r="C307" s="13" t="s">
        <v>661</v>
      </c>
      <c r="D307" s="13" t="s">
        <v>67</v>
      </c>
      <c r="E307" s="13" t="s">
        <v>94</v>
      </c>
      <c r="F307" s="13" t="s">
        <v>329</v>
      </c>
    </row>
    <row r="308" spans="1:6" x14ac:dyDescent="0.25">
      <c r="A308" s="13" t="s">
        <v>664</v>
      </c>
      <c r="B308" s="16">
        <v>2333.3431700000001</v>
      </c>
      <c r="C308" s="13" t="s">
        <v>665</v>
      </c>
      <c r="D308" s="13" t="s">
        <v>67</v>
      </c>
      <c r="E308" s="13" t="s">
        <v>94</v>
      </c>
      <c r="F308" s="13" t="s">
        <v>298</v>
      </c>
    </row>
    <row r="309" spans="1:6" x14ac:dyDescent="0.25">
      <c r="A309" s="13" t="s">
        <v>666</v>
      </c>
      <c r="B309" s="16">
        <v>2335.2989299999999</v>
      </c>
      <c r="C309" s="13" t="s">
        <v>667</v>
      </c>
      <c r="D309" s="13" t="s">
        <v>67</v>
      </c>
      <c r="E309" s="13" t="s">
        <v>79</v>
      </c>
      <c r="F309" s="13" t="s">
        <v>323</v>
      </c>
    </row>
    <row r="310" spans="1:6" x14ac:dyDescent="0.25">
      <c r="A310" s="13" t="s">
        <v>662</v>
      </c>
      <c r="B310" s="16">
        <v>2342.3421600000001</v>
      </c>
      <c r="C310" s="13" t="s">
        <v>663</v>
      </c>
      <c r="D310" s="13" t="s">
        <v>67</v>
      </c>
      <c r="E310" s="13" t="s">
        <v>94</v>
      </c>
      <c r="F310" s="13" t="s">
        <v>340</v>
      </c>
    </row>
    <row r="311" spans="1:6" x14ac:dyDescent="0.25">
      <c r="A311" s="13" t="s">
        <v>282</v>
      </c>
      <c r="B311" s="16">
        <v>2351.3537299999998</v>
      </c>
      <c r="C311" s="13" t="s">
        <v>353</v>
      </c>
      <c r="D311" s="13" t="s">
        <v>69</v>
      </c>
      <c r="E311" s="13" t="s">
        <v>64</v>
      </c>
      <c r="F311" s="13" t="s">
        <v>248</v>
      </c>
    </row>
    <row r="312" spans="1:6" x14ac:dyDescent="0.25">
      <c r="A312" s="13" t="s">
        <v>660</v>
      </c>
      <c r="B312" s="16">
        <v>2389.2982699999998</v>
      </c>
      <c r="C312" s="13" t="s">
        <v>661</v>
      </c>
      <c r="D312" s="13" t="s">
        <v>67</v>
      </c>
      <c r="E312" s="13" t="s">
        <v>89</v>
      </c>
      <c r="F312" s="13" t="s">
        <v>329</v>
      </c>
    </row>
    <row r="313" spans="1:6" x14ac:dyDescent="0.25">
      <c r="A313" s="13" t="s">
        <v>469</v>
      </c>
      <c r="B313" s="16">
        <v>2395.2989299999999</v>
      </c>
      <c r="C313" s="13" t="s">
        <v>379</v>
      </c>
      <c r="D313" s="13" t="s">
        <v>67</v>
      </c>
      <c r="E313" s="13" t="s">
        <v>89</v>
      </c>
      <c r="F313" s="13" t="s">
        <v>298</v>
      </c>
    </row>
    <row r="314" spans="1:6" x14ac:dyDescent="0.25">
      <c r="A314" s="13" t="s">
        <v>662</v>
      </c>
      <c r="B314" s="16">
        <v>2404.2979300000002</v>
      </c>
      <c r="C314" s="13" t="s">
        <v>663</v>
      </c>
      <c r="D314" s="13" t="s">
        <v>67</v>
      </c>
      <c r="E314" s="13" t="s">
        <v>89</v>
      </c>
      <c r="F314" s="13" t="s">
        <v>340</v>
      </c>
    </row>
    <row r="315" spans="1:6" x14ac:dyDescent="0.25">
      <c r="A315" s="13" t="s">
        <v>660</v>
      </c>
      <c r="B315" s="16">
        <v>2407.3088299999999</v>
      </c>
      <c r="C315" s="13" t="s">
        <v>661</v>
      </c>
      <c r="D315" s="13" t="s">
        <v>67</v>
      </c>
      <c r="E315" s="13" t="s">
        <v>58</v>
      </c>
      <c r="F315" s="13" t="s">
        <v>329</v>
      </c>
    </row>
    <row r="316" spans="1:6" x14ac:dyDescent="0.25">
      <c r="A316" s="13" t="s">
        <v>664</v>
      </c>
      <c r="B316" s="16">
        <v>2413.3094999999998</v>
      </c>
      <c r="C316" s="13" t="s">
        <v>665</v>
      </c>
      <c r="D316" s="13" t="s">
        <v>67</v>
      </c>
      <c r="E316" s="13" t="s">
        <v>58</v>
      </c>
      <c r="F316" s="13" t="s">
        <v>298</v>
      </c>
    </row>
    <row r="317" spans="1:6" x14ac:dyDescent="0.25">
      <c r="A317" s="13" t="s">
        <v>662</v>
      </c>
      <c r="B317" s="16">
        <v>2422.3085000000001</v>
      </c>
      <c r="C317" s="13" t="s">
        <v>663</v>
      </c>
      <c r="D317" s="13" t="s">
        <v>67</v>
      </c>
      <c r="E317" s="13" t="s">
        <v>58</v>
      </c>
      <c r="F317" s="13" t="s">
        <v>340</v>
      </c>
    </row>
    <row r="318" spans="1:6" x14ac:dyDescent="0.25">
      <c r="A318" s="13" t="s">
        <v>455</v>
      </c>
      <c r="B318" s="16">
        <v>2431.32006</v>
      </c>
      <c r="C318" s="13" t="s">
        <v>390</v>
      </c>
      <c r="D318" s="13" t="s">
        <v>67</v>
      </c>
      <c r="E318" s="13" t="s">
        <v>58</v>
      </c>
      <c r="F318" s="13" t="s">
        <v>324</v>
      </c>
    </row>
    <row r="319" spans="1:6" x14ac:dyDescent="0.25">
      <c r="A319" s="13" t="s">
        <v>668</v>
      </c>
      <c r="B319" s="16">
        <v>2435.3748599999999</v>
      </c>
      <c r="C319" s="13" t="s">
        <v>669</v>
      </c>
      <c r="D319" s="13" t="s">
        <v>67</v>
      </c>
      <c r="E319" s="13" t="s">
        <v>95</v>
      </c>
      <c r="F319" s="13" t="s">
        <v>329</v>
      </c>
    </row>
    <row r="320" spans="1:6" x14ac:dyDescent="0.25">
      <c r="A320" s="13" t="s">
        <v>670</v>
      </c>
      <c r="B320" s="16">
        <v>2444.38643</v>
      </c>
      <c r="C320" s="13" t="s">
        <v>671</v>
      </c>
      <c r="D320" s="13" t="s">
        <v>67</v>
      </c>
      <c r="E320" s="13" t="s">
        <v>95</v>
      </c>
      <c r="F320" s="13" t="s">
        <v>324</v>
      </c>
    </row>
    <row r="321" spans="1:6" x14ac:dyDescent="0.25">
      <c r="A321" s="13" t="s">
        <v>436</v>
      </c>
      <c r="B321" s="16">
        <v>2450.37453</v>
      </c>
      <c r="C321" s="13" t="s">
        <v>412</v>
      </c>
      <c r="D321" s="13" t="s">
        <v>67</v>
      </c>
      <c r="E321" s="13" t="s">
        <v>95</v>
      </c>
      <c r="F321" s="13" t="s">
        <v>335</v>
      </c>
    </row>
    <row r="322" spans="1:6" x14ac:dyDescent="0.25">
      <c r="A322" s="13" t="s">
        <v>447</v>
      </c>
      <c r="B322" s="16">
        <v>2450.3870999999999</v>
      </c>
      <c r="C322" s="13" t="s">
        <v>379</v>
      </c>
      <c r="D322" s="13" t="s">
        <v>67</v>
      </c>
      <c r="E322" s="13" t="s">
        <v>95</v>
      </c>
      <c r="F322" s="13" t="s">
        <v>298</v>
      </c>
    </row>
    <row r="323" spans="1:6" x14ac:dyDescent="0.25">
      <c r="A323" s="13" t="s">
        <v>672</v>
      </c>
      <c r="B323" s="16">
        <v>2453.3854299999998</v>
      </c>
      <c r="C323" s="13" t="s">
        <v>673</v>
      </c>
      <c r="D323" s="13" t="s">
        <v>67</v>
      </c>
      <c r="E323" s="13" t="s">
        <v>90</v>
      </c>
      <c r="F323" s="13" t="s">
        <v>329</v>
      </c>
    </row>
    <row r="324" spans="1:6" x14ac:dyDescent="0.25">
      <c r="A324" s="13" t="s">
        <v>674</v>
      </c>
      <c r="B324" s="16">
        <v>2462.3969900000002</v>
      </c>
      <c r="C324" s="13" t="s">
        <v>675</v>
      </c>
      <c r="D324" s="13" t="s">
        <v>67</v>
      </c>
      <c r="E324" s="13" t="s">
        <v>90</v>
      </c>
      <c r="F324" s="13" t="s">
        <v>324</v>
      </c>
    </row>
    <row r="325" spans="1:6" x14ac:dyDescent="0.25">
      <c r="A325" s="13" t="s">
        <v>676</v>
      </c>
      <c r="B325" s="16">
        <v>2468.3850900000002</v>
      </c>
      <c r="C325" s="13" t="s">
        <v>677</v>
      </c>
      <c r="D325" s="13" t="s">
        <v>67</v>
      </c>
      <c r="E325" s="13" t="s">
        <v>90</v>
      </c>
      <c r="F325" s="13" t="s">
        <v>335</v>
      </c>
    </row>
    <row r="326" spans="1:6" x14ac:dyDescent="0.25">
      <c r="A326" s="13" t="s">
        <v>678</v>
      </c>
      <c r="B326" s="16">
        <v>2468.3976600000001</v>
      </c>
      <c r="C326" s="13" t="s">
        <v>679</v>
      </c>
      <c r="D326" s="13" t="s">
        <v>67</v>
      </c>
      <c r="E326" s="13" t="s">
        <v>90</v>
      </c>
      <c r="F326" s="13" t="s">
        <v>298</v>
      </c>
    </row>
    <row r="327" spans="1:6" x14ac:dyDescent="0.25">
      <c r="A327" s="13" t="s">
        <v>668</v>
      </c>
      <c r="B327" s="16">
        <v>2471.39599</v>
      </c>
      <c r="C327" s="13" t="s">
        <v>669</v>
      </c>
      <c r="D327" s="13" t="s">
        <v>67</v>
      </c>
      <c r="E327" s="13" t="s">
        <v>91</v>
      </c>
      <c r="F327" s="13" t="s">
        <v>329</v>
      </c>
    </row>
    <row r="328" spans="1:6" x14ac:dyDescent="0.25">
      <c r="A328" s="13" t="s">
        <v>670</v>
      </c>
      <c r="B328" s="16">
        <v>2480.4075600000001</v>
      </c>
      <c r="C328" s="13" t="s">
        <v>671</v>
      </c>
      <c r="D328" s="13" t="s">
        <v>67</v>
      </c>
      <c r="E328" s="13" t="s">
        <v>91</v>
      </c>
      <c r="F328" s="13" t="s">
        <v>324</v>
      </c>
    </row>
    <row r="329" spans="1:6" x14ac:dyDescent="0.25">
      <c r="A329" s="13" t="s">
        <v>436</v>
      </c>
      <c r="B329" s="16">
        <v>2486.3956600000001</v>
      </c>
      <c r="C329" s="13" t="s">
        <v>412</v>
      </c>
      <c r="D329" s="13" t="s">
        <v>67</v>
      </c>
      <c r="E329" s="13" t="s">
        <v>91</v>
      </c>
      <c r="F329" s="13" t="s">
        <v>335</v>
      </c>
    </row>
    <row r="330" spans="1:6" x14ac:dyDescent="0.25">
      <c r="A330" s="13" t="s">
        <v>247</v>
      </c>
      <c r="B330" s="16">
        <v>2486.40823</v>
      </c>
      <c r="C330" s="13" t="s">
        <v>353</v>
      </c>
      <c r="D330" s="13" t="s">
        <v>69</v>
      </c>
      <c r="E330" s="13" t="s">
        <v>46</v>
      </c>
      <c r="F330" s="13" t="s">
        <v>248</v>
      </c>
    </row>
    <row r="331" spans="1:6" x14ac:dyDescent="0.25">
      <c r="A331" s="13" t="s">
        <v>261</v>
      </c>
      <c r="B331" s="16">
        <v>2504.4187900000002</v>
      </c>
      <c r="C331" s="13" t="s">
        <v>353</v>
      </c>
      <c r="D331" s="13" t="s">
        <v>69</v>
      </c>
      <c r="E331" s="13" t="s">
        <v>47</v>
      </c>
      <c r="F331" s="13" t="s">
        <v>248</v>
      </c>
    </row>
    <row r="332" spans="1:6" x14ac:dyDescent="0.25">
      <c r="A332" s="13" t="s">
        <v>672</v>
      </c>
      <c r="B332" s="16">
        <v>2515.3411900000001</v>
      </c>
      <c r="C332" s="13" t="s">
        <v>673</v>
      </c>
      <c r="D332" s="13" t="s">
        <v>67</v>
      </c>
      <c r="E332" s="13" t="s">
        <v>85</v>
      </c>
      <c r="F332" s="13" t="s">
        <v>329</v>
      </c>
    </row>
    <row r="333" spans="1:6" x14ac:dyDescent="0.25">
      <c r="A333" s="13" t="s">
        <v>674</v>
      </c>
      <c r="B333" s="16">
        <v>2524.3527600000002</v>
      </c>
      <c r="C333" s="13" t="s">
        <v>675</v>
      </c>
      <c r="D333" s="13" t="s">
        <v>67</v>
      </c>
      <c r="E333" s="13" t="s">
        <v>85</v>
      </c>
      <c r="F333" s="13" t="s">
        <v>324</v>
      </c>
    </row>
    <row r="334" spans="1:6" x14ac:dyDescent="0.25">
      <c r="A334" s="13" t="s">
        <v>676</v>
      </c>
      <c r="B334" s="16">
        <v>2530.3408599999998</v>
      </c>
      <c r="C334" s="13" t="s">
        <v>677</v>
      </c>
      <c r="D334" s="13" t="s">
        <v>67</v>
      </c>
      <c r="E334" s="13" t="s">
        <v>85</v>
      </c>
      <c r="F334" s="13" t="s">
        <v>335</v>
      </c>
    </row>
    <row r="335" spans="1:6" x14ac:dyDescent="0.25">
      <c r="A335" s="13" t="s">
        <v>678</v>
      </c>
      <c r="B335" s="16">
        <v>2530.3534300000001</v>
      </c>
      <c r="C335" s="13" t="s">
        <v>679</v>
      </c>
      <c r="D335" s="13" t="s">
        <v>67</v>
      </c>
      <c r="E335" s="13" t="s">
        <v>85</v>
      </c>
      <c r="F335" s="13" t="s">
        <v>298</v>
      </c>
    </row>
    <row r="336" spans="1:6" x14ac:dyDescent="0.25">
      <c r="A336" s="13" t="s">
        <v>680</v>
      </c>
      <c r="B336" s="16">
        <v>2533.35176</v>
      </c>
      <c r="C336" s="13" t="s">
        <v>681</v>
      </c>
      <c r="D336" s="13" t="s">
        <v>67</v>
      </c>
      <c r="E336" s="13" t="s">
        <v>57</v>
      </c>
      <c r="F336" s="13" t="s">
        <v>329</v>
      </c>
    </row>
    <row r="337" spans="1:6" x14ac:dyDescent="0.25">
      <c r="A337" s="13" t="s">
        <v>682</v>
      </c>
      <c r="B337" s="16">
        <v>2542.3633300000001</v>
      </c>
      <c r="C337" s="13" t="s">
        <v>683</v>
      </c>
      <c r="D337" s="13" t="s">
        <v>67</v>
      </c>
      <c r="E337" s="13" t="s">
        <v>57</v>
      </c>
      <c r="F337" s="13" t="s">
        <v>324</v>
      </c>
    </row>
    <row r="338" spans="1:6" x14ac:dyDescent="0.25">
      <c r="A338" s="13" t="s">
        <v>684</v>
      </c>
      <c r="B338" s="16">
        <v>2548.35142</v>
      </c>
      <c r="C338" s="13" t="s">
        <v>685</v>
      </c>
      <c r="D338" s="13" t="s">
        <v>67</v>
      </c>
      <c r="E338" s="13" t="s">
        <v>57</v>
      </c>
      <c r="F338" s="13" t="s">
        <v>335</v>
      </c>
    </row>
    <row r="339" spans="1:6" x14ac:dyDescent="0.25">
      <c r="A339" s="13" t="s">
        <v>317</v>
      </c>
      <c r="B339" s="16">
        <v>2548.3639899999998</v>
      </c>
      <c r="C339" s="13" t="s">
        <v>367</v>
      </c>
      <c r="D339" s="13" t="s">
        <v>68</v>
      </c>
      <c r="E339" s="13" t="s">
        <v>45</v>
      </c>
      <c r="F339" s="13" t="s">
        <v>298</v>
      </c>
    </row>
    <row r="340" spans="1:6" x14ac:dyDescent="0.25">
      <c r="A340" s="13" t="s">
        <v>672</v>
      </c>
      <c r="B340" s="16">
        <v>2551.3623200000002</v>
      </c>
      <c r="C340" s="13" t="s">
        <v>673</v>
      </c>
      <c r="D340" s="13" t="s">
        <v>67</v>
      </c>
      <c r="E340" s="13" t="s">
        <v>78</v>
      </c>
      <c r="F340" s="13" t="s">
        <v>329</v>
      </c>
    </row>
    <row r="341" spans="1:6" x14ac:dyDescent="0.25">
      <c r="A341" s="13" t="s">
        <v>674</v>
      </c>
      <c r="B341" s="16">
        <v>2560.3738899999998</v>
      </c>
      <c r="C341" s="13" t="s">
        <v>675</v>
      </c>
      <c r="D341" s="13" t="s">
        <v>67</v>
      </c>
      <c r="E341" s="13" t="s">
        <v>78</v>
      </c>
      <c r="F341" s="13" t="s">
        <v>324</v>
      </c>
    </row>
    <row r="342" spans="1:6" x14ac:dyDescent="0.25">
      <c r="A342" s="13" t="s">
        <v>676</v>
      </c>
      <c r="B342" s="16">
        <v>2566.3619899999999</v>
      </c>
      <c r="C342" s="13" t="s">
        <v>677</v>
      </c>
      <c r="D342" s="13" t="s">
        <v>67</v>
      </c>
      <c r="E342" s="13" t="s">
        <v>78</v>
      </c>
      <c r="F342" s="13" t="s">
        <v>335</v>
      </c>
    </row>
    <row r="343" spans="1:6" x14ac:dyDescent="0.25">
      <c r="A343" s="13" t="s">
        <v>268</v>
      </c>
      <c r="B343" s="16">
        <v>2566.3745600000002</v>
      </c>
      <c r="C343" s="13" t="s">
        <v>353</v>
      </c>
      <c r="D343" s="13" t="s">
        <v>69</v>
      </c>
      <c r="E343" s="13" t="s">
        <v>48</v>
      </c>
      <c r="F343" s="13" t="s">
        <v>248</v>
      </c>
    </row>
    <row r="344" spans="1:6" x14ac:dyDescent="0.25">
      <c r="A344" s="13" t="s">
        <v>276</v>
      </c>
      <c r="B344" s="16">
        <v>2584.3851199999999</v>
      </c>
      <c r="C344" s="13" t="s">
        <v>353</v>
      </c>
      <c r="D344" s="13" t="s">
        <v>69</v>
      </c>
      <c r="E344" s="13" t="s">
        <v>49</v>
      </c>
      <c r="F344" s="13" t="s">
        <v>248</v>
      </c>
    </row>
    <row r="345" spans="1:6" x14ac:dyDescent="0.25">
      <c r="A345" s="13" t="s">
        <v>668</v>
      </c>
      <c r="B345" s="16">
        <v>2595.3075199999998</v>
      </c>
      <c r="C345" s="13" t="s">
        <v>669</v>
      </c>
      <c r="D345" s="13" t="s">
        <v>67</v>
      </c>
      <c r="E345" s="13" t="s">
        <v>87</v>
      </c>
      <c r="F345" s="13" t="s">
        <v>329</v>
      </c>
    </row>
    <row r="346" spans="1:6" x14ac:dyDescent="0.25">
      <c r="A346" s="13" t="s">
        <v>670</v>
      </c>
      <c r="B346" s="16">
        <v>2604.31909</v>
      </c>
      <c r="C346" s="13" t="s">
        <v>671</v>
      </c>
      <c r="D346" s="13" t="s">
        <v>67</v>
      </c>
      <c r="E346" s="13" t="s">
        <v>87</v>
      </c>
      <c r="F346" s="13" t="s">
        <v>324</v>
      </c>
    </row>
    <row r="347" spans="1:6" x14ac:dyDescent="0.25">
      <c r="A347" s="13" t="s">
        <v>436</v>
      </c>
      <c r="B347" s="16">
        <v>2610.30719</v>
      </c>
      <c r="C347" s="13" t="s">
        <v>412</v>
      </c>
      <c r="D347" s="13" t="s">
        <v>67</v>
      </c>
      <c r="E347" s="13" t="s">
        <v>87</v>
      </c>
      <c r="F347" s="13" t="s">
        <v>335</v>
      </c>
    </row>
    <row r="348" spans="1:6" x14ac:dyDescent="0.25">
      <c r="A348" s="13" t="s">
        <v>447</v>
      </c>
      <c r="B348" s="16">
        <v>2610.3197599999999</v>
      </c>
      <c r="C348" s="13" t="s">
        <v>379</v>
      </c>
      <c r="D348" s="13" t="s">
        <v>67</v>
      </c>
      <c r="E348" s="13" t="s">
        <v>87</v>
      </c>
      <c r="F348" s="13" t="s">
        <v>298</v>
      </c>
    </row>
    <row r="349" spans="1:6" x14ac:dyDescent="0.25">
      <c r="A349" s="13" t="s">
        <v>672</v>
      </c>
      <c r="B349" s="16">
        <v>2613.3180900000002</v>
      </c>
      <c r="C349" s="13" t="s">
        <v>673</v>
      </c>
      <c r="D349" s="13" t="s">
        <v>67</v>
      </c>
      <c r="E349" s="13" t="s">
        <v>84</v>
      </c>
      <c r="F349" s="13" t="s">
        <v>329</v>
      </c>
    </row>
    <row r="350" spans="1:6" x14ac:dyDescent="0.25">
      <c r="A350" s="13" t="s">
        <v>467</v>
      </c>
      <c r="B350" s="16">
        <v>2620.3738899999998</v>
      </c>
      <c r="C350" s="13" t="s">
        <v>429</v>
      </c>
      <c r="D350" s="13" t="s">
        <v>67</v>
      </c>
      <c r="E350" s="13" t="s">
        <v>99</v>
      </c>
      <c r="F350" s="13" t="s">
        <v>300</v>
      </c>
    </row>
    <row r="351" spans="1:6" x14ac:dyDescent="0.25">
      <c r="A351" s="13" t="s">
        <v>674</v>
      </c>
      <c r="B351" s="16">
        <v>2622.3296599999999</v>
      </c>
      <c r="C351" s="13" t="s">
        <v>675</v>
      </c>
      <c r="D351" s="13" t="s">
        <v>67</v>
      </c>
      <c r="E351" s="13" t="s">
        <v>84</v>
      </c>
      <c r="F351" s="13" t="s">
        <v>324</v>
      </c>
    </row>
    <row r="352" spans="1:6" x14ac:dyDescent="0.25">
      <c r="A352" s="13" t="s">
        <v>676</v>
      </c>
      <c r="B352" s="16">
        <v>2628.3177500000002</v>
      </c>
      <c r="C352" s="13" t="s">
        <v>677</v>
      </c>
      <c r="D352" s="13" t="s">
        <v>67</v>
      </c>
      <c r="E352" s="13" t="s">
        <v>84</v>
      </c>
      <c r="F352" s="13" t="s">
        <v>335</v>
      </c>
    </row>
    <row r="353" spans="1:6" x14ac:dyDescent="0.25">
      <c r="A353" s="13" t="s">
        <v>310</v>
      </c>
      <c r="B353" s="16">
        <v>2628.33032</v>
      </c>
      <c r="C353" s="13" t="s">
        <v>367</v>
      </c>
      <c r="D353" s="13" t="s">
        <v>68</v>
      </c>
      <c r="E353" s="13" t="s">
        <v>17</v>
      </c>
      <c r="F353" s="13" t="s">
        <v>298</v>
      </c>
    </row>
    <row r="354" spans="1:6" x14ac:dyDescent="0.25">
      <c r="A354" s="13" t="s">
        <v>686</v>
      </c>
      <c r="B354" s="16">
        <v>2629.3728900000001</v>
      </c>
      <c r="C354" s="13" t="s">
        <v>687</v>
      </c>
      <c r="D354" s="13" t="s">
        <v>67</v>
      </c>
      <c r="E354" s="13" t="s">
        <v>99</v>
      </c>
      <c r="F354" s="13" t="s">
        <v>330</v>
      </c>
    </row>
    <row r="355" spans="1:6" x14ac:dyDescent="0.25">
      <c r="A355" s="13" t="s">
        <v>668</v>
      </c>
      <c r="B355" s="16">
        <v>2631.3286499999999</v>
      </c>
      <c r="C355" s="13" t="s">
        <v>669</v>
      </c>
      <c r="D355" s="13" t="s">
        <v>67</v>
      </c>
      <c r="E355" s="13" t="s">
        <v>79</v>
      </c>
      <c r="F355" s="13" t="s">
        <v>329</v>
      </c>
    </row>
    <row r="356" spans="1:6" x14ac:dyDescent="0.25">
      <c r="A356" s="13" t="s">
        <v>688</v>
      </c>
      <c r="B356" s="16">
        <v>2638.38445</v>
      </c>
      <c r="C356" s="13" t="s">
        <v>689</v>
      </c>
      <c r="D356" s="13" t="s">
        <v>67</v>
      </c>
      <c r="E356" s="13" t="s">
        <v>94</v>
      </c>
      <c r="F356" s="13" t="s">
        <v>300</v>
      </c>
    </row>
    <row r="357" spans="1:6" x14ac:dyDescent="0.25">
      <c r="A357" s="13" t="s">
        <v>670</v>
      </c>
      <c r="B357" s="16">
        <v>2640.34022</v>
      </c>
      <c r="C357" s="13" t="s">
        <v>671</v>
      </c>
      <c r="D357" s="13" t="s">
        <v>67</v>
      </c>
      <c r="E357" s="13" t="s">
        <v>79</v>
      </c>
      <c r="F357" s="13" t="s">
        <v>324</v>
      </c>
    </row>
    <row r="358" spans="1:6" x14ac:dyDescent="0.25">
      <c r="A358" s="13" t="s">
        <v>463</v>
      </c>
      <c r="B358" s="16">
        <v>2644.37255</v>
      </c>
      <c r="C358" s="13" t="s">
        <v>413</v>
      </c>
      <c r="D358" s="13" t="s">
        <v>67</v>
      </c>
      <c r="E358" s="13" t="s">
        <v>99</v>
      </c>
      <c r="F358" s="13" t="s">
        <v>336</v>
      </c>
    </row>
    <row r="359" spans="1:6" x14ac:dyDescent="0.25">
      <c r="A359" s="13" t="s">
        <v>436</v>
      </c>
      <c r="B359" s="16">
        <v>2646.3283200000001</v>
      </c>
      <c r="C359" s="13" t="s">
        <v>412</v>
      </c>
      <c r="D359" s="13" t="s">
        <v>67</v>
      </c>
      <c r="E359" s="13" t="s">
        <v>79</v>
      </c>
      <c r="F359" s="13" t="s">
        <v>335</v>
      </c>
    </row>
    <row r="360" spans="1:6" x14ac:dyDescent="0.25">
      <c r="A360" s="13" t="s">
        <v>297</v>
      </c>
      <c r="B360" s="16">
        <v>2646.3408899999999</v>
      </c>
      <c r="C360" s="13" t="s">
        <v>367</v>
      </c>
      <c r="D360" s="13" t="s">
        <v>68</v>
      </c>
      <c r="E360" s="13" t="s">
        <v>24</v>
      </c>
      <c r="F360" s="13" t="s">
        <v>298</v>
      </c>
    </row>
    <row r="361" spans="1:6" x14ac:dyDescent="0.25">
      <c r="A361" s="13" t="s">
        <v>686</v>
      </c>
      <c r="B361" s="16">
        <v>2647.3834499999998</v>
      </c>
      <c r="C361" s="13" t="s">
        <v>687</v>
      </c>
      <c r="D361" s="13" t="s">
        <v>67</v>
      </c>
      <c r="E361" s="13" t="s">
        <v>94</v>
      </c>
      <c r="F361" s="13" t="s">
        <v>330</v>
      </c>
    </row>
    <row r="362" spans="1:6" x14ac:dyDescent="0.25">
      <c r="A362" s="13" t="s">
        <v>456</v>
      </c>
      <c r="B362" s="16">
        <v>2656.3950199999999</v>
      </c>
      <c r="C362" s="13" t="s">
        <v>391</v>
      </c>
      <c r="D362" s="13" t="s">
        <v>67</v>
      </c>
      <c r="E362" s="13" t="s">
        <v>94</v>
      </c>
      <c r="F362" s="13" t="s">
        <v>325</v>
      </c>
    </row>
    <row r="363" spans="1:6" x14ac:dyDescent="0.25">
      <c r="A363" s="13" t="s">
        <v>463</v>
      </c>
      <c r="B363" s="16">
        <v>2662.38312</v>
      </c>
      <c r="C363" s="13" t="s">
        <v>413</v>
      </c>
      <c r="D363" s="13" t="s">
        <v>67</v>
      </c>
      <c r="E363" s="13" t="s">
        <v>94</v>
      </c>
      <c r="F363" s="13" t="s">
        <v>336</v>
      </c>
    </row>
    <row r="364" spans="1:6" x14ac:dyDescent="0.25">
      <c r="A364" s="13" t="s">
        <v>283</v>
      </c>
      <c r="B364" s="16">
        <v>2680.40625</v>
      </c>
      <c r="C364" s="13" t="s">
        <v>354</v>
      </c>
      <c r="D364" s="13" t="s">
        <v>69</v>
      </c>
      <c r="E364" s="13" t="s">
        <v>64</v>
      </c>
      <c r="F364" s="13" t="s">
        <v>250</v>
      </c>
    </row>
    <row r="365" spans="1:6" x14ac:dyDescent="0.25">
      <c r="A365" s="13" t="s">
        <v>467</v>
      </c>
      <c r="B365" s="16">
        <v>2700.34022</v>
      </c>
      <c r="C365" s="13" t="s">
        <v>429</v>
      </c>
      <c r="D365" s="13" t="s">
        <v>67</v>
      </c>
      <c r="E365" s="13" t="s">
        <v>89</v>
      </c>
      <c r="F365" s="13" t="s">
        <v>300</v>
      </c>
    </row>
    <row r="366" spans="1:6" x14ac:dyDescent="0.25">
      <c r="A366" s="13" t="s">
        <v>686</v>
      </c>
      <c r="B366" s="16">
        <v>2709.3392199999998</v>
      </c>
      <c r="C366" s="13" t="s">
        <v>687</v>
      </c>
      <c r="D366" s="13" t="s">
        <v>67</v>
      </c>
      <c r="E366" s="13" t="s">
        <v>89</v>
      </c>
      <c r="F366" s="13" t="s">
        <v>330</v>
      </c>
    </row>
    <row r="367" spans="1:6" x14ac:dyDescent="0.25">
      <c r="A367" s="13" t="s">
        <v>688</v>
      </c>
      <c r="B367" s="16">
        <v>2718.35079</v>
      </c>
      <c r="C367" s="13" t="s">
        <v>689</v>
      </c>
      <c r="D367" s="13" t="s">
        <v>67</v>
      </c>
      <c r="E367" s="13" t="s">
        <v>58</v>
      </c>
      <c r="F367" s="13" t="s">
        <v>300</v>
      </c>
    </row>
    <row r="368" spans="1:6" x14ac:dyDescent="0.25">
      <c r="A368" s="13" t="s">
        <v>463</v>
      </c>
      <c r="B368" s="16">
        <v>2724.3388799999998</v>
      </c>
      <c r="C368" s="13" t="s">
        <v>413</v>
      </c>
      <c r="D368" s="13" t="s">
        <v>67</v>
      </c>
      <c r="E368" s="13" t="s">
        <v>89</v>
      </c>
      <c r="F368" s="13" t="s">
        <v>336</v>
      </c>
    </row>
    <row r="369" spans="1:6" x14ac:dyDescent="0.25">
      <c r="A369" s="13" t="s">
        <v>686</v>
      </c>
      <c r="B369" s="16">
        <v>2727.34978</v>
      </c>
      <c r="C369" s="13" t="s">
        <v>687</v>
      </c>
      <c r="D369" s="13" t="s">
        <v>67</v>
      </c>
      <c r="E369" s="13" t="s">
        <v>58</v>
      </c>
      <c r="F369" s="13" t="s">
        <v>330</v>
      </c>
    </row>
    <row r="370" spans="1:6" x14ac:dyDescent="0.25">
      <c r="A370" s="13" t="s">
        <v>456</v>
      </c>
      <c r="B370" s="16">
        <v>2736.3613500000001</v>
      </c>
      <c r="C370" s="13" t="s">
        <v>391</v>
      </c>
      <c r="D370" s="13" t="s">
        <v>67</v>
      </c>
      <c r="E370" s="13" t="s">
        <v>58</v>
      </c>
      <c r="F370" s="13" t="s">
        <v>325</v>
      </c>
    </row>
    <row r="371" spans="1:6" x14ac:dyDescent="0.25">
      <c r="A371" s="13" t="s">
        <v>463</v>
      </c>
      <c r="B371" s="16">
        <v>2742.3494500000002</v>
      </c>
      <c r="C371" s="13" t="s">
        <v>413</v>
      </c>
      <c r="D371" s="13" t="s">
        <v>67</v>
      </c>
      <c r="E371" s="13" t="s">
        <v>58</v>
      </c>
      <c r="F371" s="13" t="s">
        <v>336</v>
      </c>
    </row>
    <row r="372" spans="1:6" x14ac:dyDescent="0.25">
      <c r="A372" s="13" t="s">
        <v>690</v>
      </c>
      <c r="B372" s="16">
        <v>2755.41581</v>
      </c>
      <c r="C372" s="13" t="s">
        <v>691</v>
      </c>
      <c r="D372" s="13" t="s">
        <v>67</v>
      </c>
      <c r="E372" s="13" t="s">
        <v>95</v>
      </c>
      <c r="F372" s="13" t="s">
        <v>330</v>
      </c>
    </row>
    <row r="373" spans="1:6" x14ac:dyDescent="0.25">
      <c r="A373" s="13" t="s">
        <v>444</v>
      </c>
      <c r="B373" s="16">
        <v>2755.42839</v>
      </c>
      <c r="C373" s="13" t="s">
        <v>429</v>
      </c>
      <c r="D373" s="13" t="s">
        <v>67</v>
      </c>
      <c r="E373" s="13" t="s">
        <v>95</v>
      </c>
      <c r="F373" s="13" t="s">
        <v>300</v>
      </c>
    </row>
    <row r="374" spans="1:6" x14ac:dyDescent="0.25">
      <c r="A374" s="13" t="s">
        <v>692</v>
      </c>
      <c r="B374" s="16">
        <v>2764.4273800000001</v>
      </c>
      <c r="C374" s="13" t="s">
        <v>693</v>
      </c>
      <c r="D374" s="13" t="s">
        <v>67</v>
      </c>
      <c r="E374" s="13" t="s">
        <v>95</v>
      </c>
      <c r="F374" s="13" t="s">
        <v>325</v>
      </c>
    </row>
    <row r="375" spans="1:6" x14ac:dyDescent="0.25">
      <c r="A375" s="13" t="s">
        <v>694</v>
      </c>
      <c r="B375" s="16">
        <v>2773.4263799999999</v>
      </c>
      <c r="C375" s="13" t="s">
        <v>695</v>
      </c>
      <c r="D375" s="13" t="s">
        <v>67</v>
      </c>
      <c r="E375" s="13" t="s">
        <v>90</v>
      </c>
      <c r="F375" s="13" t="s">
        <v>330</v>
      </c>
    </row>
    <row r="376" spans="1:6" x14ac:dyDescent="0.25">
      <c r="A376" s="13" t="s">
        <v>696</v>
      </c>
      <c r="B376" s="16">
        <v>2773.4389500000002</v>
      </c>
      <c r="C376" s="13" t="s">
        <v>697</v>
      </c>
      <c r="D376" s="13" t="s">
        <v>67</v>
      </c>
      <c r="E376" s="13" t="s">
        <v>90</v>
      </c>
      <c r="F376" s="13" t="s">
        <v>300</v>
      </c>
    </row>
    <row r="377" spans="1:6" x14ac:dyDescent="0.25">
      <c r="A377" s="13" t="s">
        <v>698</v>
      </c>
      <c r="B377" s="16">
        <v>2782.43795</v>
      </c>
      <c r="C377" s="13" t="s">
        <v>699</v>
      </c>
      <c r="D377" s="13" t="s">
        <v>67</v>
      </c>
      <c r="E377" s="13" t="s">
        <v>90</v>
      </c>
      <c r="F377" s="13" t="s">
        <v>325</v>
      </c>
    </row>
    <row r="378" spans="1:6" x14ac:dyDescent="0.25">
      <c r="A378" s="13" t="s">
        <v>690</v>
      </c>
      <c r="B378" s="16">
        <v>2791.43694</v>
      </c>
      <c r="C378" s="13" t="s">
        <v>691</v>
      </c>
      <c r="D378" s="13" t="s">
        <v>67</v>
      </c>
      <c r="E378" s="13" t="s">
        <v>91</v>
      </c>
      <c r="F378" s="13" t="s">
        <v>330</v>
      </c>
    </row>
    <row r="379" spans="1:6" x14ac:dyDescent="0.25">
      <c r="A379" s="13" t="s">
        <v>249</v>
      </c>
      <c r="B379" s="16">
        <v>2791.4495099999999</v>
      </c>
      <c r="C379" s="13" t="s">
        <v>354</v>
      </c>
      <c r="D379" s="13" t="s">
        <v>69</v>
      </c>
      <c r="E379" s="13" t="s">
        <v>46</v>
      </c>
      <c r="F379" s="13" t="s">
        <v>250</v>
      </c>
    </row>
    <row r="380" spans="1:6" x14ac:dyDescent="0.25">
      <c r="A380" s="13" t="s">
        <v>692</v>
      </c>
      <c r="B380" s="16">
        <v>2800.4485100000002</v>
      </c>
      <c r="C380" s="13" t="s">
        <v>693</v>
      </c>
      <c r="D380" s="13" t="s">
        <v>67</v>
      </c>
      <c r="E380" s="13" t="s">
        <v>91</v>
      </c>
      <c r="F380" s="13" t="s">
        <v>325</v>
      </c>
    </row>
    <row r="381" spans="1:6" x14ac:dyDescent="0.25">
      <c r="A381" s="13" t="s">
        <v>262</v>
      </c>
      <c r="B381" s="16">
        <v>2809.4600799999998</v>
      </c>
      <c r="C381" s="13" t="s">
        <v>354</v>
      </c>
      <c r="D381" s="13" t="s">
        <v>69</v>
      </c>
      <c r="E381" s="13" t="s">
        <v>47</v>
      </c>
      <c r="F381" s="13" t="s">
        <v>250</v>
      </c>
    </row>
    <row r="382" spans="1:6" x14ac:dyDescent="0.25">
      <c r="A382" s="13" t="s">
        <v>694</v>
      </c>
      <c r="B382" s="16">
        <v>2835.3821499999999</v>
      </c>
      <c r="C382" s="13" t="s">
        <v>695</v>
      </c>
      <c r="D382" s="13" t="s">
        <v>67</v>
      </c>
      <c r="E382" s="13" t="s">
        <v>85</v>
      </c>
      <c r="F382" s="13" t="s">
        <v>330</v>
      </c>
    </row>
    <row r="383" spans="1:6" x14ac:dyDescent="0.25">
      <c r="A383" s="13" t="s">
        <v>696</v>
      </c>
      <c r="B383" s="16">
        <v>2835.3947199999998</v>
      </c>
      <c r="C383" s="13" t="s">
        <v>697</v>
      </c>
      <c r="D383" s="13" t="s">
        <v>67</v>
      </c>
      <c r="E383" s="13" t="s">
        <v>85</v>
      </c>
      <c r="F383" s="13" t="s">
        <v>300</v>
      </c>
    </row>
    <row r="384" spans="1:6" x14ac:dyDescent="0.25">
      <c r="A384" s="13" t="s">
        <v>698</v>
      </c>
      <c r="B384" s="16">
        <v>2844.3937099999998</v>
      </c>
      <c r="C384" s="13" t="s">
        <v>699</v>
      </c>
      <c r="D384" s="13" t="s">
        <v>67</v>
      </c>
      <c r="E384" s="13" t="s">
        <v>85</v>
      </c>
      <c r="F384" s="13" t="s">
        <v>325</v>
      </c>
    </row>
    <row r="385" spans="1:6" x14ac:dyDescent="0.25">
      <c r="A385" s="13" t="s">
        <v>700</v>
      </c>
      <c r="B385" s="16">
        <v>2853.3927100000001</v>
      </c>
      <c r="C385" s="13" t="s">
        <v>701</v>
      </c>
      <c r="D385" s="13" t="s">
        <v>67</v>
      </c>
      <c r="E385" s="13" t="s">
        <v>57</v>
      </c>
      <c r="F385" s="13" t="s">
        <v>330</v>
      </c>
    </row>
    <row r="386" spans="1:6" x14ac:dyDescent="0.25">
      <c r="A386" s="13" t="s">
        <v>318</v>
      </c>
      <c r="B386" s="16">
        <v>2853.4052799999999</v>
      </c>
      <c r="C386" s="13" t="s">
        <v>368</v>
      </c>
      <c r="D386" s="13" t="s">
        <v>68</v>
      </c>
      <c r="E386" s="13" t="s">
        <v>45</v>
      </c>
      <c r="F386" s="13" t="s">
        <v>300</v>
      </c>
    </row>
    <row r="387" spans="1:6" x14ac:dyDescent="0.25">
      <c r="A387" s="13" t="s">
        <v>702</v>
      </c>
      <c r="B387" s="16">
        <v>2862.4042800000002</v>
      </c>
      <c r="C387" s="13" t="s">
        <v>703</v>
      </c>
      <c r="D387" s="13" t="s">
        <v>67</v>
      </c>
      <c r="E387" s="13" t="s">
        <v>57</v>
      </c>
      <c r="F387" s="13" t="s">
        <v>325</v>
      </c>
    </row>
    <row r="388" spans="1:6" x14ac:dyDescent="0.25">
      <c r="A388" s="13" t="s">
        <v>694</v>
      </c>
      <c r="B388" s="16">
        <v>2871.4032699999998</v>
      </c>
      <c r="C388" s="13" t="s">
        <v>695</v>
      </c>
      <c r="D388" s="13" t="s">
        <v>67</v>
      </c>
      <c r="E388" s="13" t="s">
        <v>78</v>
      </c>
      <c r="F388" s="13" t="s">
        <v>330</v>
      </c>
    </row>
    <row r="389" spans="1:6" x14ac:dyDescent="0.25">
      <c r="A389" s="13" t="s">
        <v>269</v>
      </c>
      <c r="B389" s="16">
        <v>2871.4158499999999</v>
      </c>
      <c r="C389" s="13" t="s">
        <v>354</v>
      </c>
      <c r="D389" s="13" t="s">
        <v>69</v>
      </c>
      <c r="E389" s="13" t="s">
        <v>48</v>
      </c>
      <c r="F389" s="13" t="s">
        <v>250</v>
      </c>
    </row>
    <row r="390" spans="1:6" x14ac:dyDescent="0.25">
      <c r="A390" s="13" t="s">
        <v>698</v>
      </c>
      <c r="B390" s="16">
        <v>2880.4148399999999</v>
      </c>
      <c r="C390" s="13" t="s">
        <v>699</v>
      </c>
      <c r="D390" s="13" t="s">
        <v>67</v>
      </c>
      <c r="E390" s="13" t="s">
        <v>78</v>
      </c>
      <c r="F390" s="13" t="s">
        <v>325</v>
      </c>
    </row>
    <row r="391" spans="1:6" x14ac:dyDescent="0.25">
      <c r="A391" s="13" t="s">
        <v>277</v>
      </c>
      <c r="B391" s="16">
        <v>2889.42641</v>
      </c>
      <c r="C391" s="13" t="s">
        <v>354</v>
      </c>
      <c r="D391" s="13" t="s">
        <v>69</v>
      </c>
      <c r="E391" s="13" t="s">
        <v>49</v>
      </c>
      <c r="F391" s="13" t="s">
        <v>250</v>
      </c>
    </row>
    <row r="392" spans="1:6" x14ac:dyDescent="0.25">
      <c r="A392" s="13" t="s">
        <v>690</v>
      </c>
      <c r="B392" s="16">
        <v>2915.3484800000001</v>
      </c>
      <c r="C392" s="13" t="s">
        <v>691</v>
      </c>
      <c r="D392" s="13" t="s">
        <v>67</v>
      </c>
      <c r="E392" s="13" t="s">
        <v>87</v>
      </c>
      <c r="F392" s="13" t="s">
        <v>330</v>
      </c>
    </row>
    <row r="393" spans="1:6" x14ac:dyDescent="0.25">
      <c r="A393" s="13" t="s">
        <v>444</v>
      </c>
      <c r="B393" s="16">
        <v>2915.36105</v>
      </c>
      <c r="C393" s="13" t="s">
        <v>429</v>
      </c>
      <c r="D393" s="13" t="s">
        <v>67</v>
      </c>
      <c r="E393" s="13" t="s">
        <v>87</v>
      </c>
      <c r="F393" s="13" t="s">
        <v>300</v>
      </c>
    </row>
    <row r="394" spans="1:6" x14ac:dyDescent="0.25">
      <c r="A394" s="13" t="s">
        <v>692</v>
      </c>
      <c r="B394" s="16">
        <v>2924.36004</v>
      </c>
      <c r="C394" s="13" t="s">
        <v>693</v>
      </c>
      <c r="D394" s="13" t="s">
        <v>67</v>
      </c>
      <c r="E394" s="13" t="s">
        <v>87</v>
      </c>
      <c r="F394" s="13" t="s">
        <v>325</v>
      </c>
    </row>
    <row r="395" spans="1:6" x14ac:dyDescent="0.25">
      <c r="A395" s="13" t="s">
        <v>694</v>
      </c>
      <c r="B395" s="16">
        <v>2933.3590399999998</v>
      </c>
      <c r="C395" s="13" t="s">
        <v>695</v>
      </c>
      <c r="D395" s="13" t="s">
        <v>67</v>
      </c>
      <c r="E395" s="13" t="s">
        <v>84</v>
      </c>
      <c r="F395" s="13" t="s">
        <v>330</v>
      </c>
    </row>
    <row r="396" spans="1:6" x14ac:dyDescent="0.25">
      <c r="A396" s="13" t="s">
        <v>311</v>
      </c>
      <c r="B396" s="16">
        <v>2933.3716100000001</v>
      </c>
      <c r="C396" s="13" t="s">
        <v>368</v>
      </c>
      <c r="D396" s="13" t="s">
        <v>68</v>
      </c>
      <c r="E396" s="13" t="s">
        <v>17</v>
      </c>
      <c r="F396" s="13" t="s">
        <v>300</v>
      </c>
    </row>
    <row r="397" spans="1:6" x14ac:dyDescent="0.25">
      <c r="A397" s="13" t="s">
        <v>465</v>
      </c>
      <c r="B397" s="16">
        <v>2940.4148399999999</v>
      </c>
      <c r="C397" s="13" t="s">
        <v>423</v>
      </c>
      <c r="D397" s="13" t="s">
        <v>67</v>
      </c>
      <c r="E397" s="13" t="s">
        <v>99</v>
      </c>
      <c r="F397" s="13" t="s">
        <v>302</v>
      </c>
    </row>
    <row r="398" spans="1:6" x14ac:dyDescent="0.25">
      <c r="A398" s="13" t="s">
        <v>698</v>
      </c>
      <c r="B398" s="16">
        <v>2942.3706099999999</v>
      </c>
      <c r="C398" s="13" t="s">
        <v>699</v>
      </c>
      <c r="D398" s="13" t="s">
        <v>67</v>
      </c>
      <c r="E398" s="13" t="s">
        <v>84</v>
      </c>
      <c r="F398" s="13" t="s">
        <v>325</v>
      </c>
    </row>
    <row r="399" spans="1:6" x14ac:dyDescent="0.25">
      <c r="A399" s="13" t="s">
        <v>704</v>
      </c>
      <c r="B399" s="16">
        <v>2949.4138400000002</v>
      </c>
      <c r="C399" s="13" t="s">
        <v>705</v>
      </c>
      <c r="D399" s="13" t="s">
        <v>67</v>
      </c>
      <c r="E399" s="13" t="s">
        <v>99</v>
      </c>
      <c r="F399" s="13" t="s">
        <v>331</v>
      </c>
    </row>
    <row r="400" spans="1:6" x14ac:dyDescent="0.25">
      <c r="A400" s="13" t="s">
        <v>690</v>
      </c>
      <c r="B400" s="16">
        <v>2951.3696100000002</v>
      </c>
      <c r="C400" s="13" t="s">
        <v>691</v>
      </c>
      <c r="D400" s="13" t="s">
        <v>67</v>
      </c>
      <c r="E400" s="13" t="s">
        <v>79</v>
      </c>
      <c r="F400" s="13" t="s">
        <v>330</v>
      </c>
    </row>
    <row r="401" spans="1:6" x14ac:dyDescent="0.25">
      <c r="A401" s="13" t="s">
        <v>299</v>
      </c>
      <c r="B401" s="16">
        <v>2951.3821800000001</v>
      </c>
      <c r="C401" s="13" t="s">
        <v>368</v>
      </c>
      <c r="D401" s="13" t="s">
        <v>68</v>
      </c>
      <c r="E401" s="13" t="s">
        <v>24</v>
      </c>
      <c r="F401" s="13" t="s">
        <v>300</v>
      </c>
    </row>
    <row r="402" spans="1:6" x14ac:dyDescent="0.25">
      <c r="A402" s="13" t="s">
        <v>706</v>
      </c>
      <c r="B402" s="16">
        <v>2958.4254099999998</v>
      </c>
      <c r="C402" s="13" t="s">
        <v>707</v>
      </c>
      <c r="D402" s="13" t="s">
        <v>67</v>
      </c>
      <c r="E402" s="13" t="s">
        <v>94</v>
      </c>
      <c r="F402" s="13" t="s">
        <v>302</v>
      </c>
    </row>
    <row r="403" spans="1:6" x14ac:dyDescent="0.25">
      <c r="A403" s="13" t="s">
        <v>692</v>
      </c>
      <c r="B403" s="16">
        <v>2960.3811700000001</v>
      </c>
      <c r="C403" s="13" t="s">
        <v>693</v>
      </c>
      <c r="D403" s="13" t="s">
        <v>67</v>
      </c>
      <c r="E403" s="13" t="s">
        <v>79</v>
      </c>
      <c r="F403" s="13" t="s">
        <v>325</v>
      </c>
    </row>
    <row r="404" spans="1:6" x14ac:dyDescent="0.25">
      <c r="A404" s="13" t="s">
        <v>704</v>
      </c>
      <c r="B404" s="16">
        <v>2967.4243999999999</v>
      </c>
      <c r="C404" s="13" t="s">
        <v>705</v>
      </c>
      <c r="D404" s="13" t="s">
        <v>67</v>
      </c>
      <c r="E404" s="13" t="s">
        <v>94</v>
      </c>
      <c r="F404" s="13" t="s">
        <v>331</v>
      </c>
    </row>
    <row r="405" spans="1:6" x14ac:dyDescent="0.25">
      <c r="A405" s="13" t="s">
        <v>457</v>
      </c>
      <c r="B405" s="16">
        <v>2976.43597</v>
      </c>
      <c r="C405" s="13" t="s">
        <v>392</v>
      </c>
      <c r="D405" s="13" t="s">
        <v>67</v>
      </c>
      <c r="E405" s="13" t="s">
        <v>94</v>
      </c>
      <c r="F405" s="13" t="s">
        <v>326</v>
      </c>
    </row>
    <row r="406" spans="1:6" x14ac:dyDescent="0.25">
      <c r="A406" s="13" t="s">
        <v>284</v>
      </c>
      <c r="B406" s="16">
        <v>2985.4475400000001</v>
      </c>
      <c r="C406" s="13" t="s">
        <v>355</v>
      </c>
      <c r="D406" s="13" t="s">
        <v>69</v>
      </c>
      <c r="E406" s="13" t="s">
        <v>64</v>
      </c>
      <c r="F406" s="13" t="s">
        <v>252</v>
      </c>
    </row>
    <row r="407" spans="1:6" x14ac:dyDescent="0.25">
      <c r="A407" s="13" t="s">
        <v>465</v>
      </c>
      <c r="B407" s="16">
        <v>3020.3811700000001</v>
      </c>
      <c r="C407" s="13" t="s">
        <v>423</v>
      </c>
      <c r="D407" s="13" t="s">
        <v>67</v>
      </c>
      <c r="E407" s="13" t="s">
        <v>89</v>
      </c>
      <c r="F407" s="13" t="s">
        <v>302</v>
      </c>
    </row>
    <row r="408" spans="1:6" x14ac:dyDescent="0.25">
      <c r="A408" s="13" t="s">
        <v>704</v>
      </c>
      <c r="B408" s="16">
        <v>3029.3801699999999</v>
      </c>
      <c r="C408" s="13" t="s">
        <v>705</v>
      </c>
      <c r="D408" s="13" t="s">
        <v>67</v>
      </c>
      <c r="E408" s="13" t="s">
        <v>89</v>
      </c>
      <c r="F408" s="13" t="s">
        <v>331</v>
      </c>
    </row>
    <row r="409" spans="1:6" x14ac:dyDescent="0.25">
      <c r="A409" s="13" t="s">
        <v>706</v>
      </c>
      <c r="B409" s="16">
        <v>3038.39174</v>
      </c>
      <c r="C409" s="13" t="s">
        <v>707</v>
      </c>
      <c r="D409" s="13" t="s">
        <v>67</v>
      </c>
      <c r="E409" s="13" t="s">
        <v>58</v>
      </c>
      <c r="F409" s="13" t="s">
        <v>302</v>
      </c>
    </row>
    <row r="410" spans="1:6" x14ac:dyDescent="0.25">
      <c r="A410" s="13" t="s">
        <v>704</v>
      </c>
      <c r="B410" s="16">
        <v>3047.3907300000001</v>
      </c>
      <c r="C410" s="13" t="s">
        <v>705</v>
      </c>
      <c r="D410" s="13" t="s">
        <v>67</v>
      </c>
      <c r="E410" s="13" t="s">
        <v>58</v>
      </c>
      <c r="F410" s="13" t="s">
        <v>331</v>
      </c>
    </row>
    <row r="411" spans="1:6" x14ac:dyDescent="0.25">
      <c r="A411" s="13" t="s">
        <v>457</v>
      </c>
      <c r="B411" s="16">
        <v>3056.4023000000002</v>
      </c>
      <c r="C411" s="13" t="s">
        <v>392</v>
      </c>
      <c r="D411" s="13" t="s">
        <v>67</v>
      </c>
      <c r="E411" s="13" t="s">
        <v>58</v>
      </c>
      <c r="F411" s="13" t="s">
        <v>326</v>
      </c>
    </row>
    <row r="412" spans="1:6" x14ac:dyDescent="0.25">
      <c r="A412" s="13" t="s">
        <v>434</v>
      </c>
      <c r="B412" s="16">
        <v>3060.4571000000001</v>
      </c>
      <c r="C412" s="13" t="s">
        <v>403</v>
      </c>
      <c r="D412" s="13" t="s">
        <v>67</v>
      </c>
      <c r="E412" s="13" t="s">
        <v>95</v>
      </c>
      <c r="F412" s="13" t="s">
        <v>331</v>
      </c>
    </row>
    <row r="413" spans="1:6" x14ac:dyDescent="0.25">
      <c r="A413" s="13" t="s">
        <v>439</v>
      </c>
      <c r="B413" s="16">
        <v>3075.4693400000001</v>
      </c>
      <c r="C413" s="13" t="s">
        <v>423</v>
      </c>
      <c r="D413" s="13" t="s">
        <v>67</v>
      </c>
      <c r="E413" s="13" t="s">
        <v>95</v>
      </c>
      <c r="F413" s="13" t="s">
        <v>302</v>
      </c>
    </row>
    <row r="414" spans="1:6" x14ac:dyDescent="0.25">
      <c r="A414" s="13" t="s">
        <v>708</v>
      </c>
      <c r="B414" s="16">
        <v>3078.46767</v>
      </c>
      <c r="C414" s="13" t="s">
        <v>709</v>
      </c>
      <c r="D414" s="13" t="s">
        <v>67</v>
      </c>
      <c r="E414" s="13" t="s">
        <v>90</v>
      </c>
      <c r="F414" s="13" t="s">
        <v>331</v>
      </c>
    </row>
    <row r="415" spans="1:6" x14ac:dyDescent="0.25">
      <c r="A415" s="13" t="s">
        <v>710</v>
      </c>
      <c r="B415" s="16">
        <v>3084.4683300000002</v>
      </c>
      <c r="C415" s="13" t="s">
        <v>711</v>
      </c>
      <c r="D415" s="13" t="s">
        <v>67</v>
      </c>
      <c r="E415" s="13" t="s">
        <v>95</v>
      </c>
      <c r="F415" s="13" t="s">
        <v>326</v>
      </c>
    </row>
    <row r="416" spans="1:6" x14ac:dyDescent="0.25">
      <c r="A416" s="13" t="s">
        <v>712</v>
      </c>
      <c r="B416" s="16">
        <v>3093.4798999999998</v>
      </c>
      <c r="C416" s="13" t="s">
        <v>713</v>
      </c>
      <c r="D416" s="13" t="s">
        <v>67</v>
      </c>
      <c r="E416" s="13" t="s">
        <v>90</v>
      </c>
      <c r="F416" s="13" t="s">
        <v>302</v>
      </c>
    </row>
    <row r="417" spans="1:6" x14ac:dyDescent="0.25">
      <c r="A417" s="13" t="s">
        <v>434</v>
      </c>
      <c r="B417" s="16">
        <v>3096.4782300000002</v>
      </c>
      <c r="C417" s="13" t="s">
        <v>403</v>
      </c>
      <c r="D417" s="13" t="s">
        <v>67</v>
      </c>
      <c r="E417" s="13" t="s">
        <v>91</v>
      </c>
      <c r="F417" s="13" t="s">
        <v>331</v>
      </c>
    </row>
    <row r="418" spans="1:6" x14ac:dyDescent="0.25">
      <c r="A418" s="13" t="s">
        <v>714</v>
      </c>
      <c r="B418" s="16">
        <v>3102.4789000000001</v>
      </c>
      <c r="C418" s="13" t="s">
        <v>715</v>
      </c>
      <c r="D418" s="13" t="s">
        <v>67</v>
      </c>
      <c r="E418" s="13" t="s">
        <v>90</v>
      </c>
      <c r="F418" s="13" t="s">
        <v>326</v>
      </c>
    </row>
    <row r="419" spans="1:6" x14ac:dyDescent="0.25">
      <c r="A419" s="13" t="s">
        <v>251</v>
      </c>
      <c r="B419" s="16">
        <v>3111.4904700000002</v>
      </c>
      <c r="C419" s="13" t="s">
        <v>355</v>
      </c>
      <c r="D419" s="13" t="s">
        <v>69</v>
      </c>
      <c r="E419" s="13" t="s">
        <v>46</v>
      </c>
      <c r="F419" s="13" t="s">
        <v>252</v>
      </c>
    </row>
    <row r="420" spans="1:6" x14ac:dyDescent="0.25">
      <c r="A420" s="13" t="s">
        <v>710</v>
      </c>
      <c r="B420" s="16">
        <v>3120.4894599999998</v>
      </c>
      <c r="C420" s="13" t="s">
        <v>711</v>
      </c>
      <c r="D420" s="13" t="s">
        <v>67</v>
      </c>
      <c r="E420" s="13" t="s">
        <v>91</v>
      </c>
      <c r="F420" s="13" t="s">
        <v>326</v>
      </c>
    </row>
    <row r="421" spans="1:6" x14ac:dyDescent="0.25">
      <c r="A421" s="13" t="s">
        <v>263</v>
      </c>
      <c r="B421" s="16">
        <v>3129.5010299999999</v>
      </c>
      <c r="C421" s="13" t="s">
        <v>355</v>
      </c>
      <c r="D421" s="13" t="s">
        <v>69</v>
      </c>
      <c r="E421" s="13" t="s">
        <v>47</v>
      </c>
      <c r="F421" s="13" t="s">
        <v>252</v>
      </c>
    </row>
    <row r="422" spans="1:6" x14ac:dyDescent="0.25">
      <c r="A422" s="13" t="s">
        <v>708</v>
      </c>
      <c r="B422" s="16">
        <v>3140.4234299999998</v>
      </c>
      <c r="C422" s="13" t="s">
        <v>709</v>
      </c>
      <c r="D422" s="13" t="s">
        <v>67</v>
      </c>
      <c r="E422" s="13" t="s">
        <v>85</v>
      </c>
      <c r="F422" s="13" t="s">
        <v>331</v>
      </c>
    </row>
    <row r="423" spans="1:6" x14ac:dyDescent="0.25">
      <c r="A423" s="13" t="s">
        <v>712</v>
      </c>
      <c r="B423" s="16">
        <v>3155.4356699999998</v>
      </c>
      <c r="C423" s="13" t="s">
        <v>713</v>
      </c>
      <c r="D423" s="13" t="s">
        <v>67</v>
      </c>
      <c r="E423" s="13" t="s">
        <v>85</v>
      </c>
      <c r="F423" s="13" t="s">
        <v>302</v>
      </c>
    </row>
    <row r="424" spans="1:6" x14ac:dyDescent="0.25">
      <c r="A424" s="13" t="s">
        <v>716</v>
      </c>
      <c r="B424" s="16">
        <v>3158.4340000000002</v>
      </c>
      <c r="C424" s="13" t="s">
        <v>717</v>
      </c>
      <c r="D424" s="13" t="s">
        <v>67</v>
      </c>
      <c r="E424" s="13" t="s">
        <v>57</v>
      </c>
      <c r="F424" s="13" t="s">
        <v>331</v>
      </c>
    </row>
    <row r="425" spans="1:6" x14ac:dyDescent="0.25">
      <c r="A425" s="13" t="s">
        <v>714</v>
      </c>
      <c r="B425" s="16">
        <v>3164.4346700000001</v>
      </c>
      <c r="C425" s="13" t="s">
        <v>715</v>
      </c>
      <c r="D425" s="13" t="s">
        <v>67</v>
      </c>
      <c r="E425" s="13" t="s">
        <v>85</v>
      </c>
      <c r="F425" s="13" t="s">
        <v>326</v>
      </c>
    </row>
    <row r="426" spans="1:6" x14ac:dyDescent="0.25">
      <c r="A426" s="13" t="s">
        <v>319</v>
      </c>
      <c r="B426" s="16">
        <v>3173.44623</v>
      </c>
      <c r="C426" s="13" t="s">
        <v>369</v>
      </c>
      <c r="D426" s="13" t="s">
        <v>68</v>
      </c>
      <c r="E426" s="13" t="s">
        <v>45</v>
      </c>
      <c r="F426" s="13" t="s">
        <v>302</v>
      </c>
    </row>
    <row r="427" spans="1:6" x14ac:dyDescent="0.25">
      <c r="A427" s="13" t="s">
        <v>708</v>
      </c>
      <c r="B427" s="16">
        <v>3176.4445599999999</v>
      </c>
      <c r="C427" s="13" t="s">
        <v>709</v>
      </c>
      <c r="D427" s="13" t="s">
        <v>67</v>
      </c>
      <c r="E427" s="13" t="s">
        <v>78</v>
      </c>
      <c r="F427" s="13" t="s">
        <v>331</v>
      </c>
    </row>
    <row r="428" spans="1:6" x14ac:dyDescent="0.25">
      <c r="A428" s="13" t="s">
        <v>718</v>
      </c>
      <c r="B428" s="16">
        <v>3182.4452299999998</v>
      </c>
      <c r="C428" s="13" t="s">
        <v>719</v>
      </c>
      <c r="D428" s="13" t="s">
        <v>67</v>
      </c>
      <c r="E428" s="13" t="s">
        <v>57</v>
      </c>
      <c r="F428" s="13" t="s">
        <v>326</v>
      </c>
    </row>
    <row r="429" spans="1:6" x14ac:dyDescent="0.25">
      <c r="A429" s="13" t="s">
        <v>270</v>
      </c>
      <c r="B429" s="16">
        <v>3191.4567999999999</v>
      </c>
      <c r="C429" s="13" t="s">
        <v>355</v>
      </c>
      <c r="D429" s="13" t="s">
        <v>69</v>
      </c>
      <c r="E429" s="13" t="s">
        <v>48</v>
      </c>
      <c r="F429" s="13" t="s">
        <v>252</v>
      </c>
    </row>
    <row r="430" spans="1:6" x14ac:dyDescent="0.25">
      <c r="A430" s="13" t="s">
        <v>714</v>
      </c>
      <c r="B430" s="16">
        <v>3200.45579</v>
      </c>
      <c r="C430" s="13" t="s">
        <v>715</v>
      </c>
      <c r="D430" s="13" t="s">
        <v>67</v>
      </c>
      <c r="E430" s="13" t="s">
        <v>78</v>
      </c>
      <c r="F430" s="13" t="s">
        <v>326</v>
      </c>
    </row>
    <row r="431" spans="1:6" x14ac:dyDescent="0.25">
      <c r="A431" s="13" t="s">
        <v>278</v>
      </c>
      <c r="B431" s="16">
        <v>3209.4673600000001</v>
      </c>
      <c r="C431" s="13" t="s">
        <v>355</v>
      </c>
      <c r="D431" s="13" t="s">
        <v>69</v>
      </c>
      <c r="E431" s="13" t="s">
        <v>49</v>
      </c>
      <c r="F431" s="13" t="s">
        <v>252</v>
      </c>
    </row>
    <row r="432" spans="1:6" x14ac:dyDescent="0.25">
      <c r="A432" s="13" t="s">
        <v>434</v>
      </c>
      <c r="B432" s="16">
        <v>3220.38976</v>
      </c>
      <c r="C432" s="13" t="s">
        <v>403</v>
      </c>
      <c r="D432" s="13" t="s">
        <v>67</v>
      </c>
      <c r="E432" s="13" t="s">
        <v>87</v>
      </c>
      <c r="F432" s="13" t="s">
        <v>331</v>
      </c>
    </row>
    <row r="433" spans="1:6" x14ac:dyDescent="0.25">
      <c r="A433" s="13" t="s">
        <v>439</v>
      </c>
      <c r="B433" s="16">
        <v>3235.402</v>
      </c>
      <c r="C433" s="13" t="s">
        <v>423</v>
      </c>
      <c r="D433" s="13" t="s">
        <v>67</v>
      </c>
      <c r="E433" s="13" t="s">
        <v>87</v>
      </c>
      <c r="F433" s="13" t="s">
        <v>302</v>
      </c>
    </row>
    <row r="434" spans="1:6" x14ac:dyDescent="0.25">
      <c r="A434" s="13" t="s">
        <v>708</v>
      </c>
      <c r="B434" s="16">
        <v>3238.4003299999999</v>
      </c>
      <c r="C434" s="13" t="s">
        <v>709</v>
      </c>
      <c r="D434" s="13" t="s">
        <v>67</v>
      </c>
      <c r="E434" s="13" t="s">
        <v>84</v>
      </c>
      <c r="F434" s="13" t="s">
        <v>331</v>
      </c>
    </row>
    <row r="435" spans="1:6" x14ac:dyDescent="0.25">
      <c r="A435" s="13" t="s">
        <v>710</v>
      </c>
      <c r="B435" s="16">
        <v>3244.4009999999998</v>
      </c>
      <c r="C435" s="13" t="s">
        <v>711</v>
      </c>
      <c r="D435" s="13" t="s">
        <v>67</v>
      </c>
      <c r="E435" s="13" t="s">
        <v>87</v>
      </c>
      <c r="F435" s="13" t="s">
        <v>326</v>
      </c>
    </row>
    <row r="436" spans="1:6" x14ac:dyDescent="0.25">
      <c r="A436" s="13" t="s">
        <v>312</v>
      </c>
      <c r="B436" s="16">
        <v>3253.4125600000002</v>
      </c>
      <c r="C436" s="13" t="s">
        <v>369</v>
      </c>
      <c r="D436" s="13" t="s">
        <v>68</v>
      </c>
      <c r="E436" s="13" t="s">
        <v>17</v>
      </c>
      <c r="F436" s="13" t="s">
        <v>302</v>
      </c>
    </row>
    <row r="437" spans="1:6" x14ac:dyDescent="0.25">
      <c r="A437" s="13" t="s">
        <v>461</v>
      </c>
      <c r="B437" s="16">
        <v>3254.4551299999998</v>
      </c>
      <c r="C437" s="13" t="s">
        <v>404</v>
      </c>
      <c r="D437" s="13" t="s">
        <v>67</v>
      </c>
      <c r="E437" s="13" t="s">
        <v>99</v>
      </c>
      <c r="F437" s="13" t="s">
        <v>332</v>
      </c>
    </row>
    <row r="438" spans="1:6" x14ac:dyDescent="0.25">
      <c r="A438" s="13" t="s">
        <v>434</v>
      </c>
      <c r="B438" s="16">
        <v>3256.4108900000001</v>
      </c>
      <c r="C438" s="13" t="s">
        <v>403</v>
      </c>
      <c r="D438" s="13" t="s">
        <v>67</v>
      </c>
      <c r="E438" s="13" t="s">
        <v>79</v>
      </c>
      <c r="F438" s="13" t="s">
        <v>331</v>
      </c>
    </row>
    <row r="439" spans="1:6" x14ac:dyDescent="0.25">
      <c r="A439" s="13" t="s">
        <v>464</v>
      </c>
      <c r="B439" s="16">
        <v>3260.45579</v>
      </c>
      <c r="C439" s="13" t="s">
        <v>415</v>
      </c>
      <c r="D439" s="13" t="s">
        <v>67</v>
      </c>
      <c r="E439" s="13" t="s">
        <v>99</v>
      </c>
      <c r="F439" s="13" t="s">
        <v>304</v>
      </c>
    </row>
    <row r="440" spans="1:6" x14ac:dyDescent="0.25">
      <c r="A440" s="13" t="s">
        <v>714</v>
      </c>
      <c r="B440" s="16">
        <v>3262.41156</v>
      </c>
      <c r="C440" s="13" t="s">
        <v>715</v>
      </c>
      <c r="D440" s="13" t="s">
        <v>67</v>
      </c>
      <c r="E440" s="13" t="s">
        <v>84</v>
      </c>
      <c r="F440" s="13" t="s">
        <v>326</v>
      </c>
    </row>
    <row r="441" spans="1:6" x14ac:dyDescent="0.25">
      <c r="A441" s="13" t="s">
        <v>301</v>
      </c>
      <c r="B441" s="16">
        <v>3271.4231300000001</v>
      </c>
      <c r="C441" s="13" t="s">
        <v>369</v>
      </c>
      <c r="D441" s="13" t="s">
        <v>68</v>
      </c>
      <c r="E441" s="13" t="s">
        <v>24</v>
      </c>
      <c r="F441" s="13" t="s">
        <v>302</v>
      </c>
    </row>
    <row r="442" spans="1:6" x14ac:dyDescent="0.25">
      <c r="A442" s="13" t="s">
        <v>461</v>
      </c>
      <c r="B442" s="16">
        <v>3272.46569</v>
      </c>
      <c r="C442" s="13" t="s">
        <v>404</v>
      </c>
      <c r="D442" s="13" t="s">
        <v>67</v>
      </c>
      <c r="E442" s="13" t="s">
        <v>94</v>
      </c>
      <c r="F442" s="13" t="s">
        <v>332</v>
      </c>
    </row>
    <row r="443" spans="1:6" x14ac:dyDescent="0.25">
      <c r="A443" s="13" t="s">
        <v>720</v>
      </c>
      <c r="B443" s="16">
        <v>3278.4663599999999</v>
      </c>
      <c r="C443" s="13" t="s">
        <v>721</v>
      </c>
      <c r="D443" s="13" t="s">
        <v>67</v>
      </c>
      <c r="E443" s="13" t="s">
        <v>99</v>
      </c>
      <c r="F443" s="13" t="s">
        <v>327</v>
      </c>
    </row>
    <row r="444" spans="1:6" x14ac:dyDescent="0.25">
      <c r="A444" s="13" t="s">
        <v>710</v>
      </c>
      <c r="B444" s="16">
        <v>3280.4221299999999</v>
      </c>
      <c r="C444" s="13" t="s">
        <v>711</v>
      </c>
      <c r="D444" s="13" t="s">
        <v>67</v>
      </c>
      <c r="E444" s="13" t="s">
        <v>79</v>
      </c>
      <c r="F444" s="13" t="s">
        <v>326</v>
      </c>
    </row>
    <row r="445" spans="1:6" x14ac:dyDescent="0.25">
      <c r="A445" s="13" t="s">
        <v>458</v>
      </c>
      <c r="B445" s="16">
        <v>3296.4769200000001</v>
      </c>
      <c r="C445" s="13" t="s">
        <v>393</v>
      </c>
      <c r="D445" s="13" t="s">
        <v>67</v>
      </c>
      <c r="E445" s="13" t="s">
        <v>94</v>
      </c>
      <c r="F445" s="13" t="s">
        <v>327</v>
      </c>
    </row>
    <row r="446" spans="1:6" x14ac:dyDescent="0.25">
      <c r="A446" s="13" t="s">
        <v>285</v>
      </c>
      <c r="B446" s="16">
        <v>3305.4884900000002</v>
      </c>
      <c r="C446" s="13" t="s">
        <v>356</v>
      </c>
      <c r="D446" s="13" t="s">
        <v>69</v>
      </c>
      <c r="E446" s="13" t="s">
        <v>64</v>
      </c>
      <c r="F446" s="13" t="s">
        <v>254</v>
      </c>
    </row>
    <row r="447" spans="1:6" x14ac:dyDescent="0.25">
      <c r="A447" s="13" t="s">
        <v>461</v>
      </c>
      <c r="B447" s="16">
        <v>3334.42146</v>
      </c>
      <c r="C447" s="13" t="s">
        <v>404</v>
      </c>
      <c r="D447" s="13" t="s">
        <v>67</v>
      </c>
      <c r="E447" s="13" t="s">
        <v>89</v>
      </c>
      <c r="F447" s="13" t="s">
        <v>332</v>
      </c>
    </row>
    <row r="448" spans="1:6" x14ac:dyDescent="0.25">
      <c r="A448" s="13" t="s">
        <v>464</v>
      </c>
      <c r="B448" s="16">
        <v>3340.4221299999999</v>
      </c>
      <c r="C448" s="13" t="s">
        <v>415</v>
      </c>
      <c r="D448" s="13" t="s">
        <v>67</v>
      </c>
      <c r="E448" s="13" t="s">
        <v>89</v>
      </c>
      <c r="F448" s="13" t="s">
        <v>304</v>
      </c>
    </row>
    <row r="449" spans="1:6" x14ac:dyDescent="0.25">
      <c r="A449" s="13" t="s">
        <v>461</v>
      </c>
      <c r="B449" s="16">
        <v>3352.4320200000002</v>
      </c>
      <c r="C449" s="13" t="s">
        <v>404</v>
      </c>
      <c r="D449" s="13" t="s">
        <v>67</v>
      </c>
      <c r="E449" s="13" t="s">
        <v>58</v>
      </c>
      <c r="F449" s="13" t="s">
        <v>332</v>
      </c>
    </row>
    <row r="450" spans="1:6" x14ac:dyDescent="0.25">
      <c r="A450" s="13" t="s">
        <v>720</v>
      </c>
      <c r="B450" s="16">
        <v>3358.4326900000001</v>
      </c>
      <c r="C450" s="13" t="s">
        <v>721</v>
      </c>
      <c r="D450" s="13" t="s">
        <v>67</v>
      </c>
      <c r="E450" s="13" t="s">
        <v>89</v>
      </c>
      <c r="F450" s="13" t="s">
        <v>327</v>
      </c>
    </row>
    <row r="451" spans="1:6" x14ac:dyDescent="0.25">
      <c r="A451" s="13" t="s">
        <v>458</v>
      </c>
      <c r="B451" s="16">
        <v>3376.44326</v>
      </c>
      <c r="C451" s="13" t="s">
        <v>393</v>
      </c>
      <c r="D451" s="13" t="s">
        <v>67</v>
      </c>
      <c r="E451" s="13" t="s">
        <v>58</v>
      </c>
      <c r="F451" s="13" t="s">
        <v>327</v>
      </c>
    </row>
    <row r="452" spans="1:6" x14ac:dyDescent="0.25">
      <c r="A452" s="13" t="s">
        <v>722</v>
      </c>
      <c r="B452" s="16">
        <v>3389.5096199999998</v>
      </c>
      <c r="C452" s="13" t="s">
        <v>723</v>
      </c>
      <c r="D452" s="13" t="s">
        <v>67</v>
      </c>
      <c r="E452" s="13" t="s">
        <v>95</v>
      </c>
      <c r="F452" s="13" t="s">
        <v>327</v>
      </c>
    </row>
    <row r="453" spans="1:6" x14ac:dyDescent="0.25">
      <c r="A453" s="13" t="s">
        <v>437</v>
      </c>
      <c r="B453" s="16">
        <v>3395.5102900000002</v>
      </c>
      <c r="C453" s="13" t="s">
        <v>415</v>
      </c>
      <c r="D453" s="13" t="s">
        <v>67</v>
      </c>
      <c r="E453" s="13" t="s">
        <v>95</v>
      </c>
      <c r="F453" s="13" t="s">
        <v>304</v>
      </c>
    </row>
    <row r="454" spans="1:6" x14ac:dyDescent="0.25">
      <c r="A454" s="13" t="s">
        <v>724</v>
      </c>
      <c r="B454" s="16">
        <v>3407.5201900000002</v>
      </c>
      <c r="C454" s="13" t="s">
        <v>725</v>
      </c>
      <c r="D454" s="13" t="s">
        <v>67</v>
      </c>
      <c r="E454" s="13" t="s">
        <v>90</v>
      </c>
      <c r="F454" s="13" t="s">
        <v>327</v>
      </c>
    </row>
    <row r="455" spans="1:6" x14ac:dyDescent="0.25">
      <c r="A455" s="13" t="s">
        <v>726</v>
      </c>
      <c r="B455" s="16">
        <v>3413.5208499999999</v>
      </c>
      <c r="C455" s="13" t="s">
        <v>727</v>
      </c>
      <c r="D455" s="13" t="s">
        <v>67</v>
      </c>
      <c r="E455" s="13" t="s">
        <v>90</v>
      </c>
      <c r="F455" s="13" t="s">
        <v>304</v>
      </c>
    </row>
    <row r="456" spans="1:6" x14ac:dyDescent="0.25">
      <c r="A456" s="13" t="s">
        <v>722</v>
      </c>
      <c r="B456" s="16">
        <v>3425.5307499999999</v>
      </c>
      <c r="C456" s="13" t="s">
        <v>723</v>
      </c>
      <c r="D456" s="13" t="s">
        <v>67</v>
      </c>
      <c r="E456" s="13" t="s">
        <v>91</v>
      </c>
      <c r="F456" s="13" t="s">
        <v>327</v>
      </c>
    </row>
    <row r="457" spans="1:6" x14ac:dyDescent="0.25">
      <c r="A457" s="13" t="s">
        <v>253</v>
      </c>
      <c r="B457" s="16">
        <v>3431.5314199999998</v>
      </c>
      <c r="C457" s="13" t="s">
        <v>356</v>
      </c>
      <c r="D457" s="13" t="s">
        <v>69</v>
      </c>
      <c r="E457" s="13" t="s">
        <v>46</v>
      </c>
      <c r="F457" s="13" t="s">
        <v>254</v>
      </c>
    </row>
    <row r="458" spans="1:6" x14ac:dyDescent="0.25">
      <c r="A458" s="13" t="s">
        <v>264</v>
      </c>
      <c r="B458" s="16">
        <v>3449.54198</v>
      </c>
      <c r="C458" s="13" t="s">
        <v>356</v>
      </c>
      <c r="D458" s="13" t="s">
        <v>69</v>
      </c>
      <c r="E458" s="13" t="s">
        <v>47</v>
      </c>
      <c r="F458" s="13" t="s">
        <v>254</v>
      </c>
    </row>
    <row r="459" spans="1:6" x14ac:dyDescent="0.25">
      <c r="A459" s="13" t="s">
        <v>724</v>
      </c>
      <c r="B459" s="16">
        <v>3469.47595</v>
      </c>
      <c r="C459" s="13" t="s">
        <v>725</v>
      </c>
      <c r="D459" s="13" t="s">
        <v>67</v>
      </c>
      <c r="E459" s="13" t="s">
        <v>85</v>
      </c>
      <c r="F459" s="13" t="s">
        <v>327</v>
      </c>
    </row>
    <row r="460" spans="1:6" x14ac:dyDescent="0.25">
      <c r="A460" s="13" t="s">
        <v>726</v>
      </c>
      <c r="B460" s="16">
        <v>3475.4766199999999</v>
      </c>
      <c r="C460" s="13" t="s">
        <v>727</v>
      </c>
      <c r="D460" s="13" t="s">
        <v>67</v>
      </c>
      <c r="E460" s="13" t="s">
        <v>85</v>
      </c>
      <c r="F460" s="13" t="s">
        <v>304</v>
      </c>
    </row>
    <row r="461" spans="1:6" x14ac:dyDescent="0.25">
      <c r="A461" s="13" t="s">
        <v>728</v>
      </c>
      <c r="B461" s="16">
        <v>3487.4865199999999</v>
      </c>
      <c r="C461" s="13" t="s">
        <v>729</v>
      </c>
      <c r="D461" s="13" t="s">
        <v>67</v>
      </c>
      <c r="E461" s="13" t="s">
        <v>57</v>
      </c>
      <c r="F461" s="13" t="s">
        <v>327</v>
      </c>
    </row>
    <row r="462" spans="1:6" x14ac:dyDescent="0.25">
      <c r="A462" s="13" t="s">
        <v>320</v>
      </c>
      <c r="B462" s="16">
        <v>3493.4871899999998</v>
      </c>
      <c r="C462" s="13" t="s">
        <v>370</v>
      </c>
      <c r="D462" s="13" t="s">
        <v>68</v>
      </c>
      <c r="E462" s="13" t="s">
        <v>45</v>
      </c>
      <c r="F462" s="13" t="s">
        <v>304</v>
      </c>
    </row>
    <row r="463" spans="1:6" x14ac:dyDescent="0.25">
      <c r="A463" s="13" t="s">
        <v>724</v>
      </c>
      <c r="B463" s="16">
        <v>3505.4970800000001</v>
      </c>
      <c r="C463" s="13" t="s">
        <v>725</v>
      </c>
      <c r="D463" s="13" t="s">
        <v>67</v>
      </c>
      <c r="E463" s="13" t="s">
        <v>78</v>
      </c>
      <c r="F463" s="13" t="s">
        <v>327</v>
      </c>
    </row>
    <row r="464" spans="1:6" x14ac:dyDescent="0.25">
      <c r="A464" s="13" t="s">
        <v>271</v>
      </c>
      <c r="B464" s="16">
        <v>3511.49775</v>
      </c>
      <c r="C464" s="13" t="s">
        <v>356</v>
      </c>
      <c r="D464" s="13" t="s">
        <v>69</v>
      </c>
      <c r="E464" s="13" t="s">
        <v>48</v>
      </c>
      <c r="F464" s="13" t="s">
        <v>254</v>
      </c>
    </row>
    <row r="465" spans="1:6" x14ac:dyDescent="0.25">
      <c r="A465" s="13" t="s">
        <v>279</v>
      </c>
      <c r="B465" s="16">
        <v>3529.5083100000002</v>
      </c>
      <c r="C465" s="13" t="s">
        <v>356</v>
      </c>
      <c r="D465" s="13" t="s">
        <v>69</v>
      </c>
      <c r="E465" s="13" t="s">
        <v>49</v>
      </c>
      <c r="F465" s="13" t="s">
        <v>254</v>
      </c>
    </row>
    <row r="466" spans="1:6" x14ac:dyDescent="0.25">
      <c r="A466" s="13" t="s">
        <v>722</v>
      </c>
      <c r="B466" s="16">
        <v>3549.4422800000002</v>
      </c>
      <c r="C466" s="13" t="s">
        <v>723</v>
      </c>
      <c r="D466" s="13" t="s">
        <v>67</v>
      </c>
      <c r="E466" s="13" t="s">
        <v>87</v>
      </c>
      <c r="F466" s="13" t="s">
        <v>327</v>
      </c>
    </row>
    <row r="467" spans="1:6" x14ac:dyDescent="0.25">
      <c r="A467" s="13" t="s">
        <v>437</v>
      </c>
      <c r="B467" s="16">
        <v>3555.4429500000001</v>
      </c>
      <c r="C467" s="13" t="s">
        <v>415</v>
      </c>
      <c r="D467" s="13" t="s">
        <v>67</v>
      </c>
      <c r="E467" s="13" t="s">
        <v>87</v>
      </c>
      <c r="F467" s="13" t="s">
        <v>304</v>
      </c>
    </row>
    <row r="468" spans="1:6" x14ac:dyDescent="0.25">
      <c r="A468" s="13" t="s">
        <v>462</v>
      </c>
      <c r="B468" s="16">
        <v>3565.4970800000001</v>
      </c>
      <c r="C468" s="13" t="s">
        <v>405</v>
      </c>
      <c r="D468" s="13" t="s">
        <v>67</v>
      </c>
      <c r="E468" s="13" t="s">
        <v>99</v>
      </c>
      <c r="F468" s="13" t="s">
        <v>306</v>
      </c>
    </row>
    <row r="469" spans="1:6" x14ac:dyDescent="0.25">
      <c r="A469" s="13" t="s">
        <v>724</v>
      </c>
      <c r="B469" s="16">
        <v>3567.4528500000001</v>
      </c>
      <c r="C469" s="13" t="s">
        <v>725</v>
      </c>
      <c r="D469" s="13" t="s">
        <v>67</v>
      </c>
      <c r="E469" s="13" t="s">
        <v>84</v>
      </c>
      <c r="F469" s="13" t="s">
        <v>327</v>
      </c>
    </row>
    <row r="470" spans="1:6" x14ac:dyDescent="0.25">
      <c r="A470" s="13" t="s">
        <v>313</v>
      </c>
      <c r="B470" s="16">
        <v>3573.45352</v>
      </c>
      <c r="C470" s="13" t="s">
        <v>370</v>
      </c>
      <c r="D470" s="13" t="s">
        <v>68</v>
      </c>
      <c r="E470" s="13" t="s">
        <v>17</v>
      </c>
      <c r="F470" s="13" t="s">
        <v>304</v>
      </c>
    </row>
    <row r="471" spans="1:6" x14ac:dyDescent="0.25">
      <c r="A471" s="13" t="s">
        <v>730</v>
      </c>
      <c r="B471" s="16">
        <v>3583.50765</v>
      </c>
      <c r="C471" s="13" t="s">
        <v>731</v>
      </c>
      <c r="D471" s="13" t="s">
        <v>67</v>
      </c>
      <c r="E471" s="13" t="s">
        <v>94</v>
      </c>
      <c r="F471" s="13" t="s">
        <v>306</v>
      </c>
    </row>
    <row r="472" spans="1:6" x14ac:dyDescent="0.25">
      <c r="A472" s="13" t="s">
        <v>722</v>
      </c>
      <c r="B472" s="16">
        <v>3585.4634099999998</v>
      </c>
      <c r="C472" s="13" t="s">
        <v>723</v>
      </c>
      <c r="D472" s="13" t="s">
        <v>67</v>
      </c>
      <c r="E472" s="13" t="s">
        <v>79</v>
      </c>
      <c r="F472" s="13" t="s">
        <v>327</v>
      </c>
    </row>
    <row r="473" spans="1:6" x14ac:dyDescent="0.25">
      <c r="A473" s="13" t="s">
        <v>303</v>
      </c>
      <c r="B473" s="16">
        <v>3591.4640800000002</v>
      </c>
      <c r="C473" s="13" t="s">
        <v>370</v>
      </c>
      <c r="D473" s="13" t="s">
        <v>68</v>
      </c>
      <c r="E473" s="13" t="s">
        <v>24</v>
      </c>
      <c r="F473" s="13" t="s">
        <v>304</v>
      </c>
    </row>
    <row r="474" spans="1:6" x14ac:dyDescent="0.25">
      <c r="A474" s="13" t="s">
        <v>459</v>
      </c>
      <c r="B474" s="16">
        <v>3601.5182100000002</v>
      </c>
      <c r="C474" s="13" t="s">
        <v>394</v>
      </c>
      <c r="D474" s="13" t="s">
        <v>67</v>
      </c>
      <c r="E474" s="13" t="s">
        <v>94</v>
      </c>
      <c r="F474" s="13" t="s">
        <v>328</v>
      </c>
    </row>
    <row r="475" spans="1:6" x14ac:dyDescent="0.25">
      <c r="A475" s="13" t="s">
        <v>286</v>
      </c>
      <c r="B475" s="16">
        <v>3625.5294399999998</v>
      </c>
      <c r="C475" s="13" t="s">
        <v>357</v>
      </c>
      <c r="D475" s="13" t="s">
        <v>69</v>
      </c>
      <c r="E475" s="13" t="s">
        <v>64</v>
      </c>
      <c r="F475" s="13" t="s">
        <v>256</v>
      </c>
    </row>
    <row r="476" spans="1:6" x14ac:dyDescent="0.25">
      <c r="A476" s="13" t="s">
        <v>462</v>
      </c>
      <c r="B476" s="16">
        <v>3645.4634099999998</v>
      </c>
      <c r="C476" s="13" t="s">
        <v>405</v>
      </c>
      <c r="D476" s="13" t="s">
        <v>67</v>
      </c>
      <c r="E476" s="13" t="s">
        <v>89</v>
      </c>
      <c r="F476" s="13" t="s">
        <v>306</v>
      </c>
    </row>
    <row r="477" spans="1:6" x14ac:dyDescent="0.25">
      <c r="A477" s="13" t="s">
        <v>730</v>
      </c>
      <c r="B477" s="16">
        <v>3663.4739800000002</v>
      </c>
      <c r="C477" s="13" t="s">
        <v>731</v>
      </c>
      <c r="D477" s="13" t="s">
        <v>67</v>
      </c>
      <c r="E477" s="13" t="s">
        <v>58</v>
      </c>
      <c r="F477" s="13" t="s">
        <v>306</v>
      </c>
    </row>
    <row r="478" spans="1:6" x14ac:dyDescent="0.25">
      <c r="A478" s="13" t="s">
        <v>459</v>
      </c>
      <c r="B478" s="16">
        <v>3681.4845399999999</v>
      </c>
      <c r="C478" s="13" t="s">
        <v>394</v>
      </c>
      <c r="D478" s="13" t="s">
        <v>67</v>
      </c>
      <c r="E478" s="13" t="s">
        <v>58</v>
      </c>
      <c r="F478" s="13" t="s">
        <v>328</v>
      </c>
    </row>
    <row r="479" spans="1:6" x14ac:dyDescent="0.25">
      <c r="A479" s="13" t="s">
        <v>435</v>
      </c>
      <c r="B479" s="16">
        <v>3700.5515799999998</v>
      </c>
      <c r="C479" s="13" t="s">
        <v>405</v>
      </c>
      <c r="D479" s="13" t="s">
        <v>67</v>
      </c>
      <c r="E479" s="13" t="s">
        <v>95</v>
      </c>
      <c r="F479" s="13" t="s">
        <v>306</v>
      </c>
    </row>
    <row r="480" spans="1:6" x14ac:dyDescent="0.25">
      <c r="A480" s="13" t="s">
        <v>732</v>
      </c>
      <c r="B480" s="16">
        <v>3718.56214</v>
      </c>
      <c r="C480" s="13" t="s">
        <v>733</v>
      </c>
      <c r="D480" s="13" t="s">
        <v>67</v>
      </c>
      <c r="E480" s="13" t="s">
        <v>90</v>
      </c>
      <c r="F480" s="13" t="s">
        <v>306</v>
      </c>
    </row>
    <row r="481" spans="1:6" x14ac:dyDescent="0.25">
      <c r="A481" s="13" t="s">
        <v>255</v>
      </c>
      <c r="B481" s="16">
        <v>3736.5727099999999</v>
      </c>
      <c r="C481" s="13" t="s">
        <v>357</v>
      </c>
      <c r="D481" s="13" t="s">
        <v>69</v>
      </c>
      <c r="E481" s="13" t="s">
        <v>46</v>
      </c>
      <c r="F481" s="13" t="s">
        <v>256</v>
      </c>
    </row>
    <row r="482" spans="1:6" x14ac:dyDescent="0.25">
      <c r="A482" s="13" t="s">
        <v>265</v>
      </c>
      <c r="B482" s="16">
        <v>3754.5832700000001</v>
      </c>
      <c r="C482" s="13" t="s">
        <v>357</v>
      </c>
      <c r="D482" s="13" t="s">
        <v>69</v>
      </c>
      <c r="E482" s="13" t="s">
        <v>47</v>
      </c>
      <c r="F482" s="13" t="s">
        <v>256</v>
      </c>
    </row>
    <row r="483" spans="1:6" x14ac:dyDescent="0.25">
      <c r="A483" s="13" t="s">
        <v>734</v>
      </c>
      <c r="B483" s="16">
        <v>3780.51791</v>
      </c>
      <c r="C483" s="13" t="s">
        <v>735</v>
      </c>
      <c r="D483" s="13" t="s">
        <v>67</v>
      </c>
      <c r="E483" s="13" t="s">
        <v>85</v>
      </c>
      <c r="F483" s="13" t="s">
        <v>306</v>
      </c>
    </row>
    <row r="484" spans="1:6" x14ac:dyDescent="0.25">
      <c r="A484" s="13" t="s">
        <v>321</v>
      </c>
      <c r="B484" s="16">
        <v>3798.5284700000002</v>
      </c>
      <c r="C484" s="13" t="s">
        <v>371</v>
      </c>
      <c r="D484" s="13" t="s">
        <v>68</v>
      </c>
      <c r="E484" s="13" t="s">
        <v>45</v>
      </c>
      <c r="F484" s="13" t="s">
        <v>306</v>
      </c>
    </row>
    <row r="485" spans="1:6" x14ac:dyDescent="0.25">
      <c r="A485" s="13" t="s">
        <v>272</v>
      </c>
      <c r="B485" s="16">
        <v>3816.5390400000001</v>
      </c>
      <c r="C485" s="13" t="s">
        <v>357</v>
      </c>
      <c r="D485" s="13" t="s">
        <v>69</v>
      </c>
      <c r="E485" s="13" t="s">
        <v>48</v>
      </c>
      <c r="F485" s="13" t="s">
        <v>256</v>
      </c>
    </row>
    <row r="486" spans="1:6" x14ac:dyDescent="0.25">
      <c r="A486" s="13" t="s">
        <v>280</v>
      </c>
      <c r="B486" s="16">
        <v>3834.5495999999998</v>
      </c>
      <c r="C486" s="13" t="s">
        <v>357</v>
      </c>
      <c r="D486" s="13" t="s">
        <v>69</v>
      </c>
      <c r="E486" s="13" t="s">
        <v>49</v>
      </c>
      <c r="F486" s="13" t="s">
        <v>256</v>
      </c>
    </row>
    <row r="487" spans="1:6" x14ac:dyDescent="0.25">
      <c r="A487" s="13" t="s">
        <v>435</v>
      </c>
      <c r="B487" s="16">
        <v>3860.4842400000002</v>
      </c>
      <c r="C487" s="13" t="s">
        <v>405</v>
      </c>
      <c r="D487" s="13" t="s">
        <v>67</v>
      </c>
      <c r="E487" s="13" t="s">
        <v>87</v>
      </c>
      <c r="F487" s="13" t="s">
        <v>306</v>
      </c>
    </row>
    <row r="488" spans="1:6" x14ac:dyDescent="0.25">
      <c r="A488" s="13" t="s">
        <v>314</v>
      </c>
      <c r="B488" s="16">
        <v>3878.4947999999999</v>
      </c>
      <c r="C488" s="13" t="s">
        <v>371</v>
      </c>
      <c r="D488" s="13" t="s">
        <v>68</v>
      </c>
      <c r="E488" s="13" t="s">
        <v>17</v>
      </c>
      <c r="F488" s="13" t="s">
        <v>306</v>
      </c>
    </row>
    <row r="489" spans="1:6" x14ac:dyDescent="0.25">
      <c r="A489" s="13" t="s">
        <v>460</v>
      </c>
      <c r="B489" s="16">
        <v>3894.5495999999998</v>
      </c>
      <c r="C489" s="13" t="s">
        <v>395</v>
      </c>
      <c r="D489" s="13" t="s">
        <v>67</v>
      </c>
      <c r="E489" s="13" t="s">
        <v>99</v>
      </c>
      <c r="F489" s="13" t="s">
        <v>308</v>
      </c>
    </row>
    <row r="490" spans="1:6" x14ac:dyDescent="0.25">
      <c r="A490" s="13" t="s">
        <v>305</v>
      </c>
      <c r="B490" s="16">
        <v>3896.5053699999999</v>
      </c>
      <c r="C490" s="13" t="s">
        <v>371</v>
      </c>
      <c r="D490" s="13" t="s">
        <v>68</v>
      </c>
      <c r="E490" s="13" t="s">
        <v>24</v>
      </c>
      <c r="F490" s="13" t="s">
        <v>306</v>
      </c>
    </row>
    <row r="491" spans="1:6" x14ac:dyDescent="0.25">
      <c r="A491" s="13" t="s">
        <v>460</v>
      </c>
      <c r="B491" s="16">
        <v>3912.5601700000002</v>
      </c>
      <c r="C491" s="13" t="s">
        <v>395</v>
      </c>
      <c r="D491" s="13" t="s">
        <v>67</v>
      </c>
      <c r="E491" s="13" t="s">
        <v>94</v>
      </c>
      <c r="F491" s="13" t="s">
        <v>308</v>
      </c>
    </row>
    <row r="492" spans="1:6" x14ac:dyDescent="0.25">
      <c r="A492" s="13" t="s">
        <v>431</v>
      </c>
      <c r="B492" s="16">
        <v>3914.51593</v>
      </c>
      <c r="C492" s="13" t="s">
        <v>394</v>
      </c>
      <c r="D492" s="13" t="s">
        <v>67</v>
      </c>
      <c r="E492" s="13" t="s">
        <v>79</v>
      </c>
      <c r="F492" s="13" t="s">
        <v>328</v>
      </c>
    </row>
    <row r="493" spans="1:6" x14ac:dyDescent="0.25">
      <c r="A493" s="13" t="s">
        <v>287</v>
      </c>
      <c r="B493" s="16">
        <v>3930.5707299999999</v>
      </c>
      <c r="C493" s="13" t="s">
        <v>358</v>
      </c>
      <c r="D493" s="13" t="s">
        <v>69</v>
      </c>
      <c r="E493" s="13" t="s">
        <v>64</v>
      </c>
      <c r="F493" s="13" t="s">
        <v>258</v>
      </c>
    </row>
    <row r="494" spans="1:6" x14ac:dyDescent="0.25">
      <c r="A494" s="13" t="s">
        <v>460</v>
      </c>
      <c r="B494" s="16">
        <v>3974.51593</v>
      </c>
      <c r="C494" s="13" t="s">
        <v>395</v>
      </c>
      <c r="D494" s="13" t="s">
        <v>67</v>
      </c>
      <c r="E494" s="13" t="s">
        <v>89</v>
      </c>
      <c r="F494" s="13" t="s">
        <v>308</v>
      </c>
    </row>
    <row r="495" spans="1:6" x14ac:dyDescent="0.25">
      <c r="A495" s="13" t="s">
        <v>460</v>
      </c>
      <c r="B495" s="16">
        <v>3992.5264999999999</v>
      </c>
      <c r="C495" s="13" t="s">
        <v>395</v>
      </c>
      <c r="D495" s="13" t="s">
        <v>67</v>
      </c>
      <c r="E495" s="13" t="s">
        <v>58</v>
      </c>
      <c r="F495" s="13" t="s">
        <v>308</v>
      </c>
    </row>
    <row r="496" spans="1:6" x14ac:dyDescent="0.25">
      <c r="A496" s="13" t="s">
        <v>432</v>
      </c>
      <c r="B496" s="16">
        <v>4029.6041</v>
      </c>
      <c r="C496" s="13" t="s">
        <v>395</v>
      </c>
      <c r="D496" s="13" t="s">
        <v>67</v>
      </c>
      <c r="E496" s="13" t="s">
        <v>95</v>
      </c>
      <c r="F496" s="13" t="s">
        <v>308</v>
      </c>
    </row>
    <row r="497" spans="1:6" x14ac:dyDescent="0.25">
      <c r="A497" s="13" t="s">
        <v>736</v>
      </c>
      <c r="B497" s="16">
        <v>4047.6146600000002</v>
      </c>
      <c r="C497" s="13" t="s">
        <v>737</v>
      </c>
      <c r="D497" s="13" t="s">
        <v>67</v>
      </c>
      <c r="E497" s="13" t="s">
        <v>96</v>
      </c>
      <c r="F497" s="13" t="s">
        <v>308</v>
      </c>
    </row>
    <row r="498" spans="1:6" x14ac:dyDescent="0.25">
      <c r="A498" s="13" t="s">
        <v>257</v>
      </c>
      <c r="B498" s="16">
        <v>4065.6252300000001</v>
      </c>
      <c r="C498" s="13" t="s">
        <v>358</v>
      </c>
      <c r="D498" s="13" t="s">
        <v>69</v>
      </c>
      <c r="E498" s="13" t="s">
        <v>46</v>
      </c>
      <c r="F498" s="13" t="s">
        <v>258</v>
      </c>
    </row>
    <row r="499" spans="1:6" x14ac:dyDescent="0.25">
      <c r="A499" s="13" t="s">
        <v>266</v>
      </c>
      <c r="B499" s="16">
        <v>4083.6357899999998</v>
      </c>
      <c r="C499" s="13" t="s">
        <v>358</v>
      </c>
      <c r="D499" s="13" t="s">
        <v>69</v>
      </c>
      <c r="E499" s="13" t="s">
        <v>47</v>
      </c>
      <c r="F499" s="13" t="s">
        <v>258</v>
      </c>
    </row>
    <row r="500" spans="1:6" x14ac:dyDescent="0.25">
      <c r="A500" s="13" t="s">
        <v>736</v>
      </c>
      <c r="B500" s="16">
        <v>4109.5704299999998</v>
      </c>
      <c r="C500" s="13" t="s">
        <v>737</v>
      </c>
      <c r="D500" s="13" t="s">
        <v>67</v>
      </c>
      <c r="E500" s="13" t="s">
        <v>85</v>
      </c>
      <c r="F500" s="13" t="s">
        <v>308</v>
      </c>
    </row>
    <row r="501" spans="1:6" x14ac:dyDescent="0.25">
      <c r="A501" s="13" t="s">
        <v>322</v>
      </c>
      <c r="B501" s="16">
        <v>4127.5809900000004</v>
      </c>
      <c r="C501" s="13" t="s">
        <v>372</v>
      </c>
      <c r="D501" s="13" t="s">
        <v>68</v>
      </c>
      <c r="E501" s="13" t="s">
        <v>45</v>
      </c>
      <c r="F501" s="13" t="s">
        <v>308</v>
      </c>
    </row>
    <row r="502" spans="1:6" x14ac:dyDescent="0.25">
      <c r="A502" s="13" t="s">
        <v>273</v>
      </c>
      <c r="B502" s="16">
        <v>4145.5915599999998</v>
      </c>
      <c r="C502" s="13" t="s">
        <v>358</v>
      </c>
      <c r="D502" s="13" t="s">
        <v>69</v>
      </c>
      <c r="E502" s="13" t="s">
        <v>48</v>
      </c>
      <c r="F502" s="13" t="s">
        <v>258</v>
      </c>
    </row>
    <row r="503" spans="1:6" x14ac:dyDescent="0.25">
      <c r="A503" s="13" t="s">
        <v>281</v>
      </c>
      <c r="B503" s="16">
        <v>4163.6021199999996</v>
      </c>
      <c r="C503" s="13" t="s">
        <v>358</v>
      </c>
      <c r="D503" s="13" t="s">
        <v>69</v>
      </c>
      <c r="E503" s="13" t="s">
        <v>49</v>
      </c>
      <c r="F503" s="13" t="s">
        <v>258</v>
      </c>
    </row>
    <row r="504" spans="1:6" x14ac:dyDescent="0.25">
      <c r="A504" s="13" t="s">
        <v>432</v>
      </c>
      <c r="B504" s="16">
        <v>4189.53676</v>
      </c>
      <c r="C504" s="13" t="s">
        <v>395</v>
      </c>
      <c r="D504" s="13" t="s">
        <v>67</v>
      </c>
      <c r="E504" s="13" t="s">
        <v>87</v>
      </c>
      <c r="F504" s="13" t="s">
        <v>308</v>
      </c>
    </row>
    <row r="505" spans="1:6" x14ac:dyDescent="0.25">
      <c r="A505" s="13" t="s">
        <v>315</v>
      </c>
      <c r="B505" s="16">
        <v>4207.5473199999997</v>
      </c>
      <c r="C505" s="13" t="s">
        <v>372</v>
      </c>
      <c r="D505" s="13" t="s">
        <v>68</v>
      </c>
      <c r="E505" s="13" t="s">
        <v>17</v>
      </c>
      <c r="F505" s="13" t="s">
        <v>308</v>
      </c>
    </row>
    <row r="506" spans="1:6" x14ac:dyDescent="0.25">
      <c r="A506" s="13" t="s">
        <v>307</v>
      </c>
      <c r="B506" s="16">
        <v>4225.55789</v>
      </c>
      <c r="C506" s="13" t="s">
        <v>372</v>
      </c>
      <c r="D506" s="13" t="s">
        <v>68</v>
      </c>
      <c r="E506" s="13" t="s">
        <v>24</v>
      </c>
      <c r="F506" s="13" t="s">
        <v>308</v>
      </c>
    </row>
    <row r="507" spans="1:6" x14ac:dyDescent="0.25">
      <c r="A507" s="13" t="s">
        <v>288</v>
      </c>
      <c r="B507" s="16">
        <v>4241.6126899999999</v>
      </c>
      <c r="C507" s="13" t="s">
        <v>359</v>
      </c>
      <c r="D507" s="13" t="s">
        <v>69</v>
      </c>
      <c r="E507" s="13" t="s">
        <v>49</v>
      </c>
      <c r="F507" s="13" t="s">
        <v>260</v>
      </c>
    </row>
    <row r="508" spans="1:6" x14ac:dyDescent="0.25">
      <c r="A508" s="13" t="s">
        <v>342</v>
      </c>
      <c r="B508" s="16">
        <v>4339.5895799999998</v>
      </c>
      <c r="C508" s="13" t="s">
        <v>430</v>
      </c>
      <c r="D508" s="13" t="s">
        <v>69</v>
      </c>
      <c r="E508" s="13" t="s">
        <v>238</v>
      </c>
      <c r="F508" s="13" t="s">
        <v>477</v>
      </c>
    </row>
    <row r="509" spans="1:6" x14ac:dyDescent="0.25">
      <c r="A509" s="13" t="s">
        <v>240</v>
      </c>
      <c r="B509" s="16">
        <v>4348.6011500000004</v>
      </c>
      <c r="C509" s="13" t="s">
        <v>430</v>
      </c>
      <c r="D509" s="13" t="s">
        <v>69</v>
      </c>
      <c r="E509" s="13" t="s">
        <v>238</v>
      </c>
      <c r="F509" s="13" t="s">
        <v>477</v>
      </c>
    </row>
    <row r="510" spans="1:6" x14ac:dyDescent="0.25">
      <c r="A510" s="13" t="s">
        <v>237</v>
      </c>
      <c r="B510" s="16">
        <v>4363.6008199999997</v>
      </c>
      <c r="C510" s="13" t="s">
        <v>430</v>
      </c>
      <c r="D510" s="13" t="s">
        <v>69</v>
      </c>
      <c r="E510" s="13" t="s">
        <v>238</v>
      </c>
      <c r="F510" s="13" t="s">
        <v>477</v>
      </c>
    </row>
    <row r="511" spans="1:6" x14ac:dyDescent="0.25">
      <c r="A511" s="13" t="s">
        <v>259</v>
      </c>
      <c r="B511" s="16">
        <v>4376.6671800000004</v>
      </c>
      <c r="C511" s="13" t="s">
        <v>359</v>
      </c>
      <c r="D511" s="13" t="s">
        <v>69</v>
      </c>
      <c r="E511" s="13" t="s">
        <v>49</v>
      </c>
      <c r="F511" s="13" t="s">
        <v>260</v>
      </c>
    </row>
    <row r="512" spans="1:6" x14ac:dyDescent="0.25">
      <c r="A512" s="13" t="s">
        <v>267</v>
      </c>
      <c r="B512" s="16">
        <v>4394.6777499999998</v>
      </c>
      <c r="C512" s="13" t="s">
        <v>359</v>
      </c>
      <c r="D512" s="13" t="s">
        <v>69</v>
      </c>
      <c r="E512" s="13" t="s">
        <v>49</v>
      </c>
      <c r="F512" s="13" t="s">
        <v>260</v>
      </c>
    </row>
    <row r="513" spans="1:6" x14ac:dyDescent="0.25">
      <c r="A513" s="13" t="s">
        <v>274</v>
      </c>
      <c r="B513" s="16">
        <v>4456.6335099999997</v>
      </c>
      <c r="C513" s="13" t="s">
        <v>359</v>
      </c>
      <c r="D513" s="13" t="s">
        <v>69</v>
      </c>
      <c r="E513" s="13" t="s">
        <v>49</v>
      </c>
      <c r="F513" s="13" t="s">
        <v>260</v>
      </c>
    </row>
    <row r="514" spans="1:6" x14ac:dyDescent="0.25">
      <c r="A514" s="13" t="s">
        <v>153</v>
      </c>
      <c r="B514" s="16">
        <v>4474.64408</v>
      </c>
      <c r="C514" s="13" t="s">
        <v>430</v>
      </c>
      <c r="D514" s="13" t="s">
        <v>69</v>
      </c>
      <c r="E514" s="13" t="s">
        <v>154</v>
      </c>
      <c r="F514" s="13" t="s">
        <v>260</v>
      </c>
    </row>
  </sheetData>
  <sortState xmlns:xlrd2="http://schemas.microsoft.com/office/spreadsheetml/2017/richdata2" ref="A2:F1955">
    <sortCondition ref="B2:B195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CE88E-7459-42FF-8DDA-A70AC03B859E}">
  <sheetPr codeName="Sheet5"/>
  <dimension ref="A1:M348"/>
  <sheetViews>
    <sheetView workbookViewId="0">
      <selection sqref="A1:XFD1048576"/>
    </sheetView>
  </sheetViews>
  <sheetFormatPr defaultColWidth="9.140625" defaultRowHeight="15" x14ac:dyDescent="0.25"/>
  <cols>
    <col min="1" max="1" width="9.5703125" style="13" bestFit="1" customWidth="1"/>
    <col min="2" max="2" width="17.28515625" style="14" customWidth="1"/>
    <col min="3" max="3" width="9.140625" style="13"/>
    <col min="4" max="4" width="10.5703125" style="14" bestFit="1" customWidth="1"/>
    <col min="5" max="9" width="9.140625" style="13"/>
    <col min="10" max="11" width="10.42578125" style="16" bestFit="1" customWidth="1"/>
    <col min="12" max="12" width="9.140625" style="17"/>
    <col min="13" max="16384" width="9.140625" style="13"/>
  </cols>
  <sheetData>
    <row r="1" spans="1:13" s="58" customFormat="1" ht="30" x14ac:dyDescent="0.25">
      <c r="A1" s="58" t="s">
        <v>72</v>
      </c>
      <c r="B1" s="59" t="s">
        <v>73</v>
      </c>
      <c r="C1" s="58" t="s">
        <v>74</v>
      </c>
      <c r="D1" s="59" t="s">
        <v>41</v>
      </c>
      <c r="E1" s="58" t="s">
        <v>75</v>
      </c>
      <c r="F1" s="58" t="s">
        <v>72</v>
      </c>
      <c r="G1" s="58" t="s">
        <v>52</v>
      </c>
      <c r="H1" s="58" t="s">
        <v>66</v>
      </c>
      <c r="I1" s="58" t="s">
        <v>126</v>
      </c>
      <c r="J1" s="60" t="s">
        <v>127</v>
      </c>
      <c r="K1" s="60" t="s">
        <v>128</v>
      </c>
      <c r="L1" s="61" t="s">
        <v>129</v>
      </c>
      <c r="M1" s="58" t="s">
        <v>130</v>
      </c>
    </row>
    <row r="2" spans="1:13" x14ac:dyDescent="0.25">
      <c r="A2" s="13">
        <v>158.91828899999999</v>
      </c>
      <c r="B2" s="14">
        <v>0.58708695654712184</v>
      </c>
      <c r="C2" s="13">
        <v>-1</v>
      </c>
      <c r="D2" s="14">
        <v>159.92556546662098</v>
      </c>
    </row>
    <row r="3" spans="1:13" x14ac:dyDescent="0.25">
      <c r="A3" s="13">
        <v>158.92530400000001</v>
      </c>
      <c r="B3" s="14">
        <v>19.67770854764365</v>
      </c>
      <c r="C3" s="13">
        <v>-1</v>
      </c>
      <c r="D3" s="14">
        <v>159.932580466621</v>
      </c>
    </row>
    <row r="4" spans="1:13" x14ac:dyDescent="0.25">
      <c r="A4" s="13">
        <v>174.980096</v>
      </c>
      <c r="B4" s="14">
        <v>9.0016495920123276</v>
      </c>
      <c r="C4" s="13">
        <v>-1</v>
      </c>
      <c r="D4" s="14">
        <v>175.987372466621</v>
      </c>
      <c r="E4" s="13" t="s">
        <v>738</v>
      </c>
      <c r="F4" s="13">
        <v>174.98018353337901</v>
      </c>
      <c r="G4" s="13" t="s">
        <v>481</v>
      </c>
      <c r="H4" s="13" t="s">
        <v>67</v>
      </c>
      <c r="I4" s="13" t="s">
        <v>89</v>
      </c>
      <c r="J4" s="16">
        <v>175.987372466621</v>
      </c>
      <c r="K4" s="16">
        <v>175.98746</v>
      </c>
      <c r="L4" s="17">
        <v>-0.49738418295272263</v>
      </c>
      <c r="M4" s="13" t="s">
        <v>223</v>
      </c>
    </row>
    <row r="5" spans="1:13" x14ac:dyDescent="0.25">
      <c r="A5" s="13">
        <v>175.286438</v>
      </c>
      <c r="B5" s="14">
        <v>0.31609741167453248</v>
      </c>
      <c r="C5" s="13">
        <v>-1</v>
      </c>
      <c r="D5" s="14">
        <v>176.293714466621</v>
      </c>
    </row>
    <row r="6" spans="1:13" x14ac:dyDescent="0.25">
      <c r="A6" s="13">
        <v>175.98378</v>
      </c>
      <c r="B6" s="14">
        <v>0.23952239558340363</v>
      </c>
      <c r="C6" s="13">
        <v>-1</v>
      </c>
      <c r="D6" s="14">
        <v>176.99105646662099</v>
      </c>
    </row>
    <row r="7" spans="1:13" x14ac:dyDescent="0.25">
      <c r="A7" s="13">
        <v>176.93583699999999</v>
      </c>
      <c r="B7" s="14">
        <v>2.4966216546443074</v>
      </c>
      <c r="C7" s="13">
        <v>-1</v>
      </c>
      <c r="D7" s="14">
        <v>177.94311346662099</v>
      </c>
    </row>
    <row r="8" spans="1:13" x14ac:dyDescent="0.25">
      <c r="A8" s="13">
        <v>180.53239400000001</v>
      </c>
      <c r="B8" s="14">
        <v>0.27053458946853853</v>
      </c>
      <c r="C8" s="13">
        <v>-1</v>
      </c>
      <c r="D8" s="14">
        <v>181.539670466621</v>
      </c>
    </row>
    <row r="9" spans="1:13" x14ac:dyDescent="0.25">
      <c r="A9" s="13">
        <v>181.66071600000001</v>
      </c>
      <c r="B9" s="14">
        <v>0.7815398826791059</v>
      </c>
      <c r="C9" s="13">
        <v>-1</v>
      </c>
      <c r="D9" s="14">
        <v>182.667992466621</v>
      </c>
    </row>
    <row r="10" spans="1:13" x14ac:dyDescent="0.25">
      <c r="A10" s="13">
        <v>184.16802999999999</v>
      </c>
      <c r="B10" s="14">
        <v>0.2972049104407839</v>
      </c>
      <c r="C10" s="13">
        <v>-1</v>
      </c>
      <c r="D10" s="14">
        <v>185.17530646662098</v>
      </c>
    </row>
    <row r="11" spans="1:13" x14ac:dyDescent="0.25">
      <c r="A11" s="13">
        <v>190.037094</v>
      </c>
      <c r="B11" s="14">
        <v>0.29659420899523115</v>
      </c>
      <c r="C11" s="13">
        <v>-1</v>
      </c>
      <c r="D11" s="14">
        <v>191.04437046662099</v>
      </c>
    </row>
    <row r="12" spans="1:13" x14ac:dyDescent="0.25">
      <c r="A12" s="13">
        <v>190.849762</v>
      </c>
      <c r="B12" s="14">
        <v>0.29519576300969175</v>
      </c>
      <c r="C12" s="13">
        <v>-1</v>
      </c>
      <c r="D12" s="14">
        <v>191.85703846662099</v>
      </c>
    </row>
    <row r="13" spans="1:13" x14ac:dyDescent="0.25">
      <c r="A13" s="13">
        <v>192.99061599999999</v>
      </c>
      <c r="B13" s="14">
        <v>4.4436733130108177</v>
      </c>
      <c r="C13" s="13">
        <v>-1</v>
      </c>
      <c r="D13" s="14">
        <v>193.99789246662098</v>
      </c>
      <c r="E13" s="13" t="s">
        <v>739</v>
      </c>
      <c r="F13" s="13">
        <v>192.990743533379</v>
      </c>
      <c r="G13" s="13" t="s">
        <v>483</v>
      </c>
      <c r="H13" s="13" t="s">
        <v>67</v>
      </c>
      <c r="I13" s="13" t="s">
        <v>58</v>
      </c>
      <c r="J13" s="16">
        <v>193.99789246662098</v>
      </c>
      <c r="K13" s="16">
        <v>193.99802</v>
      </c>
      <c r="L13" s="17">
        <v>-0.65739526112030167</v>
      </c>
      <c r="M13" s="13" t="s">
        <v>223</v>
      </c>
    </row>
    <row r="14" spans="1:13" x14ac:dyDescent="0.25">
      <c r="A14" s="13">
        <v>196.897705</v>
      </c>
      <c r="B14" s="14">
        <v>0.29174491264054009</v>
      </c>
      <c r="C14" s="13">
        <v>-1</v>
      </c>
      <c r="D14" s="14">
        <v>197.904981466621</v>
      </c>
    </row>
    <row r="15" spans="1:13" x14ac:dyDescent="0.25">
      <c r="A15" s="13">
        <v>208.81686400000001</v>
      </c>
      <c r="B15" s="14">
        <v>0.26686781345831817</v>
      </c>
      <c r="C15" s="13">
        <v>-1</v>
      </c>
      <c r="D15" s="14">
        <v>209.824140466621</v>
      </c>
    </row>
    <row r="16" spans="1:13" x14ac:dyDescent="0.25">
      <c r="A16" s="13">
        <v>211.00136800000001</v>
      </c>
      <c r="B16" s="14">
        <v>13.743411416799429</v>
      </c>
      <c r="C16" s="13">
        <v>-1</v>
      </c>
      <c r="D16" s="14">
        <v>212.00864446662101</v>
      </c>
    </row>
    <row r="17" spans="1:13" x14ac:dyDescent="0.25">
      <c r="A17" s="13">
        <v>212.004639</v>
      </c>
      <c r="B17" s="14">
        <v>0.34480303482257763</v>
      </c>
      <c r="C17" s="13">
        <v>-1</v>
      </c>
      <c r="D17" s="14">
        <v>213.01191546662099</v>
      </c>
    </row>
    <row r="18" spans="1:13" x14ac:dyDescent="0.25">
      <c r="A18" s="13">
        <v>212.93614199999999</v>
      </c>
      <c r="B18" s="14">
        <v>0.34187218096926097</v>
      </c>
      <c r="C18" s="13">
        <v>-1</v>
      </c>
      <c r="D18" s="14">
        <v>213.94341846662098</v>
      </c>
    </row>
    <row r="19" spans="1:13" x14ac:dyDescent="0.25">
      <c r="A19" s="13">
        <v>214.01381900000001</v>
      </c>
      <c r="B19" s="14">
        <v>2.2812861801463677</v>
      </c>
      <c r="C19" s="13">
        <v>-1</v>
      </c>
      <c r="D19" s="14">
        <v>215.02109546662101</v>
      </c>
    </row>
    <row r="20" spans="1:13" x14ac:dyDescent="0.25">
      <c r="A20" s="13">
        <v>248.29849200000001</v>
      </c>
      <c r="B20" s="14">
        <v>0.26130716038763335</v>
      </c>
      <c r="C20" s="13">
        <v>-1</v>
      </c>
      <c r="D20" s="14">
        <v>249.305768466621</v>
      </c>
    </row>
    <row r="21" spans="1:13" x14ac:dyDescent="0.25">
      <c r="A21" s="13">
        <v>253.849457</v>
      </c>
      <c r="B21" s="14">
        <v>0.26002711180435228</v>
      </c>
      <c r="C21" s="13">
        <v>-1</v>
      </c>
      <c r="D21" s="14">
        <v>254.85673346662099</v>
      </c>
    </row>
    <row r="22" spans="1:13" x14ac:dyDescent="0.25">
      <c r="A22" s="13">
        <v>254.94672</v>
      </c>
      <c r="B22" s="14">
        <v>3.8784815702409756</v>
      </c>
      <c r="C22" s="13">
        <v>-1</v>
      </c>
      <c r="D22" s="14">
        <v>255.95399646662099</v>
      </c>
    </row>
    <row r="23" spans="1:13" x14ac:dyDescent="0.25">
      <c r="A23" s="13">
        <v>261.02932700000002</v>
      </c>
      <c r="B23" s="14">
        <v>0.38721738698868041</v>
      </c>
      <c r="C23" s="13">
        <v>-1</v>
      </c>
      <c r="D23" s="14">
        <v>262.03660346662105</v>
      </c>
    </row>
    <row r="24" spans="1:13" x14ac:dyDescent="0.25">
      <c r="A24" s="13">
        <v>272.95735300000001</v>
      </c>
      <c r="B24" s="14">
        <v>14.00732783579898</v>
      </c>
      <c r="C24" s="13">
        <v>-1</v>
      </c>
      <c r="D24" s="14">
        <v>273.96462946662103</v>
      </c>
    </row>
    <row r="25" spans="1:13" x14ac:dyDescent="0.25">
      <c r="A25" s="13">
        <v>273.96060199999999</v>
      </c>
      <c r="B25" s="14">
        <v>0.49743552321264956</v>
      </c>
      <c r="C25" s="13">
        <v>-1</v>
      </c>
      <c r="D25" s="14">
        <v>274.96787846662102</v>
      </c>
    </row>
    <row r="26" spans="1:13" x14ac:dyDescent="0.25">
      <c r="A26" s="13">
        <v>276.91644300000002</v>
      </c>
      <c r="B26" s="14">
        <v>0.29917041505473224</v>
      </c>
      <c r="C26" s="13">
        <v>-1</v>
      </c>
      <c r="D26" s="14">
        <v>277.92371946662104</v>
      </c>
    </row>
    <row r="27" spans="1:13" x14ac:dyDescent="0.25">
      <c r="A27" s="13">
        <v>281.48156699999998</v>
      </c>
      <c r="B27" s="14">
        <v>0.29251734484970759</v>
      </c>
      <c r="C27" s="13">
        <v>-1</v>
      </c>
      <c r="D27" s="14">
        <v>282.48884346662101</v>
      </c>
    </row>
    <row r="28" spans="1:13" x14ac:dyDescent="0.25">
      <c r="A28" s="13">
        <v>286.02380099999999</v>
      </c>
      <c r="B28" s="14">
        <v>2.0602769407567441</v>
      </c>
      <c r="C28" s="13">
        <v>-1</v>
      </c>
      <c r="D28" s="14">
        <v>287.03107746662101</v>
      </c>
      <c r="E28" s="13" t="s">
        <v>740</v>
      </c>
      <c r="F28" s="13">
        <v>286.02344353337895</v>
      </c>
      <c r="G28" s="13" t="s">
        <v>488</v>
      </c>
      <c r="H28" s="13" t="s">
        <v>67</v>
      </c>
      <c r="I28" s="13" t="s">
        <v>85</v>
      </c>
      <c r="J28" s="16">
        <v>287.03107746662101</v>
      </c>
      <c r="K28" s="16">
        <v>287.03071999999997</v>
      </c>
      <c r="L28" s="17">
        <v>1.2453949913087636</v>
      </c>
      <c r="M28" s="13" t="s">
        <v>217</v>
      </c>
    </row>
    <row r="29" spans="1:13" x14ac:dyDescent="0.25">
      <c r="A29" s="13">
        <v>290.96716300000003</v>
      </c>
      <c r="B29" s="14">
        <v>0.70418106665417057</v>
      </c>
      <c r="C29" s="13">
        <v>-1</v>
      </c>
      <c r="D29" s="14">
        <v>291.97443946662105</v>
      </c>
    </row>
    <row r="30" spans="1:13" x14ac:dyDescent="0.25">
      <c r="A30" s="13">
        <v>299.75030500000003</v>
      </c>
      <c r="B30" s="14">
        <v>0.26075784389104201</v>
      </c>
      <c r="C30" s="13">
        <v>-1</v>
      </c>
      <c r="D30" s="14">
        <v>300.75758146662105</v>
      </c>
    </row>
    <row r="31" spans="1:13" x14ac:dyDescent="0.25">
      <c r="A31" s="13">
        <v>301.02322400000003</v>
      </c>
      <c r="B31" s="14">
        <v>4.6667781144050871</v>
      </c>
      <c r="C31" s="13">
        <v>-1</v>
      </c>
      <c r="D31" s="14">
        <v>302.03050046662105</v>
      </c>
      <c r="E31" s="13" t="s">
        <v>741</v>
      </c>
      <c r="F31" s="13">
        <v>301.02311353337899</v>
      </c>
      <c r="G31" s="13" t="s">
        <v>492</v>
      </c>
      <c r="H31" s="13" t="s">
        <v>67</v>
      </c>
      <c r="I31" s="13" t="s">
        <v>85</v>
      </c>
      <c r="J31" s="16">
        <v>302.03050046662105</v>
      </c>
      <c r="K31" s="16">
        <v>302.03039000000001</v>
      </c>
      <c r="L31" s="17">
        <v>0.36574670859473968</v>
      </c>
      <c r="M31" s="13" t="s">
        <v>223</v>
      </c>
    </row>
    <row r="32" spans="1:13" x14ac:dyDescent="0.25">
      <c r="A32" s="13">
        <v>304.03417200000001</v>
      </c>
      <c r="B32" s="14">
        <v>6.7995149663950274</v>
      </c>
      <c r="C32" s="13">
        <v>-1</v>
      </c>
      <c r="D32" s="14">
        <v>305.04144846662103</v>
      </c>
      <c r="E32" s="13" t="s">
        <v>742</v>
      </c>
      <c r="F32" s="13">
        <v>304.03401353337898</v>
      </c>
      <c r="G32" s="13" t="s">
        <v>496</v>
      </c>
      <c r="H32" s="13" t="s">
        <v>67</v>
      </c>
      <c r="I32" s="13" t="s">
        <v>86</v>
      </c>
      <c r="J32" s="16">
        <v>305.04144846662103</v>
      </c>
      <c r="K32" s="16">
        <v>305.04129</v>
      </c>
      <c r="L32" s="17">
        <v>0.51949236456016845</v>
      </c>
      <c r="M32" s="13" t="s">
        <v>217</v>
      </c>
    </row>
    <row r="33" spans="1:13" x14ac:dyDescent="0.25">
      <c r="A33" s="13">
        <v>305.03808600000002</v>
      </c>
      <c r="B33" s="14">
        <v>0.3019238380387701</v>
      </c>
      <c r="C33" s="13">
        <v>-1</v>
      </c>
      <c r="D33" s="14">
        <v>306.04536246662104</v>
      </c>
    </row>
    <row r="34" spans="1:13" x14ac:dyDescent="0.25">
      <c r="A34" s="13">
        <v>307.02209499999998</v>
      </c>
      <c r="B34" s="14">
        <v>0.3088985034851946</v>
      </c>
      <c r="C34" s="13">
        <v>-1</v>
      </c>
      <c r="D34" s="14">
        <v>308.029371466621</v>
      </c>
    </row>
    <row r="35" spans="1:13" x14ac:dyDescent="0.25">
      <c r="A35" s="13">
        <v>308.96900499999998</v>
      </c>
      <c r="B35" s="14">
        <v>0.59601356403902961</v>
      </c>
      <c r="C35" s="13">
        <v>-1</v>
      </c>
      <c r="D35" s="14">
        <v>309.976281466621</v>
      </c>
    </row>
    <row r="36" spans="1:13" x14ac:dyDescent="0.25">
      <c r="A36" s="13">
        <v>310.03498400000001</v>
      </c>
      <c r="B36" s="14">
        <v>10.142162470922031</v>
      </c>
      <c r="C36" s="13">
        <v>-1</v>
      </c>
      <c r="D36" s="14">
        <v>311.04226046662103</v>
      </c>
      <c r="E36" s="13" t="s">
        <v>178</v>
      </c>
      <c r="F36" s="13">
        <v>310.034683533379</v>
      </c>
      <c r="G36" s="13" t="s">
        <v>360</v>
      </c>
      <c r="H36" s="13" t="s">
        <v>68</v>
      </c>
      <c r="I36" s="13" t="s">
        <v>45</v>
      </c>
      <c r="J36" s="16">
        <v>311.04226046662103</v>
      </c>
      <c r="K36" s="16">
        <v>311.04196000000002</v>
      </c>
      <c r="L36" s="17">
        <v>0.96600028180483755</v>
      </c>
      <c r="M36" s="13" t="s">
        <v>289</v>
      </c>
    </row>
    <row r="37" spans="1:13" x14ac:dyDescent="0.25">
      <c r="A37" s="13">
        <v>311.03827699999999</v>
      </c>
      <c r="B37" s="14">
        <v>1.1768460943829546</v>
      </c>
      <c r="C37" s="13">
        <v>-1</v>
      </c>
      <c r="D37" s="14">
        <v>312.04555346662102</v>
      </c>
    </row>
    <row r="38" spans="1:13" x14ac:dyDescent="0.25">
      <c r="A38" s="13">
        <v>312.31051600000001</v>
      </c>
      <c r="B38" s="14">
        <v>0.27071808337898751</v>
      </c>
      <c r="C38" s="13">
        <v>-1</v>
      </c>
      <c r="D38" s="14">
        <v>313.31779246662103</v>
      </c>
    </row>
    <row r="39" spans="1:13" x14ac:dyDescent="0.25">
      <c r="A39" s="13">
        <v>316.00018299999999</v>
      </c>
      <c r="B39" s="14">
        <v>0.30237137223458332</v>
      </c>
      <c r="C39" s="13">
        <v>-1</v>
      </c>
      <c r="D39" s="14">
        <v>317.00745946662101</v>
      </c>
    </row>
    <row r="40" spans="1:13" x14ac:dyDescent="0.25">
      <c r="A40" s="13">
        <v>319.03393599999998</v>
      </c>
      <c r="B40" s="14">
        <v>14.525006409351807</v>
      </c>
      <c r="C40" s="13">
        <v>-1</v>
      </c>
      <c r="D40" s="14">
        <v>320.041212466621</v>
      </c>
      <c r="E40" s="13" t="s">
        <v>743</v>
      </c>
      <c r="F40" s="13">
        <v>319.03367353337899</v>
      </c>
      <c r="G40" s="13" t="s">
        <v>498</v>
      </c>
      <c r="H40" s="13" t="s">
        <v>67</v>
      </c>
      <c r="I40" s="13" t="s">
        <v>86</v>
      </c>
      <c r="J40" s="16">
        <v>320.041212466621</v>
      </c>
      <c r="K40" s="16">
        <v>320.04095000000001</v>
      </c>
      <c r="L40" s="17">
        <v>0.82010324302369109</v>
      </c>
      <c r="M40" s="13" t="s">
        <v>223</v>
      </c>
    </row>
    <row r="41" spans="1:13" x14ac:dyDescent="0.25">
      <c r="A41" s="13">
        <v>320.037217</v>
      </c>
      <c r="B41" s="14">
        <v>1.1657521846298848</v>
      </c>
      <c r="C41" s="13">
        <v>-1</v>
      </c>
      <c r="D41" s="14">
        <v>321.04449346662102</v>
      </c>
    </row>
    <row r="42" spans="1:13" x14ac:dyDescent="0.25">
      <c r="A42" s="13">
        <v>322.04479300000003</v>
      </c>
      <c r="B42" s="14">
        <v>2.5669529322182343</v>
      </c>
      <c r="C42" s="13">
        <v>-1</v>
      </c>
      <c r="D42" s="14">
        <v>323.05206946662105</v>
      </c>
      <c r="E42" s="13" t="s">
        <v>740</v>
      </c>
      <c r="F42" s="13">
        <v>322.04457353337898</v>
      </c>
      <c r="G42" s="13" t="s">
        <v>488</v>
      </c>
      <c r="H42" s="13" t="s">
        <v>67</v>
      </c>
      <c r="I42" s="13" t="s">
        <v>78</v>
      </c>
      <c r="J42" s="16">
        <v>323.05206946662105</v>
      </c>
      <c r="K42" s="16">
        <v>323.05185</v>
      </c>
      <c r="L42" s="17">
        <v>0.67935416883421074</v>
      </c>
      <c r="M42" s="13" t="s">
        <v>217</v>
      </c>
    </row>
    <row r="43" spans="1:13" x14ac:dyDescent="0.25">
      <c r="A43" s="13">
        <v>323.40930200000003</v>
      </c>
      <c r="B43" s="14">
        <v>0.31388156878981144</v>
      </c>
      <c r="C43" s="13">
        <v>-1</v>
      </c>
      <c r="D43" s="14">
        <v>324.41657846662105</v>
      </c>
    </row>
    <row r="44" spans="1:13" x14ac:dyDescent="0.25">
      <c r="A44" s="13">
        <v>328.04544299999998</v>
      </c>
      <c r="B44" s="14">
        <v>16.29342948228771</v>
      </c>
      <c r="C44" s="13">
        <v>-1</v>
      </c>
      <c r="D44" s="14">
        <v>329.052719466621</v>
      </c>
      <c r="E44" s="13" t="s">
        <v>224</v>
      </c>
      <c r="F44" s="13">
        <v>328.04524353337899</v>
      </c>
      <c r="G44" s="13" t="s">
        <v>346</v>
      </c>
      <c r="H44" s="13" t="s">
        <v>69</v>
      </c>
      <c r="I44" s="13" t="s">
        <v>48</v>
      </c>
      <c r="J44" s="16">
        <v>329.052719466621</v>
      </c>
      <c r="K44" s="16">
        <v>329.05252000000002</v>
      </c>
      <c r="L44" s="17">
        <v>0.60618475428759044</v>
      </c>
      <c r="M44" s="13" t="s">
        <v>131</v>
      </c>
    </row>
    <row r="45" spans="1:13" x14ac:dyDescent="0.25">
      <c r="A45" s="13">
        <v>329.048224</v>
      </c>
      <c r="B45" s="14">
        <v>1.7564679477261873</v>
      </c>
      <c r="C45" s="13">
        <v>-1</v>
      </c>
      <c r="D45" s="14">
        <v>330.05550046662103</v>
      </c>
    </row>
    <row r="46" spans="1:13" x14ac:dyDescent="0.25">
      <c r="A46" s="13">
        <v>334.91286300000002</v>
      </c>
      <c r="B46" s="14">
        <v>1.3121900577436909</v>
      </c>
      <c r="C46" s="13">
        <v>-1</v>
      </c>
      <c r="D46" s="14">
        <v>335.92013946662104</v>
      </c>
    </row>
    <row r="47" spans="1:13" x14ac:dyDescent="0.25">
      <c r="A47" s="13">
        <v>337.04453799999999</v>
      </c>
      <c r="B47" s="14">
        <v>5.8932704414666199</v>
      </c>
      <c r="C47" s="13">
        <v>-1</v>
      </c>
      <c r="D47" s="14">
        <v>338.05181446662101</v>
      </c>
      <c r="E47" s="13" t="s">
        <v>741</v>
      </c>
      <c r="F47" s="13">
        <v>337.04424353337896</v>
      </c>
      <c r="G47" s="13" t="s">
        <v>492</v>
      </c>
      <c r="H47" s="13" t="s">
        <v>67</v>
      </c>
      <c r="I47" s="13" t="s">
        <v>78</v>
      </c>
      <c r="J47" s="16">
        <v>338.05181446662101</v>
      </c>
      <c r="K47" s="16">
        <v>338.05151999999998</v>
      </c>
      <c r="L47" s="17">
        <v>0.87107024700932456</v>
      </c>
      <c r="M47" s="13" t="s">
        <v>223</v>
      </c>
    </row>
    <row r="48" spans="1:13" x14ac:dyDescent="0.25">
      <c r="A48" s="13">
        <v>338.04870599999998</v>
      </c>
      <c r="B48" s="14">
        <v>0.43261645741733623</v>
      </c>
      <c r="C48" s="13">
        <v>-1</v>
      </c>
      <c r="D48" s="14">
        <v>339.055982466621</v>
      </c>
    </row>
    <row r="49" spans="1:13" x14ac:dyDescent="0.25">
      <c r="A49" s="13">
        <v>340.99661300000002</v>
      </c>
      <c r="B49" s="14">
        <v>0.30946765953616329</v>
      </c>
      <c r="C49" s="13">
        <v>-1</v>
      </c>
      <c r="D49" s="14">
        <v>342.00388946662105</v>
      </c>
    </row>
    <row r="50" spans="1:13" x14ac:dyDescent="0.25">
      <c r="A50" s="13">
        <v>346.05618700000002</v>
      </c>
      <c r="B50" s="14">
        <v>7.41016943579515</v>
      </c>
      <c r="C50" s="13">
        <v>-1</v>
      </c>
      <c r="D50" s="14">
        <v>347.06346346662104</v>
      </c>
      <c r="E50" s="13" t="s">
        <v>177</v>
      </c>
      <c r="F50" s="13">
        <v>346.05580353337899</v>
      </c>
      <c r="G50" s="13" t="s">
        <v>346</v>
      </c>
      <c r="H50" s="13" t="s">
        <v>69</v>
      </c>
      <c r="I50" s="13" t="s">
        <v>49</v>
      </c>
      <c r="J50" s="16">
        <v>347.06346346662104</v>
      </c>
      <c r="K50" s="16">
        <v>347.06308000000001</v>
      </c>
      <c r="L50" s="17">
        <v>1.1048902724857621</v>
      </c>
      <c r="M50" s="13" t="s">
        <v>131</v>
      </c>
    </row>
    <row r="51" spans="1:13" x14ac:dyDescent="0.25">
      <c r="A51" s="13">
        <v>347.058493</v>
      </c>
      <c r="B51" s="14">
        <v>0.71522577484724714</v>
      </c>
      <c r="C51" s="13">
        <v>-1</v>
      </c>
      <c r="D51" s="14">
        <v>348.06576946662102</v>
      </c>
    </row>
    <row r="52" spans="1:13" x14ac:dyDescent="0.25">
      <c r="A52" s="13">
        <v>365.98980399999999</v>
      </c>
      <c r="B52" s="14">
        <v>1.7470812367848747</v>
      </c>
      <c r="C52" s="13">
        <v>-1</v>
      </c>
      <c r="D52" s="14">
        <v>366.99708046662101</v>
      </c>
      <c r="E52" s="13" t="s">
        <v>744</v>
      </c>
      <c r="F52" s="13">
        <v>365.98977353337898</v>
      </c>
      <c r="G52" s="13" t="s">
        <v>485</v>
      </c>
      <c r="H52" s="13" t="s">
        <v>67</v>
      </c>
      <c r="I52" s="13" t="s">
        <v>87</v>
      </c>
      <c r="J52" s="16">
        <v>366.99708046662101</v>
      </c>
      <c r="K52" s="16">
        <v>366.99705</v>
      </c>
      <c r="L52" s="17">
        <v>8.3015983405568206E-2</v>
      </c>
      <c r="M52" s="13" t="s">
        <v>217</v>
      </c>
    </row>
    <row r="53" spans="1:13" x14ac:dyDescent="0.25">
      <c r="A53" s="13">
        <v>368.9785</v>
      </c>
      <c r="B53" s="14">
        <v>0.783366819868201</v>
      </c>
      <c r="C53" s="13">
        <v>-1</v>
      </c>
      <c r="D53" s="14">
        <v>369.98577646662102</v>
      </c>
    </row>
    <row r="54" spans="1:13" x14ac:dyDescent="0.25">
      <c r="A54" s="13">
        <v>376.240295</v>
      </c>
      <c r="B54" s="14">
        <v>0.29463603007847494</v>
      </c>
      <c r="C54" s="13">
        <v>-1</v>
      </c>
      <c r="D54" s="14">
        <v>377.24757146662103</v>
      </c>
    </row>
    <row r="55" spans="1:13" x14ac:dyDescent="0.25">
      <c r="A55" s="13">
        <v>380.99008800000001</v>
      </c>
      <c r="B55" s="14">
        <v>4.2567111405291111</v>
      </c>
      <c r="C55" s="13">
        <v>-1</v>
      </c>
      <c r="D55" s="14">
        <v>381.99736446662104</v>
      </c>
      <c r="E55" s="13" t="s">
        <v>745</v>
      </c>
      <c r="F55" s="13">
        <v>380.98944353337896</v>
      </c>
      <c r="G55" s="13" t="s">
        <v>236</v>
      </c>
      <c r="H55" s="13" t="s">
        <v>67</v>
      </c>
      <c r="I55" s="13" t="s">
        <v>87</v>
      </c>
      <c r="J55" s="16">
        <v>381.99736446662104</v>
      </c>
      <c r="K55" s="16">
        <v>381.99671999999998</v>
      </c>
      <c r="L55" s="17">
        <v>1.6870998815228238</v>
      </c>
      <c r="M55" s="13" t="s">
        <v>223</v>
      </c>
    </row>
    <row r="56" spans="1:13" x14ac:dyDescent="0.25">
      <c r="A56" s="13">
        <v>384.00094200000001</v>
      </c>
      <c r="B56" s="14">
        <v>6.2299135321393067</v>
      </c>
      <c r="C56" s="13">
        <v>-1</v>
      </c>
      <c r="D56" s="14">
        <v>385.00821846662103</v>
      </c>
      <c r="E56" s="13" t="s">
        <v>740</v>
      </c>
      <c r="F56" s="13">
        <v>384.00034353337895</v>
      </c>
      <c r="G56" s="13" t="s">
        <v>488</v>
      </c>
      <c r="H56" s="13" t="s">
        <v>67</v>
      </c>
      <c r="I56" s="13" t="s">
        <v>84</v>
      </c>
      <c r="J56" s="16">
        <v>385.00821846662103</v>
      </c>
      <c r="K56" s="16">
        <v>385.00761999999997</v>
      </c>
      <c r="L56" s="17">
        <v>1.5544279904292784</v>
      </c>
      <c r="M56" s="13" t="s">
        <v>217</v>
      </c>
    </row>
    <row r="57" spans="1:13" x14ac:dyDescent="0.25">
      <c r="A57" s="13">
        <v>386.988495</v>
      </c>
      <c r="B57" s="14">
        <v>0.45410045793919596</v>
      </c>
      <c r="C57" s="13">
        <v>-1</v>
      </c>
      <c r="D57" s="14">
        <v>387.99577146662102</v>
      </c>
    </row>
    <row r="58" spans="1:13" x14ac:dyDescent="0.25">
      <c r="A58" s="13">
        <v>390.00192099999998</v>
      </c>
      <c r="B58" s="14">
        <v>4.4630797458090106</v>
      </c>
      <c r="C58" s="13">
        <v>-1</v>
      </c>
      <c r="D58" s="14">
        <v>391.009197466621</v>
      </c>
      <c r="E58" s="13" t="s">
        <v>226</v>
      </c>
      <c r="F58" s="13">
        <v>390.00101353337897</v>
      </c>
      <c r="G58" s="13" t="s">
        <v>360</v>
      </c>
      <c r="H58" s="13" t="s">
        <v>68</v>
      </c>
      <c r="I58" s="13" t="s">
        <v>17</v>
      </c>
      <c r="J58" s="16">
        <v>391.009197466621</v>
      </c>
      <c r="K58" s="16">
        <v>391.00828999999999</v>
      </c>
      <c r="L58" s="17">
        <v>2.3208372922614342</v>
      </c>
      <c r="M58" s="13" t="s">
        <v>289</v>
      </c>
    </row>
    <row r="59" spans="1:13" x14ac:dyDescent="0.25">
      <c r="A59" s="13">
        <v>399.00062200000002</v>
      </c>
      <c r="B59" s="14">
        <v>15.311348037256476</v>
      </c>
      <c r="C59" s="13">
        <v>-1</v>
      </c>
      <c r="D59" s="14">
        <v>400.00789846662104</v>
      </c>
      <c r="E59" s="13" t="s">
        <v>741</v>
      </c>
      <c r="F59" s="13">
        <v>399.00000353337896</v>
      </c>
      <c r="G59" s="13" t="s">
        <v>492</v>
      </c>
      <c r="H59" s="13" t="s">
        <v>67</v>
      </c>
      <c r="I59" s="13" t="s">
        <v>84</v>
      </c>
      <c r="J59" s="16">
        <v>400.00789846662104</v>
      </c>
      <c r="K59" s="16">
        <v>400.00727999999998</v>
      </c>
      <c r="L59" s="17">
        <v>1.5461384129381532</v>
      </c>
      <c r="M59" s="13" t="s">
        <v>223</v>
      </c>
    </row>
    <row r="60" spans="1:13" x14ac:dyDescent="0.25">
      <c r="A60" s="13">
        <v>400.003736</v>
      </c>
      <c r="B60" s="14">
        <v>1.118067548253272</v>
      </c>
      <c r="C60" s="13">
        <v>-1</v>
      </c>
      <c r="D60" s="14">
        <v>401.01101246662103</v>
      </c>
    </row>
    <row r="61" spans="1:13" x14ac:dyDescent="0.25">
      <c r="A61" s="13">
        <v>402.013214</v>
      </c>
      <c r="B61" s="14">
        <v>0.26567495690850029</v>
      </c>
      <c r="C61" s="13">
        <v>-1</v>
      </c>
      <c r="D61" s="14">
        <v>403.02049046662103</v>
      </c>
      <c r="E61" s="13" t="s">
        <v>744</v>
      </c>
      <c r="F61" s="13">
        <v>402.01090353337895</v>
      </c>
      <c r="G61" s="13" t="s">
        <v>485</v>
      </c>
      <c r="H61" s="13" t="s">
        <v>67</v>
      </c>
      <c r="I61" s="13" t="s">
        <v>79</v>
      </c>
      <c r="J61" s="16">
        <v>403.02049046662103</v>
      </c>
      <c r="K61" s="16">
        <v>403.01817999999997</v>
      </c>
      <c r="L61" s="17">
        <v>5.7329091731154032</v>
      </c>
      <c r="M61" s="13" t="s">
        <v>217</v>
      </c>
    </row>
    <row r="62" spans="1:13" x14ac:dyDescent="0.25">
      <c r="A62" s="13">
        <v>403.84710699999999</v>
      </c>
      <c r="B62" s="14">
        <v>0.3093815773410491</v>
      </c>
      <c r="C62" s="13">
        <v>-1</v>
      </c>
      <c r="D62" s="14">
        <v>404.85438346662102</v>
      </c>
    </row>
    <row r="63" spans="1:13" x14ac:dyDescent="0.25">
      <c r="A63" s="13">
        <v>408.01210700000001</v>
      </c>
      <c r="B63" s="14">
        <v>23.59041335491602</v>
      </c>
      <c r="C63" s="13">
        <v>-1</v>
      </c>
      <c r="D63" s="14">
        <v>409.01938346662104</v>
      </c>
      <c r="E63" s="13" t="s">
        <v>227</v>
      </c>
      <c r="F63" s="13">
        <v>408.01157353337896</v>
      </c>
      <c r="G63" s="13" t="s">
        <v>360</v>
      </c>
      <c r="H63" s="13" t="s">
        <v>68</v>
      </c>
      <c r="I63" s="13" t="s">
        <v>24</v>
      </c>
      <c r="J63" s="16">
        <v>409.01938346662104</v>
      </c>
      <c r="K63" s="16">
        <v>409.01884999999999</v>
      </c>
      <c r="L63" s="17">
        <v>1.3042592561446453</v>
      </c>
      <c r="M63" s="13" t="s">
        <v>289</v>
      </c>
    </row>
    <row r="64" spans="1:13" x14ac:dyDescent="0.25">
      <c r="A64" s="13">
        <v>408.04135100000002</v>
      </c>
      <c r="B64" s="14">
        <v>0.54525890275443933</v>
      </c>
      <c r="C64" s="13">
        <v>-1</v>
      </c>
      <c r="D64" s="14">
        <v>409.04862746662104</v>
      </c>
    </row>
    <row r="65" spans="1:13" x14ac:dyDescent="0.25">
      <c r="A65" s="13">
        <v>409.01518900000002</v>
      </c>
      <c r="B65" s="14">
        <v>2.9977973273625738</v>
      </c>
      <c r="C65" s="13">
        <v>-1</v>
      </c>
      <c r="D65" s="14">
        <v>410.02246546662104</v>
      </c>
    </row>
    <row r="66" spans="1:13" x14ac:dyDescent="0.25">
      <c r="A66" s="13">
        <v>417.00982199999999</v>
      </c>
      <c r="B66" s="14">
        <v>1.455947589105056</v>
      </c>
      <c r="C66" s="13">
        <v>-1</v>
      </c>
      <c r="D66" s="14">
        <v>418.01709846662101</v>
      </c>
      <c r="E66" s="13" t="s">
        <v>745</v>
      </c>
      <c r="F66" s="13">
        <v>417.01057353337899</v>
      </c>
      <c r="G66" s="13" t="s">
        <v>236</v>
      </c>
      <c r="H66" s="13" t="s">
        <v>67</v>
      </c>
      <c r="I66" s="13" t="s">
        <v>79</v>
      </c>
      <c r="J66" s="16">
        <v>418.01709846662101</v>
      </c>
      <c r="K66" s="16">
        <v>418.01785000000001</v>
      </c>
      <c r="L66" s="17">
        <v>-1.7978499698098227</v>
      </c>
      <c r="M66" s="13" t="s">
        <v>223</v>
      </c>
    </row>
    <row r="67" spans="1:13" x14ac:dyDescent="0.25">
      <c r="A67" s="13">
        <v>417.01242100000002</v>
      </c>
      <c r="B67" s="14">
        <v>0.63347187861617926</v>
      </c>
      <c r="C67" s="13">
        <v>-1</v>
      </c>
      <c r="D67" s="14">
        <v>418.01969746662104</v>
      </c>
      <c r="E67" s="13" t="s">
        <v>745</v>
      </c>
      <c r="F67" s="13">
        <v>417.01057353337899</v>
      </c>
      <c r="G67" s="13" t="s">
        <v>236</v>
      </c>
      <c r="H67" s="13" t="s">
        <v>67</v>
      </c>
      <c r="I67" s="13" t="s">
        <v>79</v>
      </c>
      <c r="J67" s="16">
        <v>418.01969746662104</v>
      </c>
      <c r="K67" s="16">
        <v>418.01785000000001</v>
      </c>
      <c r="L67" s="17">
        <v>4.4195878741291201</v>
      </c>
      <c r="M67" s="13" t="s">
        <v>223</v>
      </c>
    </row>
    <row r="68" spans="1:13" x14ac:dyDescent="0.25">
      <c r="A68" s="13">
        <v>424.06454500000001</v>
      </c>
      <c r="B68" s="14">
        <v>0.51541959023906037</v>
      </c>
      <c r="C68" s="13">
        <v>-1</v>
      </c>
      <c r="D68" s="14">
        <v>425.07182146662103</v>
      </c>
      <c r="E68" s="13" t="s">
        <v>748</v>
      </c>
      <c r="F68" s="13">
        <v>424.06637353337896</v>
      </c>
      <c r="G68" s="13" t="s">
        <v>504</v>
      </c>
      <c r="H68" s="13" t="s">
        <v>67</v>
      </c>
      <c r="I68" s="13" t="s">
        <v>99</v>
      </c>
      <c r="J68" s="16">
        <v>425.07182146662103</v>
      </c>
      <c r="K68" s="16">
        <v>425.07364999999999</v>
      </c>
      <c r="L68" s="17">
        <v>-4.3016860230102338</v>
      </c>
      <c r="M68" s="13" t="s">
        <v>134</v>
      </c>
    </row>
    <row r="69" spans="1:13" x14ac:dyDescent="0.25">
      <c r="A69" s="13">
        <v>424.067047</v>
      </c>
      <c r="B69" s="14">
        <v>0.45043803532243071</v>
      </c>
      <c r="C69" s="13">
        <v>-1</v>
      </c>
      <c r="D69" s="14">
        <v>425.07432346662102</v>
      </c>
      <c r="E69" s="13" t="s">
        <v>748</v>
      </c>
      <c r="F69" s="13">
        <v>424.06637353337896</v>
      </c>
      <c r="G69" s="13" t="s">
        <v>504</v>
      </c>
      <c r="H69" s="13" t="s">
        <v>67</v>
      </c>
      <c r="I69" s="13" t="s">
        <v>99</v>
      </c>
      <c r="J69" s="16">
        <v>425.07432346662102</v>
      </c>
      <c r="K69" s="16">
        <v>425.07364999999999</v>
      </c>
      <c r="L69" s="17">
        <v>1.5843527846003456</v>
      </c>
      <c r="M69" s="13" t="s">
        <v>134</v>
      </c>
    </row>
    <row r="70" spans="1:13" x14ac:dyDescent="0.25">
      <c r="A70" s="13">
        <v>426.022582</v>
      </c>
      <c r="B70" s="14">
        <v>2.8397864744628709</v>
      </c>
      <c r="C70" s="13">
        <v>-1</v>
      </c>
      <c r="D70" s="14">
        <v>427.02985846662102</v>
      </c>
      <c r="E70" s="13" t="s">
        <v>749</v>
      </c>
      <c r="F70" s="13">
        <v>426.02214353337899</v>
      </c>
      <c r="G70" s="13" t="s">
        <v>506</v>
      </c>
      <c r="H70" s="13" t="s">
        <v>67</v>
      </c>
      <c r="I70" s="13" t="s">
        <v>79</v>
      </c>
      <c r="J70" s="16">
        <v>427.02985846662102</v>
      </c>
      <c r="K70" s="16">
        <v>427.02942000000002</v>
      </c>
      <c r="L70" s="17">
        <v>1.0267831687235345</v>
      </c>
      <c r="M70" s="13" t="s">
        <v>135</v>
      </c>
    </row>
    <row r="71" spans="1:13" x14ac:dyDescent="0.25">
      <c r="A71" s="13">
        <v>442.07620200000002</v>
      </c>
      <c r="B71" s="14">
        <v>1.2475626654247653</v>
      </c>
      <c r="C71" s="13">
        <v>-1</v>
      </c>
      <c r="D71" s="14">
        <v>443.08347846662105</v>
      </c>
      <c r="E71" s="13" t="s">
        <v>225</v>
      </c>
      <c r="F71" s="13">
        <v>442.07693353337896</v>
      </c>
      <c r="G71" s="13" t="s">
        <v>347</v>
      </c>
      <c r="H71" s="13" t="s">
        <v>69</v>
      </c>
      <c r="I71" s="13" t="s">
        <v>64</v>
      </c>
      <c r="J71" s="16">
        <v>443.08347846662105</v>
      </c>
      <c r="K71" s="16">
        <v>443.08420999999998</v>
      </c>
      <c r="L71" s="17">
        <v>-1.6510030428285298</v>
      </c>
      <c r="M71" s="13" t="s">
        <v>132</v>
      </c>
    </row>
    <row r="72" spans="1:13" x14ac:dyDescent="0.25">
      <c r="A72" s="13">
        <v>442.078485</v>
      </c>
      <c r="B72" s="14">
        <v>1.7076303077386141</v>
      </c>
      <c r="C72" s="13">
        <v>-1</v>
      </c>
      <c r="D72" s="14">
        <v>443.08576146662102</v>
      </c>
      <c r="E72" s="13" t="s">
        <v>225</v>
      </c>
      <c r="F72" s="13">
        <v>442.07693353337896</v>
      </c>
      <c r="G72" s="13" t="s">
        <v>347</v>
      </c>
      <c r="H72" s="13" t="s">
        <v>69</v>
      </c>
      <c r="I72" s="13" t="s">
        <v>64</v>
      </c>
      <c r="J72" s="16">
        <v>443.08576146662102</v>
      </c>
      <c r="K72" s="16">
        <v>443.08420999999998</v>
      </c>
      <c r="L72" s="17">
        <v>3.5015163845217803</v>
      </c>
      <c r="M72" s="13" t="s">
        <v>132</v>
      </c>
    </row>
    <row r="73" spans="1:13" x14ac:dyDescent="0.25">
      <c r="A73" s="13">
        <v>448.94360399999999</v>
      </c>
      <c r="B73" s="14">
        <v>0.32921848224188155</v>
      </c>
      <c r="C73" s="13">
        <v>-1</v>
      </c>
      <c r="D73" s="14">
        <v>449.95088046662102</v>
      </c>
    </row>
    <row r="74" spans="1:13" x14ac:dyDescent="0.25">
      <c r="A74" s="13">
        <v>460.95519999999999</v>
      </c>
      <c r="B74" s="14">
        <v>0.5051939694906713</v>
      </c>
      <c r="C74" s="13">
        <v>-1</v>
      </c>
      <c r="D74" s="14">
        <v>461.96247646662101</v>
      </c>
    </row>
    <row r="75" spans="1:13" x14ac:dyDescent="0.25">
      <c r="A75" s="13">
        <v>460.95761099999999</v>
      </c>
      <c r="B75" s="14">
        <v>0.48437539060256879</v>
      </c>
      <c r="C75" s="13">
        <v>-1</v>
      </c>
      <c r="D75" s="14">
        <v>461.96488746662101</v>
      </c>
    </row>
    <row r="76" spans="1:13" x14ac:dyDescent="0.25">
      <c r="A76" s="13">
        <v>469.96785299999999</v>
      </c>
      <c r="B76" s="14">
        <v>1.3540669253215223</v>
      </c>
      <c r="C76" s="13">
        <v>-1</v>
      </c>
      <c r="D76" s="14">
        <v>470.97512946662101</v>
      </c>
    </row>
    <row r="77" spans="1:13" x14ac:dyDescent="0.25">
      <c r="A77" s="13">
        <v>478.96648299999998</v>
      </c>
      <c r="B77" s="14">
        <v>0.90074128927785313</v>
      </c>
      <c r="C77" s="13">
        <v>-1</v>
      </c>
      <c r="D77" s="14">
        <v>479.973759466621</v>
      </c>
    </row>
    <row r="78" spans="1:13" x14ac:dyDescent="0.25">
      <c r="A78" s="13">
        <v>480.02307100000002</v>
      </c>
      <c r="B78" s="14">
        <v>0.33048248114907192</v>
      </c>
      <c r="C78" s="13">
        <v>-1</v>
      </c>
      <c r="D78" s="14">
        <v>481.03034746662104</v>
      </c>
      <c r="E78" s="13" t="s">
        <v>746</v>
      </c>
      <c r="F78" s="13">
        <v>480.02147353337898</v>
      </c>
      <c r="G78" s="13" t="s">
        <v>500</v>
      </c>
      <c r="H78" s="13" t="s">
        <v>67</v>
      </c>
      <c r="I78" s="13" t="s">
        <v>89</v>
      </c>
      <c r="J78" s="16">
        <v>481.03034746662104</v>
      </c>
      <c r="K78" s="16">
        <v>481.02875</v>
      </c>
      <c r="L78" s="17">
        <v>3.320937929459387</v>
      </c>
      <c r="M78" s="13" t="s">
        <v>218</v>
      </c>
    </row>
    <row r="79" spans="1:13" x14ac:dyDescent="0.25">
      <c r="A79" s="13">
        <v>483.07034299999998</v>
      </c>
      <c r="B79" s="14">
        <v>0.32297130341681962</v>
      </c>
      <c r="C79" s="13">
        <v>-1</v>
      </c>
      <c r="D79" s="14">
        <v>484.077619466621</v>
      </c>
    </row>
    <row r="80" spans="1:13" x14ac:dyDescent="0.25">
      <c r="A80" s="13">
        <v>487.97845999999998</v>
      </c>
      <c r="B80" s="14">
        <v>1.3413261720965852</v>
      </c>
      <c r="C80" s="13">
        <v>-1</v>
      </c>
      <c r="D80" s="14">
        <v>488.98573646662101</v>
      </c>
    </row>
    <row r="81" spans="1:13" x14ac:dyDescent="0.25">
      <c r="A81" s="13">
        <v>495.02243399999998</v>
      </c>
      <c r="B81" s="14">
        <v>0.93535063544145958</v>
      </c>
      <c r="C81" s="13">
        <v>-1</v>
      </c>
      <c r="D81" s="14">
        <v>496.029710466621</v>
      </c>
      <c r="E81" s="13" t="s">
        <v>747</v>
      </c>
      <c r="F81" s="13">
        <v>495.02113353337899</v>
      </c>
      <c r="G81" s="13" t="s">
        <v>502</v>
      </c>
      <c r="H81" s="13" t="s">
        <v>67</v>
      </c>
      <c r="I81" s="13" t="s">
        <v>89</v>
      </c>
      <c r="J81" s="16">
        <v>496.029710466621</v>
      </c>
      <c r="K81" s="16">
        <v>496.02841000000001</v>
      </c>
      <c r="L81" s="17">
        <v>2.621758340393209</v>
      </c>
      <c r="M81" s="13" t="s">
        <v>189</v>
      </c>
    </row>
    <row r="82" spans="1:13" x14ac:dyDescent="0.25">
      <c r="A82" s="13">
        <v>498.03269299999999</v>
      </c>
      <c r="B82" s="14">
        <v>0.80611034747009935</v>
      </c>
      <c r="C82" s="13">
        <v>-1</v>
      </c>
      <c r="D82" s="14">
        <v>499.03996946662102</v>
      </c>
      <c r="E82" s="13" t="s">
        <v>746</v>
      </c>
      <c r="F82" s="13">
        <v>498.03203353337898</v>
      </c>
      <c r="G82" s="13" t="s">
        <v>500</v>
      </c>
      <c r="H82" s="13" t="s">
        <v>67</v>
      </c>
      <c r="I82" s="13" t="s">
        <v>58</v>
      </c>
      <c r="J82" s="16">
        <v>499.03996946662102</v>
      </c>
      <c r="K82" s="16">
        <v>499.03931</v>
      </c>
      <c r="L82" s="17">
        <v>1.3214722924657698</v>
      </c>
      <c r="M82" s="13" t="s">
        <v>218</v>
      </c>
    </row>
    <row r="83" spans="1:13" x14ac:dyDescent="0.25">
      <c r="A83" s="13">
        <v>504.03290199999998</v>
      </c>
      <c r="B83" s="14">
        <v>2.0953768603035003</v>
      </c>
      <c r="C83" s="13">
        <v>-1</v>
      </c>
      <c r="D83" s="14">
        <v>505.040178466621</v>
      </c>
      <c r="E83" s="13" t="s">
        <v>748</v>
      </c>
      <c r="F83" s="13">
        <v>504.03270353337899</v>
      </c>
      <c r="G83" s="13" t="s">
        <v>504</v>
      </c>
      <c r="H83" s="13" t="s">
        <v>67</v>
      </c>
      <c r="I83" s="13" t="s">
        <v>89</v>
      </c>
      <c r="J83" s="16">
        <v>505.040178466621</v>
      </c>
      <c r="K83" s="16">
        <v>505.03998000000001</v>
      </c>
      <c r="L83" s="17">
        <v>0.39297209893449858</v>
      </c>
      <c r="M83" s="13" t="s">
        <v>134</v>
      </c>
    </row>
    <row r="84" spans="1:13" x14ac:dyDescent="0.25">
      <c r="A84" s="13">
        <v>505.03277600000001</v>
      </c>
      <c r="B84" s="14">
        <v>0.38674099699579201</v>
      </c>
      <c r="C84" s="13">
        <v>-1</v>
      </c>
      <c r="D84" s="14">
        <v>506.04005246662103</v>
      </c>
    </row>
    <row r="85" spans="1:13" x14ac:dyDescent="0.25">
      <c r="A85" s="13">
        <v>513.03269799999998</v>
      </c>
      <c r="B85" s="14">
        <v>1.7275586396326683</v>
      </c>
      <c r="C85" s="13">
        <v>-1</v>
      </c>
      <c r="D85" s="14">
        <v>514.03997446662095</v>
      </c>
      <c r="E85" s="13" t="s">
        <v>747</v>
      </c>
      <c r="F85" s="13">
        <v>513.03170353337907</v>
      </c>
      <c r="G85" s="13" t="s">
        <v>502</v>
      </c>
      <c r="H85" s="13" t="s">
        <v>67</v>
      </c>
      <c r="I85" s="13" t="s">
        <v>58</v>
      </c>
      <c r="J85" s="16">
        <v>514.03997446662095</v>
      </c>
      <c r="K85" s="16">
        <v>514.03898000000004</v>
      </c>
      <c r="L85" s="17">
        <v>1.9346132484143646</v>
      </c>
      <c r="M85" s="13" t="s">
        <v>189</v>
      </c>
    </row>
    <row r="86" spans="1:13" x14ac:dyDescent="0.25">
      <c r="A86" s="13">
        <v>518.86895800000002</v>
      </c>
      <c r="B86" s="14">
        <v>0.25602045591817602</v>
      </c>
      <c r="C86" s="13">
        <v>-1</v>
      </c>
      <c r="D86" s="14">
        <v>519.87623446662099</v>
      </c>
    </row>
    <row r="87" spans="1:13" x14ac:dyDescent="0.25">
      <c r="A87" s="13">
        <v>522.04384100000004</v>
      </c>
      <c r="B87" s="14">
        <v>7.1266141807907637</v>
      </c>
      <c r="C87" s="13">
        <v>-1</v>
      </c>
      <c r="D87" s="14">
        <v>523.05111746662101</v>
      </c>
      <c r="E87" s="13" t="s">
        <v>750</v>
      </c>
      <c r="F87" s="13">
        <v>522.04327353337908</v>
      </c>
      <c r="G87" s="13" t="s">
        <v>508</v>
      </c>
      <c r="H87" s="13" t="s">
        <v>67</v>
      </c>
      <c r="I87" s="13" t="s">
        <v>58</v>
      </c>
      <c r="J87" s="16">
        <v>523.05111746662101</v>
      </c>
      <c r="K87" s="16">
        <v>523.05055000000004</v>
      </c>
      <c r="L87" s="17">
        <v>1.0849173583017861</v>
      </c>
      <c r="M87" s="13" t="s">
        <v>134</v>
      </c>
    </row>
    <row r="88" spans="1:13" x14ac:dyDescent="0.25">
      <c r="A88" s="13">
        <v>523.04768200000001</v>
      </c>
      <c r="B88" s="14">
        <v>1.3485921003865706</v>
      </c>
      <c r="C88" s="13">
        <v>-1</v>
      </c>
      <c r="D88" s="14">
        <v>524.05495846662097</v>
      </c>
    </row>
    <row r="89" spans="1:13" x14ac:dyDescent="0.25">
      <c r="A89" s="13">
        <v>526.09918000000005</v>
      </c>
      <c r="B89" s="14">
        <v>0.61840269599627262</v>
      </c>
      <c r="C89" s="13">
        <v>-1</v>
      </c>
      <c r="D89" s="14">
        <v>527.10645646662101</v>
      </c>
      <c r="E89" s="13" t="s">
        <v>751</v>
      </c>
      <c r="F89" s="13">
        <v>526.09806353337899</v>
      </c>
      <c r="G89" s="13" t="s">
        <v>510</v>
      </c>
      <c r="H89" s="13" t="s">
        <v>67</v>
      </c>
      <c r="I89" s="13" t="s">
        <v>95</v>
      </c>
      <c r="J89" s="16">
        <v>527.10645646662101</v>
      </c>
      <c r="K89" s="16">
        <v>527.10533999999996</v>
      </c>
      <c r="L89" s="17">
        <v>2.1181091071020712</v>
      </c>
      <c r="M89" s="13" t="s">
        <v>218</v>
      </c>
    </row>
    <row r="90" spans="1:13" x14ac:dyDescent="0.25">
      <c r="A90" s="13">
        <v>540.05242899999996</v>
      </c>
      <c r="B90" s="14">
        <v>0.61469791232059456</v>
      </c>
      <c r="C90" s="13">
        <v>-1</v>
      </c>
      <c r="D90" s="14">
        <v>541.05970546662093</v>
      </c>
    </row>
    <row r="91" spans="1:13" x14ac:dyDescent="0.25">
      <c r="A91" s="13">
        <v>540.05706799999996</v>
      </c>
      <c r="B91" s="14">
        <v>0.7544526922873247</v>
      </c>
      <c r="C91" s="13">
        <v>-1</v>
      </c>
      <c r="D91" s="14">
        <v>541.06434446662092</v>
      </c>
    </row>
    <row r="92" spans="1:13" x14ac:dyDescent="0.25">
      <c r="A92" s="13">
        <v>544.10997099999997</v>
      </c>
      <c r="B92" s="14">
        <v>1.09236327948169</v>
      </c>
      <c r="C92" s="13">
        <v>-1</v>
      </c>
      <c r="D92" s="14">
        <v>545.11724746662094</v>
      </c>
      <c r="E92" s="13" t="s">
        <v>753</v>
      </c>
      <c r="F92" s="13">
        <v>544.10863353337902</v>
      </c>
      <c r="G92" s="13" t="s">
        <v>516</v>
      </c>
      <c r="H92" s="13" t="s">
        <v>67</v>
      </c>
      <c r="I92" s="13" t="s">
        <v>90</v>
      </c>
      <c r="J92" s="16">
        <v>545.11724746662094</v>
      </c>
      <c r="K92" s="16">
        <v>545.11590999999999</v>
      </c>
      <c r="L92" s="17">
        <v>2.453545377079362</v>
      </c>
      <c r="M92" s="13" t="s">
        <v>218</v>
      </c>
    </row>
    <row r="93" spans="1:13" x14ac:dyDescent="0.25">
      <c r="A93" s="13">
        <v>548.24255400000004</v>
      </c>
      <c r="B93" s="14">
        <v>0.27080941295094302</v>
      </c>
      <c r="C93" s="13">
        <v>-1</v>
      </c>
      <c r="D93" s="14">
        <v>549.24983046662101</v>
      </c>
    </row>
    <row r="94" spans="1:13" x14ac:dyDescent="0.25">
      <c r="A94" s="13">
        <v>553.12164299999995</v>
      </c>
      <c r="B94" s="14">
        <v>1.7750601507714681</v>
      </c>
      <c r="C94" s="13">
        <v>-1</v>
      </c>
      <c r="D94" s="14">
        <v>554.12891946662091</v>
      </c>
      <c r="E94" s="13" t="s">
        <v>754</v>
      </c>
      <c r="F94" s="13">
        <v>553.12020353337903</v>
      </c>
      <c r="G94" s="13" t="s">
        <v>518</v>
      </c>
      <c r="H94" s="13" t="s">
        <v>67</v>
      </c>
      <c r="I94" s="13" t="s">
        <v>90</v>
      </c>
      <c r="J94" s="16">
        <v>554.12891946662091</v>
      </c>
      <c r="K94" s="16">
        <v>554.12747999999999</v>
      </c>
      <c r="L94" s="17">
        <v>2.5977174438682558</v>
      </c>
      <c r="M94" s="13" t="s">
        <v>134</v>
      </c>
    </row>
    <row r="95" spans="1:13" x14ac:dyDescent="0.25">
      <c r="A95" s="13">
        <v>554.12835700000005</v>
      </c>
      <c r="B95" s="14">
        <v>0.3192132761537011</v>
      </c>
      <c r="C95" s="13">
        <v>-1</v>
      </c>
      <c r="D95" s="14">
        <v>555.13563346662102</v>
      </c>
    </row>
    <row r="96" spans="1:13" x14ac:dyDescent="0.25">
      <c r="A96" s="13">
        <v>558.69995100000006</v>
      </c>
      <c r="B96" s="14">
        <v>0.76132073493318364</v>
      </c>
      <c r="C96" s="13">
        <v>-1</v>
      </c>
      <c r="D96" s="14">
        <v>559.70722746662102</v>
      </c>
    </row>
    <row r="97" spans="1:13" x14ac:dyDescent="0.25">
      <c r="A97" s="13">
        <v>559.11070700000005</v>
      </c>
      <c r="B97" s="14">
        <v>1.6924488480642466</v>
      </c>
      <c r="C97" s="13">
        <v>-1</v>
      </c>
      <c r="D97" s="14">
        <v>560.11798346662101</v>
      </c>
      <c r="E97" s="13" t="s">
        <v>755</v>
      </c>
      <c r="F97" s="13">
        <v>559.10829353337908</v>
      </c>
      <c r="G97" s="13" t="s">
        <v>520</v>
      </c>
      <c r="H97" s="13" t="s">
        <v>67</v>
      </c>
      <c r="I97" s="13" t="s">
        <v>90</v>
      </c>
      <c r="J97" s="16">
        <v>560.11798346662101</v>
      </c>
      <c r="K97" s="16">
        <v>560.11557000000005</v>
      </c>
      <c r="L97" s="17">
        <v>4.3088725795727383</v>
      </c>
      <c r="M97" s="13" t="s">
        <v>189</v>
      </c>
    </row>
    <row r="98" spans="1:13" x14ac:dyDescent="0.25">
      <c r="A98" s="13">
        <v>559.98370399999999</v>
      </c>
      <c r="B98" s="14">
        <v>0.2614272483353976</v>
      </c>
      <c r="C98" s="13">
        <v>-1</v>
      </c>
      <c r="D98" s="14">
        <v>560.99098046662095</v>
      </c>
    </row>
    <row r="99" spans="1:13" x14ac:dyDescent="0.25">
      <c r="A99" s="13">
        <v>562.11879599999997</v>
      </c>
      <c r="B99" s="14">
        <v>1.0135484395925285</v>
      </c>
      <c r="C99" s="13">
        <v>-1</v>
      </c>
      <c r="D99" s="14">
        <v>563.12607246662094</v>
      </c>
      <c r="E99" s="13" t="s">
        <v>751</v>
      </c>
      <c r="F99" s="13">
        <v>562.11919353337908</v>
      </c>
      <c r="G99" s="13" t="s">
        <v>510</v>
      </c>
      <c r="H99" s="13" t="s">
        <v>67</v>
      </c>
      <c r="I99" s="13" t="s">
        <v>91</v>
      </c>
      <c r="J99" s="16">
        <v>563.12607246662094</v>
      </c>
      <c r="K99" s="16">
        <v>563.12647000000004</v>
      </c>
      <c r="L99" s="17">
        <v>-0.70593978489489795</v>
      </c>
      <c r="M99" s="13" t="s">
        <v>218</v>
      </c>
    </row>
    <row r="100" spans="1:13" x14ac:dyDescent="0.25">
      <c r="A100" s="13">
        <v>571.126892</v>
      </c>
      <c r="B100" s="14">
        <v>0.37408640428502637</v>
      </c>
      <c r="C100" s="13">
        <v>-1</v>
      </c>
      <c r="D100" s="14">
        <v>572.13416846662096</v>
      </c>
      <c r="E100" s="13" t="s">
        <v>756</v>
      </c>
      <c r="F100" s="13">
        <v>571.13076353337908</v>
      </c>
      <c r="G100" s="13" t="s">
        <v>512</v>
      </c>
      <c r="H100" s="13" t="s">
        <v>67</v>
      </c>
      <c r="I100" s="13" t="s">
        <v>91</v>
      </c>
      <c r="J100" s="16">
        <v>572.13416846662096</v>
      </c>
      <c r="K100" s="16">
        <v>572.13804000000005</v>
      </c>
      <c r="L100" s="17">
        <v>-6.766781979893004</v>
      </c>
      <c r="M100" s="13" t="s">
        <v>134</v>
      </c>
    </row>
    <row r="101" spans="1:13" x14ac:dyDescent="0.25">
      <c r="A101" s="13">
        <v>571.13287400000002</v>
      </c>
      <c r="B101" s="14">
        <v>0.56684519178561843</v>
      </c>
      <c r="C101" s="13">
        <v>-1</v>
      </c>
      <c r="D101" s="14">
        <v>572.14015046662098</v>
      </c>
      <c r="E101" s="13" t="s">
        <v>756</v>
      </c>
      <c r="F101" s="13">
        <v>571.13076353337908</v>
      </c>
      <c r="G101" s="13" t="s">
        <v>512</v>
      </c>
      <c r="H101" s="13" t="s">
        <v>67</v>
      </c>
      <c r="I101" s="13" t="s">
        <v>91</v>
      </c>
      <c r="J101" s="16">
        <v>572.14015046662098</v>
      </c>
      <c r="K101" s="16">
        <v>572.13804000000005</v>
      </c>
      <c r="L101" s="17">
        <v>3.6887367617331446</v>
      </c>
      <c r="M101" s="13" t="s">
        <v>134</v>
      </c>
    </row>
    <row r="102" spans="1:13" x14ac:dyDescent="0.25">
      <c r="A102" s="13">
        <v>572.13391100000001</v>
      </c>
      <c r="B102" s="14">
        <v>0.2563508343553228</v>
      </c>
      <c r="C102" s="13">
        <v>-1</v>
      </c>
      <c r="D102" s="14">
        <v>573.14118746662098</v>
      </c>
    </row>
    <row r="103" spans="1:13" x14ac:dyDescent="0.25">
      <c r="A103" s="13">
        <v>574.98965899999996</v>
      </c>
      <c r="B103" s="14">
        <v>0.99496218306494244</v>
      </c>
      <c r="C103" s="13">
        <v>-1</v>
      </c>
      <c r="D103" s="14">
        <v>575.99693546662093</v>
      </c>
    </row>
    <row r="104" spans="1:13" x14ac:dyDescent="0.25">
      <c r="A104" s="13">
        <v>577.12171499999999</v>
      </c>
      <c r="B104" s="14">
        <v>1.3506762755643675</v>
      </c>
      <c r="C104" s="13">
        <v>-1</v>
      </c>
      <c r="D104" s="14">
        <v>578.12899146662096</v>
      </c>
      <c r="E104" s="13" t="s">
        <v>752</v>
      </c>
      <c r="F104" s="13">
        <v>577.118863533379</v>
      </c>
      <c r="G104" s="13" t="s">
        <v>514</v>
      </c>
      <c r="H104" s="13" t="s">
        <v>67</v>
      </c>
      <c r="I104" s="13" t="s">
        <v>91</v>
      </c>
      <c r="J104" s="16">
        <v>578.12899146662096</v>
      </c>
      <c r="K104" s="16">
        <v>578.12613999999996</v>
      </c>
      <c r="L104" s="17">
        <v>4.9322568617910614</v>
      </c>
      <c r="M104" s="13" t="s">
        <v>189</v>
      </c>
    </row>
    <row r="105" spans="1:13" x14ac:dyDescent="0.25">
      <c r="A105" s="13">
        <v>578.00201400000003</v>
      </c>
      <c r="B105" s="14">
        <v>0.36205565151923647</v>
      </c>
      <c r="C105" s="13">
        <v>-1</v>
      </c>
      <c r="D105" s="14">
        <v>579.009290466621</v>
      </c>
    </row>
    <row r="106" spans="1:13" x14ac:dyDescent="0.25">
      <c r="A106" s="13">
        <v>584.00004899999999</v>
      </c>
      <c r="B106" s="14">
        <v>4.0490658677569416</v>
      </c>
      <c r="C106" s="13">
        <v>-1</v>
      </c>
      <c r="D106" s="14">
        <v>585.00732546662096</v>
      </c>
    </row>
    <row r="107" spans="1:13" x14ac:dyDescent="0.25">
      <c r="A107" s="13">
        <v>585.00116000000003</v>
      </c>
      <c r="B107" s="14">
        <v>0.40572066925057376</v>
      </c>
      <c r="C107" s="13">
        <v>-1</v>
      </c>
      <c r="D107" s="14">
        <v>586.00843646662099</v>
      </c>
    </row>
    <row r="108" spans="1:13" x14ac:dyDescent="0.25">
      <c r="A108" s="13">
        <v>592.99957300000005</v>
      </c>
      <c r="B108" s="14">
        <v>0.35933376437221126</v>
      </c>
      <c r="C108" s="13">
        <v>-1</v>
      </c>
      <c r="D108" s="14">
        <v>594.00684946662102</v>
      </c>
    </row>
    <row r="109" spans="1:13" x14ac:dyDescent="0.25">
      <c r="A109" s="13">
        <v>595.14013699999998</v>
      </c>
      <c r="B109" s="14">
        <v>0.81980096377348288</v>
      </c>
      <c r="C109" s="13">
        <v>-1</v>
      </c>
      <c r="D109" s="14">
        <v>596.14741346662095</v>
      </c>
      <c r="E109" s="13" t="s">
        <v>228</v>
      </c>
      <c r="F109" s="13">
        <v>595.14199353337904</v>
      </c>
      <c r="G109" s="13" t="s">
        <v>347</v>
      </c>
      <c r="H109" s="13" t="s">
        <v>69</v>
      </c>
      <c r="I109" s="13" t="s">
        <v>47</v>
      </c>
      <c r="J109" s="16">
        <v>596.14741346662095</v>
      </c>
      <c r="K109" s="16">
        <v>596.14927</v>
      </c>
      <c r="L109" s="17">
        <v>-3.1142089280001652</v>
      </c>
      <c r="M109" s="13" t="s">
        <v>132</v>
      </c>
    </row>
    <row r="110" spans="1:13" x14ac:dyDescent="0.25">
      <c r="A110" s="13">
        <v>595.14318800000001</v>
      </c>
      <c r="B110" s="14">
        <v>1.0184020683282451</v>
      </c>
      <c r="C110" s="13">
        <v>-1</v>
      </c>
      <c r="D110" s="14">
        <v>596.15046446662097</v>
      </c>
      <c r="E110" s="13" t="s">
        <v>228</v>
      </c>
      <c r="F110" s="13">
        <v>595.14199353337904</v>
      </c>
      <c r="G110" s="13" t="s">
        <v>347</v>
      </c>
      <c r="H110" s="13" t="s">
        <v>69</v>
      </c>
      <c r="I110" s="13" t="s">
        <v>47</v>
      </c>
      <c r="J110" s="16">
        <v>596.15046446662097</v>
      </c>
      <c r="K110" s="16">
        <v>596.14927</v>
      </c>
      <c r="L110" s="17">
        <v>2.0036368089033965</v>
      </c>
      <c r="M110" s="13" t="s">
        <v>132</v>
      </c>
    </row>
    <row r="111" spans="1:13" x14ac:dyDescent="0.25">
      <c r="A111" s="13">
        <v>597.06445299999996</v>
      </c>
      <c r="B111" s="14">
        <v>0.32271363944885484</v>
      </c>
      <c r="C111" s="13">
        <v>-1</v>
      </c>
      <c r="D111" s="14">
        <v>598.07172946662092</v>
      </c>
    </row>
    <row r="112" spans="1:13" x14ac:dyDescent="0.25">
      <c r="A112" s="13">
        <v>602.00997700000005</v>
      </c>
      <c r="B112" s="14">
        <v>4.920389086434616</v>
      </c>
      <c r="C112" s="13">
        <v>-1</v>
      </c>
      <c r="D112" s="14">
        <v>603.01725346662101</v>
      </c>
    </row>
    <row r="113" spans="1:13" x14ac:dyDescent="0.25">
      <c r="A113" s="13">
        <v>602.01324499999998</v>
      </c>
      <c r="B113" s="14">
        <v>1.3921087760926554</v>
      </c>
      <c r="C113" s="13">
        <v>-1</v>
      </c>
      <c r="D113" s="14">
        <v>603.02052146662095</v>
      </c>
    </row>
    <row r="114" spans="1:13" x14ac:dyDescent="0.25">
      <c r="A114" s="13">
        <v>606.06557099999998</v>
      </c>
      <c r="B114" s="14">
        <v>3.1605001374512254</v>
      </c>
      <c r="C114" s="13">
        <v>-1</v>
      </c>
      <c r="D114" s="14">
        <v>607.07284746662094</v>
      </c>
      <c r="E114" s="13" t="s">
        <v>753</v>
      </c>
      <c r="F114" s="13">
        <v>606.06439353337908</v>
      </c>
      <c r="G114" s="13" t="s">
        <v>516</v>
      </c>
      <c r="H114" s="13" t="s">
        <v>67</v>
      </c>
      <c r="I114" s="13" t="s">
        <v>85</v>
      </c>
      <c r="J114" s="16">
        <v>607.07284746662094</v>
      </c>
      <c r="K114" s="16">
        <v>607.07167000000004</v>
      </c>
      <c r="L114" s="17">
        <v>1.9395842024750116</v>
      </c>
      <c r="M114" s="13" t="s">
        <v>218</v>
      </c>
    </row>
    <row r="115" spans="1:13" x14ac:dyDescent="0.25">
      <c r="A115" s="13">
        <v>607.06188999999995</v>
      </c>
      <c r="B115" s="14">
        <v>0.51968128927011203</v>
      </c>
      <c r="C115" s="13">
        <v>-1</v>
      </c>
      <c r="D115" s="14">
        <v>608.06916646662091</v>
      </c>
    </row>
    <row r="116" spans="1:13" x14ac:dyDescent="0.25">
      <c r="A116" s="13">
        <v>615.07797500000004</v>
      </c>
      <c r="B116" s="14">
        <v>2.4229438362242721</v>
      </c>
      <c r="C116" s="13">
        <v>-1</v>
      </c>
      <c r="D116" s="14">
        <v>616.085251466621</v>
      </c>
      <c r="E116" s="13" t="s">
        <v>754</v>
      </c>
      <c r="F116" s="13">
        <v>615.07596353337908</v>
      </c>
      <c r="G116" s="13" t="s">
        <v>518</v>
      </c>
      <c r="H116" s="13" t="s">
        <v>67</v>
      </c>
      <c r="I116" s="13" t="s">
        <v>85</v>
      </c>
      <c r="J116" s="16">
        <v>616.085251466621</v>
      </c>
      <c r="K116" s="16">
        <v>616.08324000000005</v>
      </c>
      <c r="L116" s="17">
        <v>3.2649267020419601</v>
      </c>
      <c r="M116" s="13" t="s">
        <v>134</v>
      </c>
    </row>
    <row r="117" spans="1:13" x14ac:dyDescent="0.25">
      <c r="A117" s="13">
        <v>621.06487700000002</v>
      </c>
      <c r="B117" s="14">
        <v>5.2591053150286786</v>
      </c>
      <c r="C117" s="13">
        <v>-1</v>
      </c>
      <c r="D117" s="14">
        <v>622.07215346662099</v>
      </c>
      <c r="E117" s="13" t="s">
        <v>755</v>
      </c>
      <c r="F117" s="13">
        <v>621.064063533379</v>
      </c>
      <c r="G117" s="13" t="s">
        <v>520</v>
      </c>
      <c r="H117" s="13" t="s">
        <v>67</v>
      </c>
      <c r="I117" s="13" t="s">
        <v>85</v>
      </c>
      <c r="J117" s="16">
        <v>622.07215346662099</v>
      </c>
      <c r="K117" s="16">
        <v>622.07133999999996</v>
      </c>
      <c r="L117" s="17">
        <v>1.3076741664795668</v>
      </c>
      <c r="M117" s="13" t="s">
        <v>189</v>
      </c>
    </row>
    <row r="118" spans="1:13" x14ac:dyDescent="0.25">
      <c r="A118" s="13">
        <v>622.06420900000001</v>
      </c>
      <c r="B118" s="14">
        <v>0.34624328026208234</v>
      </c>
      <c r="C118" s="13">
        <v>-1</v>
      </c>
      <c r="D118" s="14">
        <v>623.07148546662097</v>
      </c>
    </row>
    <row r="119" spans="1:13" x14ac:dyDescent="0.25">
      <c r="A119" s="13">
        <v>622.06787099999997</v>
      </c>
      <c r="B119" s="14">
        <v>0.3620252599045492</v>
      </c>
      <c r="C119" s="13">
        <v>-1</v>
      </c>
      <c r="D119" s="14">
        <v>623.07514746662093</v>
      </c>
    </row>
    <row r="120" spans="1:13" x14ac:dyDescent="0.25">
      <c r="A120" s="13">
        <v>622.07226600000001</v>
      </c>
      <c r="B120" s="14">
        <v>0.44161779848192839</v>
      </c>
      <c r="C120" s="13">
        <v>-1</v>
      </c>
      <c r="D120" s="14">
        <v>623.07954246662098</v>
      </c>
    </row>
    <row r="121" spans="1:13" x14ac:dyDescent="0.25">
      <c r="A121" s="13">
        <v>624.07601199999999</v>
      </c>
      <c r="B121" s="14">
        <v>5.8239348493503416</v>
      </c>
      <c r="C121" s="13">
        <v>-1</v>
      </c>
      <c r="D121" s="14">
        <v>625.08328846662096</v>
      </c>
      <c r="E121" s="13" t="s">
        <v>757</v>
      </c>
      <c r="F121" s="13">
        <v>624.07496353337899</v>
      </c>
      <c r="G121" s="13" t="s">
        <v>525</v>
      </c>
      <c r="H121" s="13" t="s">
        <v>67</v>
      </c>
      <c r="I121" s="13" t="s">
        <v>57</v>
      </c>
      <c r="J121" s="16">
        <v>625.08328846662096</v>
      </c>
      <c r="K121" s="16">
        <v>625.08223999999996</v>
      </c>
      <c r="L121" s="17">
        <v>1.6773258843515431</v>
      </c>
      <c r="M121" s="13" t="s">
        <v>218</v>
      </c>
    </row>
    <row r="122" spans="1:13" x14ac:dyDescent="0.25">
      <c r="A122" s="13">
        <v>625.07726600000001</v>
      </c>
      <c r="B122" s="14">
        <v>0.9128119962242085</v>
      </c>
      <c r="C122" s="13">
        <v>-1</v>
      </c>
      <c r="D122" s="14">
        <v>626.08454246662097</v>
      </c>
    </row>
    <row r="123" spans="1:13" x14ac:dyDescent="0.25">
      <c r="A123" s="13">
        <v>626.08093299999996</v>
      </c>
      <c r="B123" s="14">
        <v>0.3057397908407809</v>
      </c>
      <c r="C123" s="13">
        <v>-1</v>
      </c>
      <c r="D123" s="14">
        <v>627.08820946662092</v>
      </c>
    </row>
    <row r="124" spans="1:13" x14ac:dyDescent="0.25">
      <c r="A124" s="13">
        <v>633.08758399999999</v>
      </c>
      <c r="B124" s="14">
        <v>5.4755617300795958</v>
      </c>
      <c r="C124" s="13">
        <v>-1</v>
      </c>
      <c r="D124" s="14">
        <v>634.09486046662096</v>
      </c>
      <c r="E124" s="13" t="s">
        <v>758</v>
      </c>
      <c r="F124" s="13">
        <v>633.086533533379</v>
      </c>
      <c r="G124" s="13" t="s">
        <v>527</v>
      </c>
      <c r="H124" s="13" t="s">
        <v>67</v>
      </c>
      <c r="I124" s="13" t="s">
        <v>57</v>
      </c>
      <c r="J124" s="16">
        <v>634.09486046662096</v>
      </c>
      <c r="K124" s="16">
        <v>634.09380999999996</v>
      </c>
      <c r="L124" s="17">
        <v>1.6566422892464348</v>
      </c>
      <c r="M124" s="13" t="s">
        <v>134</v>
      </c>
    </row>
    <row r="125" spans="1:13" x14ac:dyDescent="0.25">
      <c r="A125" s="13">
        <v>634.08943599999998</v>
      </c>
      <c r="B125" s="14">
        <v>0.81503862640530389</v>
      </c>
      <c r="C125" s="13">
        <v>-1</v>
      </c>
      <c r="D125" s="14">
        <v>635.09671246662094</v>
      </c>
    </row>
    <row r="126" spans="1:13" x14ac:dyDescent="0.25">
      <c r="A126" s="13">
        <v>634.09387200000003</v>
      </c>
      <c r="B126" s="14">
        <v>0.31198228771439102</v>
      </c>
      <c r="C126" s="13">
        <v>-1</v>
      </c>
      <c r="D126" s="14">
        <v>635.101148466621</v>
      </c>
    </row>
    <row r="127" spans="1:13" x14ac:dyDescent="0.25">
      <c r="A127" s="13">
        <v>638.22863800000005</v>
      </c>
      <c r="B127" s="14">
        <v>0.49441392240475507</v>
      </c>
      <c r="C127" s="13">
        <v>-1</v>
      </c>
      <c r="D127" s="14">
        <v>639.23591446662101</v>
      </c>
    </row>
    <row r="128" spans="1:13" x14ac:dyDescent="0.25">
      <c r="A128" s="13">
        <v>638.36962900000003</v>
      </c>
      <c r="B128" s="14">
        <v>1.8806280318391864</v>
      </c>
      <c r="C128" s="13">
        <v>-1</v>
      </c>
      <c r="D128" s="14">
        <v>639.376905466621</v>
      </c>
    </row>
    <row r="129" spans="1:13" x14ac:dyDescent="0.25">
      <c r="A129" s="13">
        <v>638.37396200000001</v>
      </c>
      <c r="B129" s="14">
        <v>0.36608035899301766</v>
      </c>
      <c r="C129" s="13">
        <v>-1</v>
      </c>
      <c r="D129" s="14">
        <v>639.38123846662097</v>
      </c>
    </row>
    <row r="130" spans="1:13" x14ac:dyDescent="0.25">
      <c r="A130" s="13">
        <v>638.51257299999997</v>
      </c>
      <c r="B130" s="14">
        <v>0.59627293956493022</v>
      </c>
      <c r="C130" s="13">
        <v>-1</v>
      </c>
      <c r="D130" s="14">
        <v>639.51984946662094</v>
      </c>
    </row>
    <row r="131" spans="1:13" x14ac:dyDescent="0.25">
      <c r="A131" s="13">
        <v>638.51586899999995</v>
      </c>
      <c r="B131" s="14">
        <v>1.0243727522276056</v>
      </c>
      <c r="C131" s="13">
        <v>-1</v>
      </c>
      <c r="D131" s="14">
        <v>639.52314546662092</v>
      </c>
    </row>
    <row r="132" spans="1:13" x14ac:dyDescent="0.25">
      <c r="A132" s="13">
        <v>638.65521200000001</v>
      </c>
      <c r="B132" s="14">
        <v>0.33871766508018786</v>
      </c>
      <c r="C132" s="13">
        <v>-1</v>
      </c>
      <c r="D132" s="14">
        <v>639.66248846662097</v>
      </c>
    </row>
    <row r="133" spans="1:13" x14ac:dyDescent="0.25">
      <c r="A133" s="13">
        <v>638.66204800000003</v>
      </c>
      <c r="B133" s="14">
        <v>0.98960892458873995</v>
      </c>
      <c r="C133" s="13">
        <v>-1</v>
      </c>
      <c r="D133" s="14">
        <v>639.66932446662099</v>
      </c>
    </row>
    <row r="134" spans="1:13" x14ac:dyDescent="0.25">
      <c r="A134" s="13">
        <v>638.79626499999995</v>
      </c>
      <c r="B134" s="14">
        <v>0.36394360307443624</v>
      </c>
      <c r="C134" s="13">
        <v>-1</v>
      </c>
      <c r="D134" s="14">
        <v>639.80354146662091</v>
      </c>
    </row>
    <row r="135" spans="1:13" x14ac:dyDescent="0.25">
      <c r="A135" s="13">
        <v>639.078125</v>
      </c>
      <c r="B135" s="14">
        <v>4.6421741481597634</v>
      </c>
      <c r="C135" s="13">
        <v>-1</v>
      </c>
      <c r="D135" s="14">
        <v>640.08540146662097</v>
      </c>
      <c r="E135" s="13" t="s">
        <v>759</v>
      </c>
      <c r="F135" s="13">
        <v>639.07462353337905</v>
      </c>
      <c r="G135" s="13" t="s">
        <v>529</v>
      </c>
      <c r="H135" s="13" t="s">
        <v>67</v>
      </c>
      <c r="I135" s="13" t="s">
        <v>57</v>
      </c>
      <c r="J135" s="16">
        <v>640.08540146662097</v>
      </c>
      <c r="K135" s="16">
        <v>640.08190000000002</v>
      </c>
      <c r="L135" s="17">
        <v>5.4703415624567775</v>
      </c>
      <c r="M135" s="13" t="s">
        <v>189</v>
      </c>
    </row>
    <row r="136" spans="1:13" x14ac:dyDescent="0.25">
      <c r="A136" s="13">
        <v>639.08216100000004</v>
      </c>
      <c r="B136" s="14">
        <v>7.110769047334772</v>
      </c>
      <c r="C136" s="13">
        <v>-1</v>
      </c>
      <c r="D136" s="14">
        <v>640.08943746662101</v>
      </c>
      <c r="E136" s="13" t="s">
        <v>180</v>
      </c>
      <c r="F136" s="13">
        <v>639.08720353337901</v>
      </c>
      <c r="G136" s="13" t="s">
        <v>361</v>
      </c>
      <c r="H136" s="13" t="s">
        <v>68</v>
      </c>
      <c r="I136" s="13" t="s">
        <v>45</v>
      </c>
      <c r="J136" s="16">
        <v>640.08943746662101</v>
      </c>
      <c r="K136" s="16">
        <v>640.09447999999998</v>
      </c>
      <c r="L136" s="17">
        <v>-7.8777954450864547</v>
      </c>
      <c r="M136" s="13" t="s">
        <v>290</v>
      </c>
    </row>
    <row r="137" spans="1:13" x14ac:dyDescent="0.25">
      <c r="A137" s="13">
        <v>640.08117700000003</v>
      </c>
      <c r="B137" s="14">
        <v>1.1115249499439475</v>
      </c>
      <c r="C137" s="13">
        <v>-1</v>
      </c>
      <c r="D137" s="14">
        <v>641.08845346662099</v>
      </c>
    </row>
    <row r="138" spans="1:13" x14ac:dyDescent="0.25">
      <c r="A138" s="13">
        <v>640.08647299999996</v>
      </c>
      <c r="B138" s="14">
        <v>1.5493900831528535</v>
      </c>
      <c r="C138" s="13">
        <v>-1</v>
      </c>
      <c r="D138" s="14">
        <v>641.09374946662092</v>
      </c>
    </row>
    <row r="139" spans="1:13" x14ac:dyDescent="0.25">
      <c r="A139" s="13">
        <v>641.08416699999998</v>
      </c>
      <c r="B139" s="14">
        <v>0.30821199874324745</v>
      </c>
      <c r="C139" s="13">
        <v>-1</v>
      </c>
      <c r="D139" s="14">
        <v>642.09144346662094</v>
      </c>
    </row>
    <row r="140" spans="1:13" x14ac:dyDescent="0.25">
      <c r="A140" s="13">
        <v>641.29455600000006</v>
      </c>
      <c r="B140" s="14">
        <v>0.31860978388186484</v>
      </c>
      <c r="C140" s="13">
        <v>-1</v>
      </c>
      <c r="D140" s="14">
        <v>642.30183246662102</v>
      </c>
    </row>
    <row r="141" spans="1:13" x14ac:dyDescent="0.25">
      <c r="A141" s="13">
        <v>641.51110800000004</v>
      </c>
      <c r="B141" s="14">
        <v>0.32052630088056139</v>
      </c>
      <c r="C141" s="13">
        <v>-1</v>
      </c>
      <c r="D141" s="14">
        <v>642.518384466621</v>
      </c>
    </row>
    <row r="142" spans="1:13" x14ac:dyDescent="0.25">
      <c r="A142" s="13">
        <v>642.08679199999995</v>
      </c>
      <c r="B142" s="14">
        <v>0.43438669160892185</v>
      </c>
      <c r="C142" s="13">
        <v>-1</v>
      </c>
      <c r="D142" s="14">
        <v>643.09406846662091</v>
      </c>
      <c r="E142" s="13" t="s">
        <v>753</v>
      </c>
      <c r="F142" s="13">
        <v>642.08552353337905</v>
      </c>
      <c r="G142" s="13" t="s">
        <v>516</v>
      </c>
      <c r="H142" s="13" t="s">
        <v>67</v>
      </c>
      <c r="I142" s="13" t="s">
        <v>78</v>
      </c>
      <c r="J142" s="16">
        <v>643.09406846662091</v>
      </c>
      <c r="K142" s="16">
        <v>643.09280000000001</v>
      </c>
      <c r="L142" s="17">
        <v>1.9724472438499454</v>
      </c>
      <c r="M142" s="13" t="s">
        <v>218</v>
      </c>
    </row>
    <row r="143" spans="1:13" x14ac:dyDescent="0.25">
      <c r="A143" s="13">
        <v>642.09106399999996</v>
      </c>
      <c r="B143" s="14">
        <v>0.37155599959229824</v>
      </c>
      <c r="C143" s="13">
        <v>-1</v>
      </c>
      <c r="D143" s="14">
        <v>643.09834046662093</v>
      </c>
      <c r="E143" s="13" t="s">
        <v>753</v>
      </c>
      <c r="F143" s="13">
        <v>642.08552353337905</v>
      </c>
      <c r="G143" s="13" t="s">
        <v>516</v>
      </c>
      <c r="H143" s="13" t="s">
        <v>67</v>
      </c>
      <c r="I143" s="13" t="s">
        <v>78</v>
      </c>
      <c r="J143" s="16">
        <v>643.09834046662093</v>
      </c>
      <c r="K143" s="16">
        <v>643.09280000000001</v>
      </c>
      <c r="L143" s="17">
        <v>8.6153454383476706</v>
      </c>
      <c r="M143" s="13" t="s">
        <v>218</v>
      </c>
    </row>
    <row r="144" spans="1:13" x14ac:dyDescent="0.25">
      <c r="A144" s="13">
        <v>648.08429000000001</v>
      </c>
      <c r="B144" s="14">
        <v>0.3312125714015357</v>
      </c>
      <c r="C144" s="13">
        <v>-1</v>
      </c>
      <c r="D144" s="14">
        <v>649.09156646662098</v>
      </c>
    </row>
    <row r="145" spans="1:13" x14ac:dyDescent="0.25">
      <c r="A145" s="13">
        <v>651.09381099999996</v>
      </c>
      <c r="B145" s="14">
        <v>0.53020355395436702</v>
      </c>
      <c r="C145" s="13">
        <v>-1</v>
      </c>
      <c r="D145" s="14">
        <v>652.10108746662092</v>
      </c>
      <c r="E145" s="13" t="s">
        <v>754</v>
      </c>
      <c r="F145" s="13">
        <v>651.09709353337905</v>
      </c>
      <c r="G145" s="13" t="s">
        <v>518</v>
      </c>
      <c r="H145" s="13" t="s">
        <v>67</v>
      </c>
      <c r="I145" s="13" t="s">
        <v>78</v>
      </c>
      <c r="J145" s="16">
        <v>652.10108746662092</v>
      </c>
      <c r="K145" s="16">
        <v>652.10437000000002</v>
      </c>
      <c r="L145" s="17">
        <v>-5.0337546106192415</v>
      </c>
      <c r="M145" s="13" t="s">
        <v>134</v>
      </c>
    </row>
    <row r="146" spans="1:13" x14ac:dyDescent="0.25">
      <c r="A146" s="13">
        <v>657.09545900000001</v>
      </c>
      <c r="B146" s="14">
        <v>7.4416286977821944</v>
      </c>
      <c r="C146" s="13">
        <v>-1</v>
      </c>
      <c r="D146" s="14">
        <v>658.10273546662097</v>
      </c>
      <c r="E146" s="13" t="s">
        <v>229</v>
      </c>
      <c r="F146" s="13">
        <v>657.09776353337907</v>
      </c>
      <c r="G146" s="13" t="s">
        <v>347</v>
      </c>
      <c r="H146" s="13" t="s">
        <v>69</v>
      </c>
      <c r="I146" s="13" t="s">
        <v>48</v>
      </c>
      <c r="J146" s="16">
        <v>658.10273546662097</v>
      </c>
      <c r="K146" s="16">
        <v>658.10504000000003</v>
      </c>
      <c r="L146" s="17">
        <v>-3.5017713571386082</v>
      </c>
      <c r="M146" s="13" t="s">
        <v>132</v>
      </c>
    </row>
    <row r="147" spans="1:13" x14ac:dyDescent="0.25">
      <c r="A147" s="13">
        <v>657.09879799999999</v>
      </c>
      <c r="B147" s="14">
        <v>11.878452233679502</v>
      </c>
      <c r="C147" s="13">
        <v>-1</v>
      </c>
      <c r="D147" s="14">
        <v>658.10607446662095</v>
      </c>
      <c r="E147" s="13" t="s">
        <v>229</v>
      </c>
      <c r="F147" s="13">
        <v>657.09776353337907</v>
      </c>
      <c r="G147" s="13" t="s">
        <v>347</v>
      </c>
      <c r="H147" s="13" t="s">
        <v>69</v>
      </c>
      <c r="I147" s="13" t="s">
        <v>48</v>
      </c>
      <c r="J147" s="16">
        <v>658.10607446662095</v>
      </c>
      <c r="K147" s="16">
        <v>658.10504000000003</v>
      </c>
      <c r="L147" s="17">
        <v>1.5718867932117693</v>
      </c>
      <c r="M147" s="13" t="s">
        <v>132</v>
      </c>
    </row>
    <row r="148" spans="1:13" x14ac:dyDescent="0.25">
      <c r="A148" s="13">
        <v>658.09704599999998</v>
      </c>
      <c r="B148" s="14">
        <v>1.7284781894154846</v>
      </c>
      <c r="C148" s="13">
        <v>-1</v>
      </c>
      <c r="D148" s="14">
        <v>659.10432246662094</v>
      </c>
    </row>
    <row r="149" spans="1:13" x14ac:dyDescent="0.25">
      <c r="A149" s="13">
        <v>658.101404</v>
      </c>
      <c r="B149" s="14">
        <v>2.5283025156285266</v>
      </c>
      <c r="C149" s="13">
        <v>-1</v>
      </c>
      <c r="D149" s="14">
        <v>659.10868046662097</v>
      </c>
    </row>
    <row r="150" spans="1:13" x14ac:dyDescent="0.25">
      <c r="A150" s="13">
        <v>675.10736099999997</v>
      </c>
      <c r="B150" s="14">
        <v>2.4578890813634566</v>
      </c>
      <c r="C150" s="13">
        <v>-1</v>
      </c>
      <c r="D150" s="14">
        <v>676.11463746662093</v>
      </c>
      <c r="E150" s="13" t="s">
        <v>230</v>
      </c>
      <c r="F150" s="13">
        <v>675.10832353337901</v>
      </c>
      <c r="G150" s="13" t="s">
        <v>347</v>
      </c>
      <c r="H150" s="13" t="s">
        <v>69</v>
      </c>
      <c r="I150" s="13" t="s">
        <v>49</v>
      </c>
      <c r="J150" s="16">
        <v>676.11463746662093</v>
      </c>
      <c r="K150" s="16">
        <v>676.11559999999997</v>
      </c>
      <c r="L150" s="17">
        <v>-1.4236224974518816</v>
      </c>
      <c r="M150" s="13" t="s">
        <v>132</v>
      </c>
    </row>
    <row r="151" spans="1:13" x14ac:dyDescent="0.25">
      <c r="A151" s="13">
        <v>675.11105799999996</v>
      </c>
      <c r="B151" s="14">
        <v>3.7481541526267566</v>
      </c>
      <c r="C151" s="13">
        <v>-1</v>
      </c>
      <c r="D151" s="14">
        <v>676.11833446662092</v>
      </c>
      <c r="E151" s="13" t="s">
        <v>230</v>
      </c>
      <c r="F151" s="13">
        <v>675.10832353337901</v>
      </c>
      <c r="G151" s="13" t="s">
        <v>347</v>
      </c>
      <c r="H151" s="13" t="s">
        <v>69</v>
      </c>
      <c r="I151" s="13" t="s">
        <v>49</v>
      </c>
      <c r="J151" s="16">
        <v>676.11833446662092</v>
      </c>
      <c r="K151" s="16">
        <v>676.11559999999997</v>
      </c>
      <c r="L151" s="17">
        <v>4.0443773534438723</v>
      </c>
      <c r="M151" s="13" t="s">
        <v>132</v>
      </c>
    </row>
    <row r="152" spans="1:13" x14ac:dyDescent="0.25">
      <c r="A152" s="13">
        <v>676.11181599999998</v>
      </c>
      <c r="B152" s="14">
        <v>0.31684337777298399</v>
      </c>
      <c r="C152" s="13">
        <v>-1</v>
      </c>
      <c r="D152" s="14">
        <v>677.11909246662094</v>
      </c>
    </row>
    <row r="153" spans="1:13" x14ac:dyDescent="0.25">
      <c r="A153" s="13">
        <v>680.02423099999999</v>
      </c>
      <c r="B153" s="14">
        <v>0.31620230381495307</v>
      </c>
      <c r="C153" s="13">
        <v>-1</v>
      </c>
      <c r="D153" s="14">
        <v>681.03150746662095</v>
      </c>
    </row>
    <row r="154" spans="1:13" x14ac:dyDescent="0.25">
      <c r="A154" s="13">
        <v>686.03062899999998</v>
      </c>
      <c r="B154" s="14">
        <v>1.5933478995453636</v>
      </c>
      <c r="C154" s="13">
        <v>-1</v>
      </c>
      <c r="D154" s="14">
        <v>687.03790546662094</v>
      </c>
      <c r="E154" s="13" t="s">
        <v>751</v>
      </c>
      <c r="F154" s="13">
        <v>686.03073353337902</v>
      </c>
      <c r="G154" s="13" t="s">
        <v>510</v>
      </c>
      <c r="H154" s="13" t="s">
        <v>67</v>
      </c>
      <c r="I154" s="13" t="s">
        <v>87</v>
      </c>
      <c r="J154" s="16">
        <v>687.03790546662094</v>
      </c>
      <c r="K154" s="16">
        <v>687.03800999999999</v>
      </c>
      <c r="L154" s="17">
        <v>-0.15215079445803764</v>
      </c>
      <c r="M154" s="13" t="s">
        <v>218</v>
      </c>
    </row>
    <row r="155" spans="1:13" x14ac:dyDescent="0.25">
      <c r="A155" s="13">
        <v>686.03430200000003</v>
      </c>
      <c r="B155" s="14">
        <v>1.3850732319058108</v>
      </c>
      <c r="C155" s="13">
        <v>-1</v>
      </c>
      <c r="D155" s="14">
        <v>687.04157846662099</v>
      </c>
      <c r="E155" s="13" t="s">
        <v>751</v>
      </c>
      <c r="F155" s="13">
        <v>686.03073353337902</v>
      </c>
      <c r="G155" s="13" t="s">
        <v>510</v>
      </c>
      <c r="H155" s="13" t="s">
        <v>67</v>
      </c>
      <c r="I155" s="13" t="s">
        <v>87</v>
      </c>
      <c r="J155" s="16">
        <v>687.04157846662099</v>
      </c>
      <c r="K155" s="16">
        <v>687.03800999999999</v>
      </c>
      <c r="L155" s="17">
        <v>5.1939871871201388</v>
      </c>
      <c r="M155" s="13" t="s">
        <v>218</v>
      </c>
    </row>
    <row r="156" spans="1:13" x14ac:dyDescent="0.25">
      <c r="A156" s="13">
        <v>686.581909</v>
      </c>
      <c r="B156" s="14">
        <v>0.30429348427032699</v>
      </c>
      <c r="C156" s="13">
        <v>-1</v>
      </c>
      <c r="D156" s="14">
        <v>687.58918546662096</v>
      </c>
    </row>
    <row r="157" spans="1:13" x14ac:dyDescent="0.25">
      <c r="A157" s="13">
        <v>695.04289400000005</v>
      </c>
      <c r="B157" s="14">
        <v>1.9200341891277446</v>
      </c>
      <c r="C157" s="13">
        <v>-1</v>
      </c>
      <c r="D157" s="14">
        <v>696.05017046662101</v>
      </c>
      <c r="E157" s="13" t="s">
        <v>756</v>
      </c>
      <c r="F157" s="13">
        <v>695.04229353337905</v>
      </c>
      <c r="G157" s="13" t="s">
        <v>512</v>
      </c>
      <c r="H157" s="13" t="s">
        <v>67</v>
      </c>
      <c r="I157" s="13" t="s">
        <v>87</v>
      </c>
      <c r="J157" s="16">
        <v>696.05017046662101</v>
      </c>
      <c r="K157" s="16">
        <v>696.04957000000002</v>
      </c>
      <c r="L157" s="17">
        <v>0.86267795696600491</v>
      </c>
      <c r="M157" s="13" t="s">
        <v>134</v>
      </c>
    </row>
    <row r="158" spans="1:13" x14ac:dyDescent="0.25">
      <c r="A158" s="13">
        <v>701.03226400000005</v>
      </c>
      <c r="B158" s="14">
        <v>3.5406780929535087</v>
      </c>
      <c r="C158" s="13">
        <v>-1</v>
      </c>
      <c r="D158" s="14">
        <v>702.03954046662102</v>
      </c>
      <c r="E158" s="13" t="s">
        <v>752</v>
      </c>
      <c r="F158" s="13">
        <v>701.03039353337908</v>
      </c>
      <c r="G158" s="13" t="s">
        <v>514</v>
      </c>
      <c r="H158" s="13" t="s">
        <v>67</v>
      </c>
      <c r="I158" s="13" t="s">
        <v>87</v>
      </c>
      <c r="J158" s="16">
        <v>702.03954046662102</v>
      </c>
      <c r="K158" s="16">
        <v>702.03767000000005</v>
      </c>
      <c r="L158" s="17">
        <v>2.6643393950234264</v>
      </c>
      <c r="M158" s="13" t="s">
        <v>189</v>
      </c>
    </row>
    <row r="159" spans="1:13" x14ac:dyDescent="0.25">
      <c r="A159" s="13">
        <v>702.03472899999997</v>
      </c>
      <c r="B159" s="14">
        <v>0.43781017997375044</v>
      </c>
      <c r="C159" s="13">
        <v>-1</v>
      </c>
      <c r="D159" s="14">
        <v>703.04200546662094</v>
      </c>
    </row>
    <row r="160" spans="1:13" x14ac:dyDescent="0.25">
      <c r="A160" s="13">
        <v>704.04272700000001</v>
      </c>
      <c r="B160" s="14">
        <v>2.5407179028359863</v>
      </c>
      <c r="C160" s="13">
        <v>-1</v>
      </c>
      <c r="D160" s="14">
        <v>705.05000346662098</v>
      </c>
      <c r="E160" s="13" t="s">
        <v>753</v>
      </c>
      <c r="F160" s="13">
        <v>704.04129353337908</v>
      </c>
      <c r="G160" s="13" t="s">
        <v>516</v>
      </c>
      <c r="H160" s="13" t="s">
        <v>67</v>
      </c>
      <c r="I160" s="13" t="s">
        <v>84</v>
      </c>
      <c r="J160" s="16">
        <v>705.05000346662098</v>
      </c>
      <c r="K160" s="16">
        <v>705.04857000000004</v>
      </c>
      <c r="L160" s="17">
        <v>2.0331459163698558</v>
      </c>
      <c r="M160" s="13" t="s">
        <v>218</v>
      </c>
    </row>
    <row r="161" spans="1:13" x14ac:dyDescent="0.25">
      <c r="A161" s="13">
        <v>713.05319799999995</v>
      </c>
      <c r="B161" s="14">
        <v>1.0894367369969684</v>
      </c>
      <c r="C161" s="13">
        <v>-1</v>
      </c>
      <c r="D161" s="14">
        <v>714.06047446662092</v>
      </c>
      <c r="E161" s="13" t="s">
        <v>754</v>
      </c>
      <c r="F161" s="13">
        <v>713.05286353337908</v>
      </c>
      <c r="G161" s="13" t="s">
        <v>518</v>
      </c>
      <c r="H161" s="13" t="s">
        <v>67</v>
      </c>
      <c r="I161" s="13" t="s">
        <v>84</v>
      </c>
      <c r="J161" s="16">
        <v>714.06047446662092</v>
      </c>
      <c r="K161" s="16">
        <v>714.06014000000005</v>
      </c>
      <c r="L161" s="17">
        <v>0.4684011921887194</v>
      </c>
      <c r="M161" s="13" t="s">
        <v>134</v>
      </c>
    </row>
    <row r="162" spans="1:13" x14ac:dyDescent="0.25">
      <c r="A162" s="13">
        <v>719.04370100000006</v>
      </c>
      <c r="B162" s="14">
        <v>3.5176329433800508</v>
      </c>
      <c r="C162" s="13">
        <v>-1</v>
      </c>
      <c r="D162" s="14">
        <v>720.05097746662102</v>
      </c>
      <c r="E162" s="13" t="s">
        <v>755</v>
      </c>
      <c r="F162" s="13">
        <v>719.040963533379</v>
      </c>
      <c r="G162" s="13" t="s">
        <v>520</v>
      </c>
      <c r="H162" s="13" t="s">
        <v>67</v>
      </c>
      <c r="I162" s="13" t="s">
        <v>84</v>
      </c>
      <c r="J162" s="16">
        <v>720.05097746662102</v>
      </c>
      <c r="K162" s="16">
        <v>720.04823999999996</v>
      </c>
      <c r="L162" s="17">
        <v>3.8017822542781694</v>
      </c>
      <c r="M162" s="13" t="s">
        <v>189</v>
      </c>
    </row>
    <row r="163" spans="1:13" x14ac:dyDescent="0.25">
      <c r="A163" s="13">
        <v>719.04844400000002</v>
      </c>
      <c r="B163" s="14">
        <v>5.9783719654594938</v>
      </c>
      <c r="C163" s="13">
        <v>-1</v>
      </c>
      <c r="D163" s="14">
        <v>720.05572046662098</v>
      </c>
      <c r="E163" s="13" t="s">
        <v>232</v>
      </c>
      <c r="F163" s="13">
        <v>719.05353353337898</v>
      </c>
      <c r="G163" s="13" t="s">
        <v>361</v>
      </c>
      <c r="H163" s="13" t="s">
        <v>68</v>
      </c>
      <c r="I163" s="13" t="s">
        <v>17</v>
      </c>
      <c r="J163" s="16">
        <v>720.05572046662098</v>
      </c>
      <c r="K163" s="16">
        <v>720.06080999999995</v>
      </c>
      <c r="L163" s="17">
        <v>-7.0681993913319721</v>
      </c>
      <c r="M163" s="13" t="s">
        <v>290</v>
      </c>
    </row>
    <row r="164" spans="1:13" x14ac:dyDescent="0.25">
      <c r="A164" s="13">
        <v>720.04947000000004</v>
      </c>
      <c r="B164" s="14">
        <v>1.8731194787504648</v>
      </c>
      <c r="C164" s="13">
        <v>-1</v>
      </c>
      <c r="D164" s="14">
        <v>721.05674646662101</v>
      </c>
    </row>
    <row r="165" spans="1:13" x14ac:dyDescent="0.25">
      <c r="A165" s="13">
        <v>721.051331</v>
      </c>
      <c r="B165" s="14">
        <v>0.37169330436112946</v>
      </c>
      <c r="C165" s="13">
        <v>-1</v>
      </c>
      <c r="D165" s="14">
        <v>722.05860746662097</v>
      </c>
    </row>
    <row r="166" spans="1:13" x14ac:dyDescent="0.25">
      <c r="A166" s="13">
        <v>737.06011999999998</v>
      </c>
      <c r="B166" s="14">
        <v>5.3284399749571518</v>
      </c>
      <c r="C166" s="13">
        <v>-1</v>
      </c>
      <c r="D166" s="14">
        <v>738.06739646662095</v>
      </c>
      <c r="E166" s="13" t="s">
        <v>181</v>
      </c>
      <c r="F166" s="13">
        <v>737.06409353337904</v>
      </c>
      <c r="G166" s="13" t="s">
        <v>361</v>
      </c>
      <c r="H166" s="13" t="s">
        <v>68</v>
      </c>
      <c r="I166" s="13" t="s">
        <v>24</v>
      </c>
      <c r="J166" s="16">
        <v>738.06739646662095</v>
      </c>
      <c r="K166" s="16">
        <v>738.07137</v>
      </c>
      <c r="L166" s="17">
        <v>-5.383670930161065</v>
      </c>
      <c r="M166" s="13" t="s">
        <v>290</v>
      </c>
    </row>
    <row r="167" spans="1:13" x14ac:dyDescent="0.25">
      <c r="A167" s="13">
        <v>737.06531600000005</v>
      </c>
      <c r="B167" s="14">
        <v>8.4824935848393093</v>
      </c>
      <c r="C167" s="13">
        <v>-1</v>
      </c>
      <c r="D167" s="14">
        <v>738.07259246662102</v>
      </c>
      <c r="E167" s="13" t="s">
        <v>181</v>
      </c>
      <c r="F167" s="13">
        <v>737.06409353337904</v>
      </c>
      <c r="G167" s="13" t="s">
        <v>361</v>
      </c>
      <c r="H167" s="13" t="s">
        <v>68</v>
      </c>
      <c r="I167" s="13" t="s">
        <v>24</v>
      </c>
      <c r="J167" s="16">
        <v>738.07259246662102</v>
      </c>
      <c r="K167" s="16">
        <v>738.07137</v>
      </c>
      <c r="L167" s="17">
        <v>1.6562986598652145</v>
      </c>
      <c r="M167" s="13" t="s">
        <v>290</v>
      </c>
    </row>
    <row r="168" spans="1:13" x14ac:dyDescent="0.25">
      <c r="A168" s="13">
        <v>738.06595200000004</v>
      </c>
      <c r="B168" s="14">
        <v>3.1820106422882195</v>
      </c>
      <c r="C168" s="13">
        <v>-1</v>
      </c>
      <c r="D168" s="14">
        <v>739.073228466621</v>
      </c>
    </row>
    <row r="169" spans="1:13" x14ac:dyDescent="0.25">
      <c r="A169" s="13">
        <v>747.12353499999995</v>
      </c>
      <c r="B169" s="14">
        <v>0.58234272998339609</v>
      </c>
      <c r="C169" s="13">
        <v>-1</v>
      </c>
      <c r="D169" s="14">
        <v>748.13081146662091</v>
      </c>
      <c r="E169" s="13" t="s">
        <v>761</v>
      </c>
      <c r="F169" s="13">
        <v>747.11822353337902</v>
      </c>
      <c r="G169" s="13" t="s">
        <v>537</v>
      </c>
      <c r="H169" s="13" t="s">
        <v>67</v>
      </c>
      <c r="I169" s="13" t="s">
        <v>94</v>
      </c>
      <c r="J169" s="16">
        <v>748.13081146662091</v>
      </c>
      <c r="K169" s="16">
        <v>748.12549999999999</v>
      </c>
      <c r="L169" s="17">
        <v>7.0997000114605981</v>
      </c>
      <c r="M169" s="13" t="s">
        <v>163</v>
      </c>
    </row>
    <row r="170" spans="1:13" x14ac:dyDescent="0.25">
      <c r="A170" s="13">
        <v>753.10864300000003</v>
      </c>
      <c r="B170" s="14">
        <v>0.6782549620180226</v>
      </c>
      <c r="C170" s="13">
        <v>-1</v>
      </c>
      <c r="D170" s="14">
        <v>754.11591946662099</v>
      </c>
      <c r="E170" s="13" t="s">
        <v>760</v>
      </c>
      <c r="F170" s="13">
        <v>753.10632353337905</v>
      </c>
      <c r="G170" s="13" t="s">
        <v>535</v>
      </c>
      <c r="H170" s="13" t="s">
        <v>67</v>
      </c>
      <c r="I170" s="13" t="s">
        <v>94</v>
      </c>
      <c r="J170" s="16">
        <v>754.11591946662099</v>
      </c>
      <c r="K170" s="16">
        <v>754.11360000000002</v>
      </c>
      <c r="L170" s="17">
        <v>3.075752275220482</v>
      </c>
      <c r="M170" s="13" t="s">
        <v>201</v>
      </c>
    </row>
    <row r="171" spans="1:13" x14ac:dyDescent="0.25">
      <c r="A171" s="13">
        <v>753.11346400000002</v>
      </c>
      <c r="B171" s="14">
        <v>0.77075750321345771</v>
      </c>
      <c r="C171" s="13">
        <v>-1</v>
      </c>
      <c r="D171" s="14">
        <v>754.12074046662099</v>
      </c>
      <c r="E171" s="13" t="s">
        <v>764</v>
      </c>
      <c r="F171" s="13">
        <v>753.11889353337904</v>
      </c>
      <c r="G171" s="13" t="s">
        <v>374</v>
      </c>
      <c r="H171" s="13" t="s">
        <v>67</v>
      </c>
      <c r="I171" s="13" t="s">
        <v>99</v>
      </c>
      <c r="J171" s="16">
        <v>754.12074046662099</v>
      </c>
      <c r="K171" s="16">
        <v>754.12617</v>
      </c>
      <c r="L171" s="17">
        <v>-7.1997678836885921</v>
      </c>
      <c r="M171" s="13" t="s">
        <v>341</v>
      </c>
    </row>
    <row r="172" spans="1:13" x14ac:dyDescent="0.25">
      <c r="A172" s="13">
        <v>771.13002800000004</v>
      </c>
      <c r="B172" s="14">
        <v>3.4012472788123285</v>
      </c>
      <c r="C172" s="13">
        <v>-1</v>
      </c>
      <c r="D172" s="14">
        <v>772.137304466621</v>
      </c>
      <c r="E172" s="13" t="s">
        <v>231</v>
      </c>
      <c r="F172" s="13">
        <v>771.12945353337898</v>
      </c>
      <c r="G172" s="13" t="s">
        <v>348</v>
      </c>
      <c r="H172" s="13" t="s">
        <v>69</v>
      </c>
      <c r="I172" s="13" t="s">
        <v>64</v>
      </c>
      <c r="J172" s="16">
        <v>772.137304466621</v>
      </c>
      <c r="K172" s="16">
        <v>772.13672999999994</v>
      </c>
      <c r="L172" s="17">
        <v>0.74399597731908185</v>
      </c>
      <c r="M172" s="13" t="s">
        <v>133</v>
      </c>
    </row>
    <row r="173" spans="1:13" x14ac:dyDescent="0.25">
      <c r="A173" s="13">
        <v>772.13568599999996</v>
      </c>
      <c r="B173" s="14">
        <v>0.86180938444498389</v>
      </c>
      <c r="C173" s="13">
        <v>-1</v>
      </c>
      <c r="D173" s="14">
        <v>773.14296246662093</v>
      </c>
    </row>
    <row r="174" spans="1:13" x14ac:dyDescent="0.25">
      <c r="A174" s="13">
        <v>815.05938700000002</v>
      </c>
      <c r="B174" s="14">
        <v>0.7303530205419515</v>
      </c>
      <c r="C174" s="13">
        <v>-1</v>
      </c>
      <c r="D174" s="14">
        <v>816.06666346662098</v>
      </c>
      <c r="E174" s="13" t="s">
        <v>760</v>
      </c>
      <c r="F174" s="13">
        <v>815.06209353337908</v>
      </c>
      <c r="G174" s="13" t="s">
        <v>535</v>
      </c>
      <c r="H174" s="13" t="s">
        <v>67</v>
      </c>
      <c r="I174" s="13" t="s">
        <v>89</v>
      </c>
      <c r="J174" s="16">
        <v>816.06666346662098</v>
      </c>
      <c r="K174" s="16">
        <v>816.06937000000005</v>
      </c>
      <c r="L174" s="17">
        <v>-3.3165481741690503</v>
      </c>
      <c r="M174" s="13" t="s">
        <v>201</v>
      </c>
    </row>
    <row r="175" spans="1:13" x14ac:dyDescent="0.25">
      <c r="A175" s="13">
        <v>815.07025099999998</v>
      </c>
      <c r="B175" s="14">
        <v>0.79932205272681511</v>
      </c>
      <c r="C175" s="13">
        <v>-1</v>
      </c>
      <c r="D175" s="14">
        <v>816.07752746662095</v>
      </c>
      <c r="E175" s="13" t="s">
        <v>760</v>
      </c>
      <c r="F175" s="13">
        <v>815.06209353337908</v>
      </c>
      <c r="G175" s="13" t="s">
        <v>535</v>
      </c>
      <c r="H175" s="13" t="s">
        <v>67</v>
      </c>
      <c r="I175" s="13" t="s">
        <v>89</v>
      </c>
      <c r="J175" s="16">
        <v>816.07752746662095</v>
      </c>
      <c r="K175" s="16">
        <v>816.06937000000005</v>
      </c>
      <c r="L175" s="17">
        <v>9.996045582375892</v>
      </c>
      <c r="M175" s="13" t="s">
        <v>201</v>
      </c>
    </row>
    <row r="176" spans="1:13" x14ac:dyDescent="0.25">
      <c r="A176" s="13">
        <v>827.086499</v>
      </c>
      <c r="B176" s="14">
        <v>1.4058709397202445</v>
      </c>
      <c r="C176" s="13">
        <v>-1</v>
      </c>
      <c r="D176" s="14">
        <v>828.09377546662097</v>
      </c>
      <c r="E176" s="13" t="s">
        <v>762</v>
      </c>
      <c r="F176" s="13">
        <v>827.08455353337899</v>
      </c>
      <c r="G176" s="13" t="s">
        <v>541</v>
      </c>
      <c r="H176" s="13" t="s">
        <v>67</v>
      </c>
      <c r="I176" s="13" t="s">
        <v>58</v>
      </c>
      <c r="J176" s="16">
        <v>828.09377546662097</v>
      </c>
      <c r="K176" s="16">
        <v>828.09182999999996</v>
      </c>
      <c r="L176" s="17">
        <v>2.3493368132969903</v>
      </c>
      <c r="M176" s="13" t="s">
        <v>163</v>
      </c>
    </row>
    <row r="177" spans="1:13" x14ac:dyDescent="0.25">
      <c r="A177" s="13">
        <v>833.073981</v>
      </c>
      <c r="B177" s="14">
        <v>1.6318657907389587</v>
      </c>
      <c r="C177" s="13">
        <v>-1</v>
      </c>
      <c r="D177" s="14">
        <v>834.08125746662097</v>
      </c>
      <c r="E177" s="13" t="s">
        <v>760</v>
      </c>
      <c r="F177" s="13">
        <v>833.07265353337903</v>
      </c>
      <c r="G177" s="13" t="s">
        <v>535</v>
      </c>
      <c r="H177" s="13" t="s">
        <v>67</v>
      </c>
      <c r="I177" s="13" t="s">
        <v>58</v>
      </c>
      <c r="J177" s="16">
        <v>834.08125746662097</v>
      </c>
      <c r="K177" s="16">
        <v>834.07992999999999</v>
      </c>
      <c r="L177" s="17">
        <v>1.5915340643410005</v>
      </c>
      <c r="M177" s="13" t="s">
        <v>201</v>
      </c>
    </row>
    <row r="178" spans="1:13" x14ac:dyDescent="0.25">
      <c r="A178" s="13">
        <v>833.07934599999999</v>
      </c>
      <c r="B178" s="14">
        <v>1.5848284269872317</v>
      </c>
      <c r="C178" s="13">
        <v>-1</v>
      </c>
      <c r="D178" s="14">
        <v>834.08662246662095</v>
      </c>
      <c r="E178" s="13" t="s">
        <v>764</v>
      </c>
      <c r="F178" s="13">
        <v>833.08522353337901</v>
      </c>
      <c r="G178" s="13" t="s">
        <v>374</v>
      </c>
      <c r="H178" s="13" t="s">
        <v>67</v>
      </c>
      <c r="I178" s="13" t="s">
        <v>89</v>
      </c>
      <c r="J178" s="16">
        <v>834.08662246662095</v>
      </c>
      <c r="K178" s="16">
        <v>834.09249999999997</v>
      </c>
      <c r="L178" s="17">
        <v>-7.0466205834734881</v>
      </c>
      <c r="M178" s="13" t="s">
        <v>341</v>
      </c>
    </row>
    <row r="179" spans="1:13" x14ac:dyDescent="0.25">
      <c r="A179" s="13">
        <v>834.06957999999997</v>
      </c>
      <c r="B179" s="14">
        <v>0.42604777886191991</v>
      </c>
      <c r="C179" s="13">
        <v>-1</v>
      </c>
      <c r="D179" s="14">
        <v>835.07685646662094</v>
      </c>
    </row>
    <row r="180" spans="1:13" x14ac:dyDescent="0.25">
      <c r="A180" s="13">
        <v>834.08221400000002</v>
      </c>
      <c r="B180" s="14">
        <v>0.42998193613387703</v>
      </c>
      <c r="C180" s="13">
        <v>-1</v>
      </c>
      <c r="D180" s="14">
        <v>835.08949046662099</v>
      </c>
    </row>
    <row r="181" spans="1:13" x14ac:dyDescent="0.25">
      <c r="A181" s="13">
        <v>846.14031999999997</v>
      </c>
      <c r="B181" s="14">
        <v>0.76488390056121436</v>
      </c>
      <c r="C181" s="13">
        <v>-1</v>
      </c>
      <c r="D181" s="14">
        <v>847.14759646662094</v>
      </c>
      <c r="E181" s="13" t="s">
        <v>763</v>
      </c>
      <c r="F181" s="13">
        <v>846.13902353337903</v>
      </c>
      <c r="G181" s="13" t="s">
        <v>543</v>
      </c>
      <c r="H181" s="13" t="s">
        <v>67</v>
      </c>
      <c r="I181" s="13" t="s">
        <v>95</v>
      </c>
      <c r="J181" s="16">
        <v>847.14759646662094</v>
      </c>
      <c r="K181" s="16">
        <v>847.1463</v>
      </c>
      <c r="L181" s="17">
        <v>1.5303928270037157</v>
      </c>
      <c r="M181" s="13" t="s">
        <v>190</v>
      </c>
    </row>
    <row r="182" spans="1:13" x14ac:dyDescent="0.25">
      <c r="A182" s="13">
        <v>851.091003</v>
      </c>
      <c r="B182" s="14">
        <v>1.0901983458944566</v>
      </c>
      <c r="C182" s="13">
        <v>-1</v>
      </c>
      <c r="D182" s="14">
        <v>852.09827946662097</v>
      </c>
      <c r="E182" s="13" t="s">
        <v>764</v>
      </c>
      <c r="F182" s="13">
        <v>851.09579353337904</v>
      </c>
      <c r="G182" s="13" t="s">
        <v>374</v>
      </c>
      <c r="H182" s="13" t="s">
        <v>67</v>
      </c>
      <c r="I182" s="13" t="s">
        <v>58</v>
      </c>
      <c r="J182" s="16">
        <v>852.09827946662097</v>
      </c>
      <c r="K182" s="16">
        <v>852.10307</v>
      </c>
      <c r="L182" s="17">
        <v>-5.6220116411935797</v>
      </c>
      <c r="M182" s="13" t="s">
        <v>341</v>
      </c>
    </row>
    <row r="183" spans="1:13" x14ac:dyDescent="0.25">
      <c r="A183" s="13">
        <v>851.09804499999996</v>
      </c>
      <c r="B183" s="14">
        <v>1.469229553759261</v>
      </c>
      <c r="C183" s="13">
        <v>-1</v>
      </c>
      <c r="D183" s="14">
        <v>852.10532146662092</v>
      </c>
      <c r="E183" s="13" t="s">
        <v>764</v>
      </c>
      <c r="F183" s="13">
        <v>851.09579353337904</v>
      </c>
      <c r="G183" s="13" t="s">
        <v>374</v>
      </c>
      <c r="H183" s="13" t="s">
        <v>67</v>
      </c>
      <c r="I183" s="13" t="s">
        <v>58</v>
      </c>
      <c r="J183" s="16">
        <v>852.10532146662092</v>
      </c>
      <c r="K183" s="16">
        <v>852.10307</v>
      </c>
      <c r="L183" s="17">
        <v>2.6422468128403978</v>
      </c>
      <c r="M183" s="13" t="s">
        <v>341</v>
      </c>
    </row>
    <row r="184" spans="1:13" x14ac:dyDescent="0.25">
      <c r="A184" s="13">
        <v>864.14904799999999</v>
      </c>
      <c r="B184" s="14">
        <v>1.1922178693666428</v>
      </c>
      <c r="C184" s="13">
        <v>-1</v>
      </c>
      <c r="D184" s="14">
        <v>865.15632446662096</v>
      </c>
      <c r="E184" s="13" t="s">
        <v>765</v>
      </c>
      <c r="F184" s="13">
        <v>864.14958353337909</v>
      </c>
      <c r="G184" s="13" t="s">
        <v>547</v>
      </c>
      <c r="H184" s="13" t="s">
        <v>67</v>
      </c>
      <c r="I184" s="13" t="s">
        <v>90</v>
      </c>
      <c r="J184" s="16">
        <v>865.15632446662096</v>
      </c>
      <c r="K184" s="16">
        <v>865.15686000000005</v>
      </c>
      <c r="L184" s="17">
        <v>-0.61900148268265154</v>
      </c>
      <c r="M184" s="13" t="s">
        <v>190</v>
      </c>
    </row>
    <row r="185" spans="1:13" x14ac:dyDescent="0.25">
      <c r="A185" s="13">
        <v>864.15663500000005</v>
      </c>
      <c r="B185" s="14">
        <v>1.9473087015126795</v>
      </c>
      <c r="C185" s="13">
        <v>-1</v>
      </c>
      <c r="D185" s="14">
        <v>865.16391146662102</v>
      </c>
      <c r="E185" s="13" t="s">
        <v>789</v>
      </c>
      <c r="F185" s="13">
        <v>864.16215353337907</v>
      </c>
      <c r="G185" s="13" t="s">
        <v>549</v>
      </c>
      <c r="H185" s="13" t="s">
        <v>67</v>
      </c>
      <c r="I185" s="13" t="s">
        <v>90</v>
      </c>
      <c r="J185" s="16">
        <v>865.16391146662102</v>
      </c>
      <c r="K185" s="16">
        <v>865.16943000000003</v>
      </c>
      <c r="L185" s="17">
        <v>-6.3785579883673806</v>
      </c>
      <c r="M185" s="13" t="s">
        <v>291</v>
      </c>
    </row>
    <row r="186" spans="1:13" x14ac:dyDescent="0.25">
      <c r="A186" s="13">
        <v>865.16125499999998</v>
      </c>
      <c r="B186" s="14">
        <v>0.4096099000369352</v>
      </c>
      <c r="C186" s="13">
        <v>-1</v>
      </c>
      <c r="D186" s="14">
        <v>866.16853146662095</v>
      </c>
    </row>
    <row r="187" spans="1:13" x14ac:dyDescent="0.25">
      <c r="A187" s="13">
        <v>882.16564900000003</v>
      </c>
      <c r="B187" s="14">
        <v>1.1244660433175442</v>
      </c>
      <c r="C187" s="13">
        <v>-1</v>
      </c>
      <c r="D187" s="14">
        <v>883.172925466621</v>
      </c>
      <c r="E187" s="13" t="s">
        <v>763</v>
      </c>
      <c r="F187" s="13">
        <v>882.160153533379</v>
      </c>
      <c r="G187" s="13" t="s">
        <v>543</v>
      </c>
      <c r="H187" s="13" t="s">
        <v>67</v>
      </c>
      <c r="I187" s="13" t="s">
        <v>91</v>
      </c>
      <c r="J187" s="16">
        <v>883.172925466621</v>
      </c>
      <c r="K187" s="16">
        <v>883.16742999999997</v>
      </c>
      <c r="L187" s="17">
        <v>6.2224516375426626</v>
      </c>
      <c r="M187" s="13" t="s">
        <v>190</v>
      </c>
    </row>
    <row r="188" spans="1:13" x14ac:dyDescent="0.25">
      <c r="A188" s="13">
        <v>882.17368099999999</v>
      </c>
      <c r="B188" s="14">
        <v>2.4598708094835988</v>
      </c>
      <c r="C188" s="13">
        <v>-1</v>
      </c>
      <c r="D188" s="14">
        <v>883.18095746662095</v>
      </c>
      <c r="E188" s="13" t="s">
        <v>233</v>
      </c>
      <c r="F188" s="13">
        <v>882.17272353337898</v>
      </c>
      <c r="G188" s="13" t="s">
        <v>348</v>
      </c>
      <c r="H188" s="13" t="s">
        <v>69</v>
      </c>
      <c r="I188" s="13" t="s">
        <v>46</v>
      </c>
      <c r="J188" s="16">
        <v>883.18095746662095</v>
      </c>
      <c r="K188" s="16">
        <v>883.18</v>
      </c>
      <c r="L188" s="17">
        <v>1.0841126622011625</v>
      </c>
      <c r="M188" s="13" t="s">
        <v>133</v>
      </c>
    </row>
    <row r="189" spans="1:13" x14ac:dyDescent="0.25">
      <c r="A189" s="13">
        <v>883.17236300000002</v>
      </c>
      <c r="B189" s="14">
        <v>0.54592894903302081</v>
      </c>
      <c r="C189" s="13">
        <v>-1</v>
      </c>
      <c r="D189" s="14">
        <v>884.17963946662098</v>
      </c>
    </row>
    <row r="190" spans="1:13" x14ac:dyDescent="0.25">
      <c r="A190" s="13">
        <v>883.17712400000005</v>
      </c>
      <c r="B190" s="14">
        <v>0.52380218400762435</v>
      </c>
      <c r="C190" s="13">
        <v>-1</v>
      </c>
      <c r="D190" s="14">
        <v>884.18440046662101</v>
      </c>
    </row>
    <row r="191" spans="1:13" x14ac:dyDescent="0.25">
      <c r="A191" s="13">
        <v>895.035034</v>
      </c>
      <c r="B191" s="14">
        <v>0.37653115467212439</v>
      </c>
      <c r="C191" s="13">
        <v>-1</v>
      </c>
      <c r="D191" s="14">
        <v>896.04231046662096</v>
      </c>
    </row>
    <row r="192" spans="1:13" x14ac:dyDescent="0.25">
      <c r="A192" s="13">
        <v>896.88275099999998</v>
      </c>
      <c r="B192" s="14">
        <v>0.29298271668838377</v>
      </c>
      <c r="C192" s="13">
        <v>-1</v>
      </c>
      <c r="D192" s="14">
        <v>897.89002746662095</v>
      </c>
    </row>
    <row r="193" spans="1:13" x14ac:dyDescent="0.25">
      <c r="A193" s="13">
        <v>900.17681900000002</v>
      </c>
      <c r="B193" s="14">
        <v>0.39236105411635397</v>
      </c>
      <c r="C193" s="13">
        <v>-1</v>
      </c>
      <c r="D193" s="14">
        <v>901.18409546662099</v>
      </c>
      <c r="E193" s="13" t="s">
        <v>768</v>
      </c>
      <c r="F193" s="13">
        <v>900.18328353337904</v>
      </c>
      <c r="G193" s="13" t="s">
        <v>348</v>
      </c>
      <c r="H193" s="13" t="s">
        <v>69</v>
      </c>
      <c r="I193" s="13" t="s">
        <v>47</v>
      </c>
      <c r="J193" s="16">
        <v>901.18409546662099</v>
      </c>
      <c r="K193" s="16">
        <v>901.19056</v>
      </c>
      <c r="L193" s="17">
        <v>-7.1733256715613587</v>
      </c>
      <c r="M193" s="13" t="s">
        <v>133</v>
      </c>
    </row>
    <row r="194" spans="1:13" x14ac:dyDescent="0.25">
      <c r="A194" s="13">
        <v>900.18810199999996</v>
      </c>
      <c r="B194" s="14">
        <v>1.1248237035297357</v>
      </c>
      <c r="C194" s="13">
        <v>-1</v>
      </c>
      <c r="D194" s="14">
        <v>901.19537846662092</v>
      </c>
      <c r="E194" s="13" t="s">
        <v>768</v>
      </c>
      <c r="F194" s="13">
        <v>900.18328353337904</v>
      </c>
      <c r="G194" s="13" t="s">
        <v>348</v>
      </c>
      <c r="H194" s="13" t="s">
        <v>69</v>
      </c>
      <c r="I194" s="13" t="s">
        <v>47</v>
      </c>
      <c r="J194" s="16">
        <v>901.19537846662092</v>
      </c>
      <c r="K194" s="16">
        <v>901.19056</v>
      </c>
      <c r="L194" s="17">
        <v>5.3467788443302338</v>
      </c>
      <c r="M194" s="13" t="s">
        <v>133</v>
      </c>
    </row>
    <row r="195" spans="1:13" x14ac:dyDescent="0.25">
      <c r="A195" s="13">
        <v>913.04497200000003</v>
      </c>
      <c r="B195" s="14">
        <v>0.80795660081304232</v>
      </c>
      <c r="C195" s="13">
        <v>-1</v>
      </c>
      <c r="D195" s="14">
        <v>914.05224846662099</v>
      </c>
    </row>
    <row r="196" spans="1:13" x14ac:dyDescent="0.25">
      <c r="A196" s="13">
        <v>926.10076900000001</v>
      </c>
      <c r="B196" s="14">
        <v>0.86225884223325389</v>
      </c>
      <c r="C196" s="13">
        <v>-1</v>
      </c>
      <c r="D196" s="14">
        <v>927.10804546662098</v>
      </c>
      <c r="E196" s="13" t="s">
        <v>765</v>
      </c>
      <c r="F196" s="13">
        <v>926.105353533379</v>
      </c>
      <c r="G196" s="13" t="s">
        <v>547</v>
      </c>
      <c r="H196" s="13" t="s">
        <v>67</v>
      </c>
      <c r="I196" s="13" t="s">
        <v>85</v>
      </c>
      <c r="J196" s="16">
        <v>927.10804546662098</v>
      </c>
      <c r="K196" s="16">
        <v>927.11262999999997</v>
      </c>
      <c r="L196" s="17">
        <v>-4.9449583908574883</v>
      </c>
      <c r="M196" s="13" t="s">
        <v>190</v>
      </c>
    </row>
    <row r="197" spans="1:13" x14ac:dyDescent="0.25">
      <c r="A197" s="13">
        <v>926.10933199999999</v>
      </c>
      <c r="B197" s="14">
        <v>2.2924332933722389</v>
      </c>
      <c r="C197" s="13">
        <v>-1</v>
      </c>
      <c r="D197" s="14">
        <v>927.11660846662096</v>
      </c>
      <c r="E197" s="13" t="s">
        <v>765</v>
      </c>
      <c r="F197" s="13">
        <v>926.105353533379</v>
      </c>
      <c r="G197" s="13" t="s">
        <v>547</v>
      </c>
      <c r="H197" s="13" t="s">
        <v>67</v>
      </c>
      <c r="I197" s="13" t="s">
        <v>85</v>
      </c>
      <c r="J197" s="16">
        <v>927.11660846662096</v>
      </c>
      <c r="K197" s="16">
        <v>927.11262999999997</v>
      </c>
      <c r="L197" s="17">
        <v>4.2912441188429815</v>
      </c>
      <c r="M197" s="13" t="s">
        <v>190</v>
      </c>
    </row>
    <row r="198" spans="1:13" x14ac:dyDescent="0.25">
      <c r="A198" s="13">
        <v>927.11163299999998</v>
      </c>
      <c r="B198" s="14">
        <v>0.42233327980269064</v>
      </c>
      <c r="C198" s="13">
        <v>-1</v>
      </c>
      <c r="D198" s="14">
        <v>928.11890946662095</v>
      </c>
    </row>
    <row r="199" spans="1:13" x14ac:dyDescent="0.25">
      <c r="A199" s="13">
        <v>935.11499000000003</v>
      </c>
      <c r="B199" s="14">
        <v>0.34910468612397411</v>
      </c>
      <c r="C199" s="13">
        <v>-1</v>
      </c>
      <c r="D199" s="14">
        <v>936.122266466621</v>
      </c>
      <c r="E199" s="13" t="s">
        <v>766</v>
      </c>
      <c r="F199" s="13">
        <v>935.11691353337903</v>
      </c>
      <c r="G199" s="13" t="s">
        <v>551</v>
      </c>
      <c r="H199" s="13" t="s">
        <v>67</v>
      </c>
      <c r="I199" s="13" t="s">
        <v>85</v>
      </c>
      <c r="J199" s="16">
        <v>936.122266466621</v>
      </c>
      <c r="K199" s="16">
        <v>936.12419</v>
      </c>
      <c r="L199" s="17">
        <v>-2.0547843967148305</v>
      </c>
      <c r="M199" s="13" t="s">
        <v>163</v>
      </c>
    </row>
    <row r="200" spans="1:13" x14ac:dyDescent="0.25">
      <c r="A200" s="13">
        <v>935.12109399999997</v>
      </c>
      <c r="B200" s="14">
        <v>0.41263771861389353</v>
      </c>
      <c r="C200" s="13">
        <v>-1</v>
      </c>
      <c r="D200" s="14">
        <v>936.12837046662094</v>
      </c>
      <c r="E200" s="13" t="s">
        <v>766</v>
      </c>
      <c r="F200" s="13">
        <v>935.11691353337903</v>
      </c>
      <c r="G200" s="13" t="s">
        <v>551</v>
      </c>
      <c r="H200" s="13" t="s">
        <v>67</v>
      </c>
      <c r="I200" s="13" t="s">
        <v>85</v>
      </c>
      <c r="J200" s="16">
        <v>936.12837046662094</v>
      </c>
      <c r="K200" s="16">
        <v>936.12419</v>
      </c>
      <c r="L200" s="17">
        <v>4.4657179737415991</v>
      </c>
      <c r="M200" s="13" t="s">
        <v>163</v>
      </c>
    </row>
    <row r="201" spans="1:13" x14ac:dyDescent="0.25">
      <c r="A201" s="13">
        <v>944.11468500000001</v>
      </c>
      <c r="B201" s="14">
        <v>2.735034960685264</v>
      </c>
      <c r="C201" s="13">
        <v>-1</v>
      </c>
      <c r="D201" s="14">
        <v>945.12196146662097</v>
      </c>
      <c r="E201" s="13" t="s">
        <v>769</v>
      </c>
      <c r="F201" s="13">
        <v>944.11591353337906</v>
      </c>
      <c r="G201" s="13" t="s">
        <v>555</v>
      </c>
      <c r="H201" s="13" t="s">
        <v>67</v>
      </c>
      <c r="I201" s="13" t="s">
        <v>57</v>
      </c>
      <c r="J201" s="16">
        <v>945.12196146662097</v>
      </c>
      <c r="K201" s="16">
        <v>945.12319000000002</v>
      </c>
      <c r="L201" s="17">
        <v>-1.2998658715047644</v>
      </c>
      <c r="M201" s="13" t="s">
        <v>190</v>
      </c>
    </row>
    <row r="202" spans="1:13" x14ac:dyDescent="0.25">
      <c r="A202" s="13">
        <v>944.12205500000005</v>
      </c>
      <c r="B202" s="14">
        <v>4.7133318197733605</v>
      </c>
      <c r="C202" s="13">
        <v>-1</v>
      </c>
      <c r="D202" s="14">
        <v>945.12933146662101</v>
      </c>
      <c r="E202" s="13" t="s">
        <v>769</v>
      </c>
      <c r="F202" s="13">
        <v>944.11591353337906</v>
      </c>
      <c r="G202" s="13" t="s">
        <v>555</v>
      </c>
      <c r="H202" s="13" t="s">
        <v>67</v>
      </c>
      <c r="I202" s="13" t="s">
        <v>57</v>
      </c>
      <c r="J202" s="16">
        <v>945.12933146662101</v>
      </c>
      <c r="K202" s="16">
        <v>945.12319000000002</v>
      </c>
      <c r="L202" s="17">
        <v>6.498059391589436</v>
      </c>
      <c r="M202" s="13" t="s">
        <v>190</v>
      </c>
    </row>
    <row r="203" spans="1:13" x14ac:dyDescent="0.25">
      <c r="A203" s="13">
        <v>945.11869100000001</v>
      </c>
      <c r="B203" s="14">
        <v>1.8068146584126734</v>
      </c>
      <c r="C203" s="13">
        <v>-1</v>
      </c>
      <c r="D203" s="14">
        <v>946.12596746662098</v>
      </c>
    </row>
    <row r="204" spans="1:13" x14ac:dyDescent="0.25">
      <c r="A204" s="13">
        <v>945.129456</v>
      </c>
      <c r="B204" s="14">
        <v>0.8058013062005237</v>
      </c>
      <c r="C204" s="13">
        <v>-1</v>
      </c>
      <c r="D204" s="14">
        <v>946.13673246662097</v>
      </c>
    </row>
    <row r="205" spans="1:13" x14ac:dyDescent="0.25">
      <c r="A205" s="13">
        <v>947.10540800000001</v>
      </c>
      <c r="B205" s="14">
        <v>0.30271939538228104</v>
      </c>
      <c r="C205" s="13">
        <v>-1</v>
      </c>
      <c r="D205" s="14">
        <v>948.11268446662098</v>
      </c>
    </row>
    <row r="206" spans="1:13" x14ac:dyDescent="0.25">
      <c r="A206" s="13">
        <v>953.12390100000005</v>
      </c>
      <c r="B206" s="14">
        <v>1.4720922814940229</v>
      </c>
      <c r="C206" s="13">
        <v>-1</v>
      </c>
      <c r="D206" s="14">
        <v>954.13117746662101</v>
      </c>
      <c r="E206" s="13" t="s">
        <v>790</v>
      </c>
      <c r="F206" s="13">
        <v>953.12748353337906</v>
      </c>
      <c r="G206" s="13" t="s">
        <v>557</v>
      </c>
      <c r="H206" s="13" t="s">
        <v>67</v>
      </c>
      <c r="I206" s="13" t="s">
        <v>57</v>
      </c>
      <c r="J206" s="16">
        <v>954.13117746662101</v>
      </c>
      <c r="K206" s="16">
        <v>954.13476000000003</v>
      </c>
      <c r="L206" s="17">
        <v>-3.7547456912869936</v>
      </c>
      <c r="M206" s="13" t="s">
        <v>163</v>
      </c>
    </row>
    <row r="207" spans="1:13" x14ac:dyDescent="0.25">
      <c r="A207" s="13">
        <v>953.13139699999999</v>
      </c>
      <c r="B207" s="14">
        <v>1.7953410139345691</v>
      </c>
      <c r="C207" s="13">
        <v>-1</v>
      </c>
      <c r="D207" s="14">
        <v>954.13867346662096</v>
      </c>
      <c r="E207" s="13" t="s">
        <v>790</v>
      </c>
      <c r="F207" s="13">
        <v>953.12748353337906</v>
      </c>
      <c r="G207" s="13" t="s">
        <v>557</v>
      </c>
      <c r="H207" s="13" t="s">
        <v>67</v>
      </c>
      <c r="I207" s="13" t="s">
        <v>57</v>
      </c>
      <c r="J207" s="16">
        <v>954.13867346662096</v>
      </c>
      <c r="K207" s="16">
        <v>954.13476000000003</v>
      </c>
      <c r="L207" s="17">
        <v>4.1015868879248085</v>
      </c>
      <c r="M207" s="13" t="s">
        <v>163</v>
      </c>
    </row>
    <row r="208" spans="1:13" x14ac:dyDescent="0.25">
      <c r="A208" s="13">
        <v>954.121216</v>
      </c>
      <c r="B208" s="14">
        <v>0.35351562116366453</v>
      </c>
      <c r="C208" s="13">
        <v>-1</v>
      </c>
      <c r="D208" s="14">
        <v>955.12849246662097</v>
      </c>
    </row>
    <row r="209" spans="1:13" x14ac:dyDescent="0.25">
      <c r="A209" s="13">
        <v>962.13385000000005</v>
      </c>
      <c r="B209" s="14">
        <v>4.7475347702586834</v>
      </c>
      <c r="C209" s="13">
        <v>-1</v>
      </c>
      <c r="D209" s="14">
        <v>963.14112646662102</v>
      </c>
      <c r="E209" s="13" t="s">
        <v>179</v>
      </c>
      <c r="F209" s="13">
        <v>962.13905353337907</v>
      </c>
      <c r="G209" s="13" t="s">
        <v>348</v>
      </c>
      <c r="H209" s="13" t="s">
        <v>69</v>
      </c>
      <c r="I209" s="13" t="s">
        <v>48</v>
      </c>
      <c r="J209" s="16">
        <v>963.14112646662102</v>
      </c>
      <c r="K209" s="16">
        <v>963.14633000000003</v>
      </c>
      <c r="L209" s="17">
        <v>-5.402640509482338</v>
      </c>
      <c r="M209" s="13" t="s">
        <v>133</v>
      </c>
    </row>
    <row r="210" spans="1:13" x14ac:dyDescent="0.25">
      <c r="A210" s="13">
        <v>962.14160800000002</v>
      </c>
      <c r="B210" s="14">
        <v>7.7059269126351433</v>
      </c>
      <c r="C210" s="13">
        <v>-1</v>
      </c>
      <c r="D210" s="14">
        <v>963.14888446662098</v>
      </c>
      <c r="E210" s="13" t="s">
        <v>179</v>
      </c>
      <c r="F210" s="13">
        <v>962.13905353337907</v>
      </c>
      <c r="G210" s="13" t="s">
        <v>348</v>
      </c>
      <c r="H210" s="13" t="s">
        <v>69</v>
      </c>
      <c r="I210" s="13" t="s">
        <v>48</v>
      </c>
      <c r="J210" s="16">
        <v>963.14888446662098</v>
      </c>
      <c r="K210" s="16">
        <v>963.14633000000003</v>
      </c>
      <c r="L210" s="17">
        <v>2.6522103042741434</v>
      </c>
      <c r="M210" s="13" t="s">
        <v>133</v>
      </c>
    </row>
    <row r="211" spans="1:13" x14ac:dyDescent="0.25">
      <c r="A211" s="13">
        <v>963.136169</v>
      </c>
      <c r="B211" s="14">
        <v>1.7252251557931693</v>
      </c>
      <c r="C211" s="13">
        <v>-1</v>
      </c>
      <c r="D211" s="14">
        <v>964.14344546662096</v>
      </c>
    </row>
    <row r="212" spans="1:13" x14ac:dyDescent="0.25">
      <c r="A212" s="13">
        <v>963.14529200000004</v>
      </c>
      <c r="B212" s="14">
        <v>2.8850973633636321</v>
      </c>
      <c r="C212" s="13">
        <v>-1</v>
      </c>
      <c r="D212" s="14">
        <v>964.15256846662101</v>
      </c>
    </row>
    <row r="213" spans="1:13" x14ac:dyDescent="0.25">
      <c r="A213" s="13">
        <v>964.144409</v>
      </c>
      <c r="B213" s="14">
        <v>0.59677773836320058</v>
      </c>
      <c r="C213" s="13">
        <v>-1</v>
      </c>
      <c r="D213" s="14">
        <v>965.15168546662096</v>
      </c>
    </row>
    <row r="214" spans="1:13" x14ac:dyDescent="0.25">
      <c r="A214" s="13">
        <v>964.15240500000004</v>
      </c>
      <c r="B214" s="14">
        <v>0.37194510204067782</v>
      </c>
      <c r="C214" s="13">
        <v>-1</v>
      </c>
      <c r="D214" s="14">
        <v>965.15968146662101</v>
      </c>
    </row>
    <row r="215" spans="1:13" x14ac:dyDescent="0.25">
      <c r="A215" s="13">
        <v>993.10528599999998</v>
      </c>
      <c r="B215" s="14">
        <v>0.48931420946023396</v>
      </c>
      <c r="C215" s="13">
        <v>-1</v>
      </c>
      <c r="D215" s="14">
        <v>994.11256246662094</v>
      </c>
    </row>
    <row r="216" spans="1:13" x14ac:dyDescent="0.25">
      <c r="A216" s="13">
        <v>1006.069763</v>
      </c>
      <c r="B216" s="14">
        <v>0.36613807249738889</v>
      </c>
      <c r="C216" s="13">
        <v>-1</v>
      </c>
      <c r="D216" s="14">
        <v>1007.0770394666209</v>
      </c>
      <c r="E216" s="13" t="s">
        <v>763</v>
      </c>
      <c r="F216" s="13">
        <v>1006.0716835333791</v>
      </c>
      <c r="G216" s="13" t="s">
        <v>543</v>
      </c>
      <c r="H216" s="13" t="s">
        <v>67</v>
      </c>
      <c r="I216" s="13" t="s">
        <v>87</v>
      </c>
      <c r="J216" s="16">
        <v>1007.0770394666209</v>
      </c>
      <c r="K216" s="16">
        <v>1007.0789600000001</v>
      </c>
      <c r="L216" s="17">
        <v>-1.9070335647967167</v>
      </c>
      <c r="M216" s="13" t="s">
        <v>190</v>
      </c>
    </row>
    <row r="217" spans="1:13" x14ac:dyDescent="0.25">
      <c r="A217" s="13">
        <v>1006.075163</v>
      </c>
      <c r="B217" s="14">
        <v>0.68708847107341164</v>
      </c>
      <c r="C217" s="13">
        <v>-1</v>
      </c>
      <c r="D217" s="14">
        <v>1007.0824394666209</v>
      </c>
      <c r="E217" s="13" t="s">
        <v>763</v>
      </c>
      <c r="F217" s="13">
        <v>1006.0716835333791</v>
      </c>
      <c r="G217" s="13" t="s">
        <v>543</v>
      </c>
      <c r="H217" s="13" t="s">
        <v>67</v>
      </c>
      <c r="I217" s="13" t="s">
        <v>87</v>
      </c>
      <c r="J217" s="16">
        <v>1007.0824394666209</v>
      </c>
      <c r="K217" s="16">
        <v>1007.0789600000001</v>
      </c>
      <c r="L217" s="17">
        <v>3.4550087521321671</v>
      </c>
      <c r="M217" s="13" t="s">
        <v>190</v>
      </c>
    </row>
    <row r="218" spans="1:13" x14ac:dyDescent="0.25">
      <c r="A218" s="13">
        <v>1014.064697</v>
      </c>
      <c r="B218" s="14">
        <v>0.32211929904540115</v>
      </c>
      <c r="C218" s="13">
        <v>-1</v>
      </c>
      <c r="D218" s="14">
        <v>1015.071973466621</v>
      </c>
    </row>
    <row r="219" spans="1:13" x14ac:dyDescent="0.25">
      <c r="A219" s="13">
        <v>1015.078674</v>
      </c>
      <c r="B219" s="14">
        <v>0.44452047657681404</v>
      </c>
      <c r="C219" s="13">
        <v>-1</v>
      </c>
      <c r="D219" s="14">
        <v>1016.0859504666209</v>
      </c>
      <c r="E219" s="13" t="s">
        <v>767</v>
      </c>
      <c r="F219" s="13">
        <v>1015.083253533379</v>
      </c>
      <c r="G219" s="13" t="s">
        <v>545</v>
      </c>
      <c r="H219" s="13" t="s">
        <v>67</v>
      </c>
      <c r="I219" s="13" t="s">
        <v>87</v>
      </c>
      <c r="J219" s="16">
        <v>1016.0859504666209</v>
      </c>
      <c r="K219" s="16">
        <v>1016.0905299999999</v>
      </c>
      <c r="L219" s="17">
        <v>-4.5070131487211853</v>
      </c>
      <c r="M219" s="13" t="s">
        <v>163</v>
      </c>
    </row>
    <row r="220" spans="1:13" x14ac:dyDescent="0.25">
      <c r="A220" s="13">
        <v>1024.0802000000001</v>
      </c>
      <c r="B220" s="14">
        <v>1.7240726182761112</v>
      </c>
      <c r="C220" s="13">
        <v>-1</v>
      </c>
      <c r="D220" s="14">
        <v>1025.0874764666212</v>
      </c>
      <c r="E220" s="13" t="s">
        <v>765</v>
      </c>
      <c r="F220" s="13">
        <v>1024.0822435333789</v>
      </c>
      <c r="G220" s="13" t="s">
        <v>547</v>
      </c>
      <c r="H220" s="13" t="s">
        <v>67</v>
      </c>
      <c r="I220" s="13" t="s">
        <v>84</v>
      </c>
      <c r="J220" s="16">
        <v>1025.0874764666212</v>
      </c>
      <c r="K220" s="16">
        <v>1025.08952</v>
      </c>
      <c r="L220" s="17">
        <v>-1.9935169943109212</v>
      </c>
      <c r="M220" s="13" t="s">
        <v>190</v>
      </c>
    </row>
    <row r="221" spans="1:13" x14ac:dyDescent="0.25">
      <c r="A221" s="13">
        <v>1024.0882320000001</v>
      </c>
      <c r="B221" s="14">
        <v>2.955674881784478</v>
      </c>
      <c r="C221" s="13">
        <v>-1</v>
      </c>
      <c r="D221" s="14">
        <v>1025.0955084666211</v>
      </c>
      <c r="E221" s="13" t="s">
        <v>765</v>
      </c>
      <c r="F221" s="13">
        <v>1024.0822435333789</v>
      </c>
      <c r="G221" s="13" t="s">
        <v>547</v>
      </c>
      <c r="H221" s="13" t="s">
        <v>67</v>
      </c>
      <c r="I221" s="13" t="s">
        <v>84</v>
      </c>
      <c r="J221" s="16">
        <v>1025.0955084666211</v>
      </c>
      <c r="K221" s="16">
        <v>1025.08952</v>
      </c>
      <c r="L221" s="17">
        <v>5.8418962483855861</v>
      </c>
      <c r="M221" s="13" t="s">
        <v>190</v>
      </c>
    </row>
    <row r="222" spans="1:13" x14ac:dyDescent="0.25">
      <c r="A222" s="13">
        <v>1025.08728</v>
      </c>
      <c r="B222" s="14">
        <v>0.41731634628132924</v>
      </c>
      <c r="C222" s="13">
        <v>-1</v>
      </c>
      <c r="D222" s="14">
        <v>1026.094556466621</v>
      </c>
    </row>
    <row r="223" spans="1:13" x14ac:dyDescent="0.25">
      <c r="A223" s="13">
        <v>1025.095703</v>
      </c>
      <c r="B223" s="14">
        <v>0.65895991229090478</v>
      </c>
      <c r="C223" s="13">
        <v>-1</v>
      </c>
      <c r="D223" s="14">
        <v>1026.102979466621</v>
      </c>
    </row>
    <row r="224" spans="1:13" x14ac:dyDescent="0.25">
      <c r="A224" s="13">
        <v>1042.0996090000001</v>
      </c>
      <c r="B224" s="14">
        <v>0.74133578027089786</v>
      </c>
      <c r="C224" s="13">
        <v>-1</v>
      </c>
      <c r="D224" s="14">
        <v>1043.1068854666212</v>
      </c>
      <c r="E224" s="13" t="s">
        <v>771</v>
      </c>
      <c r="F224" s="13">
        <v>1042.1053835333789</v>
      </c>
      <c r="G224" s="13" t="s">
        <v>362</v>
      </c>
      <c r="H224" s="13" t="s">
        <v>68</v>
      </c>
      <c r="I224" s="13" t="s">
        <v>24</v>
      </c>
      <c r="J224" s="16">
        <v>1043.1068854666212</v>
      </c>
      <c r="K224" s="16">
        <v>1043.11266</v>
      </c>
      <c r="L224" s="17">
        <v>-5.5358674093996356</v>
      </c>
      <c r="M224" s="13" t="s">
        <v>291</v>
      </c>
    </row>
    <row r="225" spans="1:13" x14ac:dyDescent="0.25">
      <c r="A225" s="13">
        <v>1042.106323</v>
      </c>
      <c r="B225" s="14">
        <v>0.53513833078458561</v>
      </c>
      <c r="C225" s="13">
        <v>-1</v>
      </c>
      <c r="D225" s="14">
        <v>1043.1135994666211</v>
      </c>
      <c r="E225" s="13" t="s">
        <v>771</v>
      </c>
      <c r="F225" s="13">
        <v>1042.1053835333789</v>
      </c>
      <c r="G225" s="13" t="s">
        <v>362</v>
      </c>
      <c r="H225" s="13" t="s">
        <v>68</v>
      </c>
      <c r="I225" s="13" t="s">
        <v>24</v>
      </c>
      <c r="J225" s="16">
        <v>1043.1135994666211</v>
      </c>
      <c r="K225" s="16">
        <v>1043.11266</v>
      </c>
      <c r="L225" s="17">
        <v>0.90063773269540059</v>
      </c>
      <c r="M225" s="13" t="s">
        <v>291</v>
      </c>
    </row>
    <row r="226" spans="1:13" x14ac:dyDescent="0.25">
      <c r="A226" s="13">
        <v>1043.1173100000001</v>
      </c>
      <c r="B226" s="14">
        <v>0.33898710556006628</v>
      </c>
      <c r="C226" s="13">
        <v>-1</v>
      </c>
      <c r="D226" s="14">
        <v>1044.1245864666212</v>
      </c>
    </row>
    <row r="227" spans="1:13" x14ac:dyDescent="0.25">
      <c r="A227" s="13">
        <v>1058.131836</v>
      </c>
      <c r="B227" s="14">
        <v>0.36476529415022479</v>
      </c>
      <c r="C227" s="13">
        <v>-1</v>
      </c>
      <c r="D227" s="14">
        <v>1059.1391124666211</v>
      </c>
      <c r="E227" s="13" t="s">
        <v>772</v>
      </c>
      <c r="F227" s="13">
        <v>1058.1476135333789</v>
      </c>
      <c r="G227" s="13" t="s">
        <v>563</v>
      </c>
      <c r="H227" s="13" t="s">
        <v>67</v>
      </c>
      <c r="I227" s="13" t="s">
        <v>94</v>
      </c>
      <c r="J227" s="16">
        <v>1059.1391124666211</v>
      </c>
      <c r="K227" s="16">
        <v>1059.15489</v>
      </c>
      <c r="L227" s="17">
        <v>-14.896341911732268</v>
      </c>
      <c r="M227" s="13" t="s">
        <v>202</v>
      </c>
    </row>
    <row r="228" spans="1:13" x14ac:dyDescent="0.25">
      <c r="A228" s="13">
        <v>1062.139404</v>
      </c>
      <c r="B228" s="14">
        <v>0.4028269672837469</v>
      </c>
      <c r="C228" s="13">
        <v>-1</v>
      </c>
      <c r="D228" s="14">
        <v>1063.1466804666211</v>
      </c>
    </row>
    <row r="229" spans="1:13" x14ac:dyDescent="0.25">
      <c r="A229" s="13">
        <v>1109.1682129999999</v>
      </c>
      <c r="B229" s="14">
        <v>0.33100313478090021</v>
      </c>
      <c r="C229" s="13">
        <v>-1</v>
      </c>
      <c r="D229" s="14">
        <v>1110.175489466621</v>
      </c>
    </row>
    <row r="230" spans="1:13" x14ac:dyDescent="0.25">
      <c r="A230" s="13">
        <v>1117.6572450000001</v>
      </c>
      <c r="B230" s="14">
        <v>1.8213678502499946</v>
      </c>
      <c r="C230" s="13">
        <v>-2</v>
      </c>
      <c r="D230" s="14">
        <v>2237.3290429332424</v>
      </c>
      <c r="E230" s="13" t="s">
        <v>791</v>
      </c>
      <c r="F230" s="13">
        <v>1117.6537435333789</v>
      </c>
      <c r="G230" s="13" t="s">
        <v>352</v>
      </c>
      <c r="H230" s="13" t="s">
        <v>69</v>
      </c>
      <c r="I230" s="13" t="s">
        <v>48</v>
      </c>
      <c r="J230" s="16">
        <v>2237.3290429332424</v>
      </c>
      <c r="K230" s="16">
        <v>2237.32204</v>
      </c>
      <c r="L230" s="17">
        <v>3.1300515156715449</v>
      </c>
      <c r="M230" s="13" t="s">
        <v>209</v>
      </c>
    </row>
    <row r="231" spans="1:13" x14ac:dyDescent="0.25">
      <c r="A231" s="13">
        <v>1118.149658</v>
      </c>
      <c r="B231" s="14">
        <v>0.52172407187099767</v>
      </c>
      <c r="C231" s="13">
        <v>-1</v>
      </c>
      <c r="D231" s="14">
        <v>1119.1569344666211</v>
      </c>
    </row>
    <row r="232" spans="1:13" x14ac:dyDescent="0.25">
      <c r="A232" s="13">
        <v>1118.1629640000001</v>
      </c>
      <c r="B232" s="14">
        <v>0.46370457112234104</v>
      </c>
      <c r="C232" s="13">
        <v>-1</v>
      </c>
      <c r="D232" s="14">
        <v>1119.1702404666212</v>
      </c>
    </row>
    <row r="233" spans="1:13" x14ac:dyDescent="0.25">
      <c r="A233" s="13">
        <v>1138.110596</v>
      </c>
      <c r="B233" s="14">
        <v>0.52146870016812563</v>
      </c>
      <c r="C233" s="13">
        <v>-1</v>
      </c>
      <c r="D233" s="14">
        <v>1139.1178724666211</v>
      </c>
      <c r="E233" s="13" t="s">
        <v>770</v>
      </c>
      <c r="F233" s="13">
        <v>1138.1139435333789</v>
      </c>
      <c r="G233" s="13" t="s">
        <v>559</v>
      </c>
      <c r="H233" s="13" t="s">
        <v>67</v>
      </c>
      <c r="I233" s="13" t="s">
        <v>58</v>
      </c>
      <c r="J233" s="16">
        <v>1139.1178724666211</v>
      </c>
      <c r="K233" s="16">
        <v>1139.12122</v>
      </c>
      <c r="L233" s="17">
        <v>-2.9386981123293854</v>
      </c>
      <c r="M233" s="13" t="s">
        <v>202</v>
      </c>
    </row>
    <row r="234" spans="1:13" x14ac:dyDescent="0.25">
      <c r="A234" s="13">
        <v>1138.1204829999999</v>
      </c>
      <c r="B234" s="14">
        <v>0.9904713052801446</v>
      </c>
      <c r="C234" s="13">
        <v>-1</v>
      </c>
      <c r="D234" s="14">
        <v>1139.127759466621</v>
      </c>
      <c r="E234" s="13" t="s">
        <v>792</v>
      </c>
      <c r="F234" s="13">
        <v>1138.126513533379</v>
      </c>
      <c r="G234" s="13" t="s">
        <v>565</v>
      </c>
      <c r="H234" s="13" t="s">
        <v>67</v>
      </c>
      <c r="I234" s="13" t="s">
        <v>89</v>
      </c>
      <c r="J234" s="16">
        <v>1139.127759466621</v>
      </c>
      <c r="K234" s="16">
        <v>1139.1337900000001</v>
      </c>
      <c r="L234" s="17">
        <v>-5.293964090986468</v>
      </c>
      <c r="M234" s="13" t="s">
        <v>442</v>
      </c>
    </row>
    <row r="235" spans="1:13" x14ac:dyDescent="0.25">
      <c r="A235" s="13">
        <v>1139.1152340000001</v>
      </c>
      <c r="B235" s="14">
        <v>0.48106942475882153</v>
      </c>
      <c r="C235" s="13">
        <v>-1</v>
      </c>
      <c r="D235" s="14">
        <v>1140.1225104666212</v>
      </c>
    </row>
    <row r="236" spans="1:13" x14ac:dyDescent="0.25">
      <c r="A236" s="13">
        <v>1148.144043</v>
      </c>
      <c r="B236" s="14">
        <v>0.37769643909331901</v>
      </c>
      <c r="C236" s="13">
        <v>-1</v>
      </c>
      <c r="D236" s="14">
        <v>1149.1513194666211</v>
      </c>
    </row>
    <row r="237" spans="1:13" x14ac:dyDescent="0.25">
      <c r="A237" s="13">
        <v>1157.6343360000001</v>
      </c>
      <c r="B237" s="14">
        <v>0.6262611366083003</v>
      </c>
      <c r="C237" s="13">
        <v>-1</v>
      </c>
      <c r="D237" s="14">
        <v>1158.6416124666212</v>
      </c>
    </row>
    <row r="238" spans="1:13" x14ac:dyDescent="0.25">
      <c r="A238" s="13">
        <v>1169.1888429999999</v>
      </c>
      <c r="B238" s="14">
        <v>0.41222720449932726</v>
      </c>
      <c r="C238" s="13">
        <v>-1</v>
      </c>
      <c r="D238" s="14">
        <v>1170.196119466621</v>
      </c>
      <c r="E238" s="13" t="s">
        <v>773</v>
      </c>
      <c r="F238" s="13">
        <v>1169.1908735333789</v>
      </c>
      <c r="G238" s="13" t="s">
        <v>577</v>
      </c>
      <c r="H238" s="13" t="s">
        <v>67</v>
      </c>
      <c r="I238" s="13" t="s">
        <v>90</v>
      </c>
      <c r="J238" s="16">
        <v>1170.196119466621</v>
      </c>
      <c r="K238" s="16">
        <v>1170.1981499999999</v>
      </c>
      <c r="L238" s="17">
        <v>-1.7352047419973566</v>
      </c>
      <c r="M238" s="13" t="s">
        <v>202</v>
      </c>
    </row>
    <row r="239" spans="1:13" x14ac:dyDescent="0.25">
      <c r="A239" s="13">
        <v>1171.122803</v>
      </c>
      <c r="B239" s="14">
        <v>0.53500728198923631</v>
      </c>
      <c r="C239" s="13">
        <v>-1</v>
      </c>
      <c r="D239" s="14">
        <v>1172.1300794666211</v>
      </c>
    </row>
    <row r="240" spans="1:13" x14ac:dyDescent="0.25">
      <c r="A240" s="13">
        <v>1176.179443</v>
      </c>
      <c r="B240" s="14">
        <v>0.33291825349789023</v>
      </c>
      <c r="C240" s="13">
        <v>-1</v>
      </c>
      <c r="D240" s="14">
        <v>1177.1867194666211</v>
      </c>
    </row>
    <row r="241" spans="1:13" x14ac:dyDescent="0.25">
      <c r="A241" s="13">
        <v>1249.1524460000001</v>
      </c>
      <c r="B241" s="14">
        <v>0.89643750234947861</v>
      </c>
      <c r="C241" s="13">
        <v>-1</v>
      </c>
      <c r="D241" s="14">
        <v>1250.1597224666211</v>
      </c>
      <c r="E241" s="13" t="s">
        <v>775</v>
      </c>
      <c r="F241" s="13">
        <v>1249.1572035333788</v>
      </c>
      <c r="G241" s="13" t="s">
        <v>589</v>
      </c>
      <c r="H241" s="13" t="s">
        <v>67</v>
      </c>
      <c r="I241" s="13" t="s">
        <v>57</v>
      </c>
      <c r="J241" s="16">
        <v>1250.1597224666211</v>
      </c>
      <c r="K241" s="16">
        <v>1250.1644799999999</v>
      </c>
      <c r="L241" s="17">
        <v>-3.80552595669575</v>
      </c>
      <c r="M241" s="13" t="s">
        <v>202</v>
      </c>
    </row>
    <row r="242" spans="1:13" x14ac:dyDescent="0.25">
      <c r="A242" s="13">
        <v>1264.175293</v>
      </c>
      <c r="B242" s="14">
        <v>0.47134844808080917</v>
      </c>
      <c r="C242" s="13">
        <v>-1</v>
      </c>
      <c r="D242" s="14">
        <v>1265.1825694666211</v>
      </c>
      <c r="E242" s="13" t="s">
        <v>793</v>
      </c>
      <c r="F242" s="13">
        <v>1264.1694335333789</v>
      </c>
      <c r="G242" s="13" t="s">
        <v>363</v>
      </c>
      <c r="H242" s="13" t="s">
        <v>68</v>
      </c>
      <c r="I242" s="13" t="s">
        <v>45</v>
      </c>
      <c r="J242" s="16">
        <v>1265.1825694666211</v>
      </c>
      <c r="K242" s="16">
        <v>1265.17671</v>
      </c>
      <c r="L242" s="17">
        <v>4.6313424637195659</v>
      </c>
      <c r="M242" s="13" t="s">
        <v>292</v>
      </c>
    </row>
    <row r="243" spans="1:13" x14ac:dyDescent="0.25">
      <c r="A243" s="13">
        <v>1273.1561280000001</v>
      </c>
      <c r="B243" s="14">
        <v>0.84630349094094326</v>
      </c>
      <c r="C243" s="13">
        <v>-1</v>
      </c>
      <c r="D243" s="14">
        <v>1274.1634044666212</v>
      </c>
      <c r="E243" s="13" t="s">
        <v>776</v>
      </c>
      <c r="F243" s="13">
        <v>1273.1684335333789</v>
      </c>
      <c r="G243" s="13" t="s">
        <v>593</v>
      </c>
      <c r="H243" s="13" t="s">
        <v>67</v>
      </c>
      <c r="I243" s="13" t="s">
        <v>57</v>
      </c>
      <c r="J243" s="16">
        <v>1274.1634044666212</v>
      </c>
      <c r="K243" s="16">
        <v>1274.17571</v>
      </c>
      <c r="L243" s="17">
        <v>-9.6576424132442167</v>
      </c>
      <c r="M243" s="13" t="s">
        <v>192</v>
      </c>
    </row>
    <row r="244" spans="1:13" x14ac:dyDescent="0.25">
      <c r="A244" s="13">
        <v>1273.1707759999999</v>
      </c>
      <c r="B244" s="14">
        <v>0.72495767225820518</v>
      </c>
      <c r="C244" s="13">
        <v>-1</v>
      </c>
      <c r="D244" s="14">
        <v>1274.178052466621</v>
      </c>
      <c r="E244" s="13" t="s">
        <v>776</v>
      </c>
      <c r="F244" s="13">
        <v>1273.1684335333789</v>
      </c>
      <c r="G244" s="13" t="s">
        <v>593</v>
      </c>
      <c r="H244" s="13" t="s">
        <v>67</v>
      </c>
      <c r="I244" s="13" t="s">
        <v>57</v>
      </c>
      <c r="J244" s="16">
        <v>1274.178052466621</v>
      </c>
      <c r="K244" s="16">
        <v>1274.17571</v>
      </c>
      <c r="L244" s="17">
        <v>1.8384172627418285</v>
      </c>
      <c r="M244" s="13" t="s">
        <v>192</v>
      </c>
    </row>
    <row r="245" spans="1:13" x14ac:dyDescent="0.25">
      <c r="A245" s="13">
        <v>1274.1823730000001</v>
      </c>
      <c r="B245" s="14">
        <v>0.42752412747663443</v>
      </c>
      <c r="C245" s="13">
        <v>-1</v>
      </c>
      <c r="D245" s="14">
        <v>1275.1896494666212</v>
      </c>
    </row>
    <row r="246" spans="1:13" x14ac:dyDescent="0.25">
      <c r="A246" s="13">
        <v>1282.173706</v>
      </c>
      <c r="B246" s="14">
        <v>2.7090884147751519</v>
      </c>
      <c r="C246" s="13">
        <v>-2</v>
      </c>
      <c r="D246" s="14">
        <v>2566.3619649332422</v>
      </c>
      <c r="E246" s="13" t="s">
        <v>794</v>
      </c>
      <c r="F246" s="13">
        <v>1282.1737185333789</v>
      </c>
      <c r="G246" s="13" t="s">
        <v>677</v>
      </c>
      <c r="H246" s="13" t="s">
        <v>67</v>
      </c>
      <c r="I246" s="13" t="s">
        <v>78</v>
      </c>
      <c r="J246" s="16">
        <v>2566.3619649332422</v>
      </c>
      <c r="K246" s="16">
        <v>2566.3619899999999</v>
      </c>
      <c r="L246" s="17">
        <v>-9.7674286563911687E-3</v>
      </c>
      <c r="M246" s="13" t="s">
        <v>335</v>
      </c>
    </row>
    <row r="247" spans="1:13" x14ac:dyDescent="0.25">
      <c r="A247" s="13">
        <v>1282.1851180000001</v>
      </c>
      <c r="B247" s="14">
        <v>4.6867549850124783</v>
      </c>
      <c r="C247" s="13">
        <v>-2</v>
      </c>
      <c r="D247" s="14">
        <v>2566.3847889332424</v>
      </c>
      <c r="E247" s="13" t="s">
        <v>795</v>
      </c>
      <c r="F247" s="13">
        <v>1282.180003533379</v>
      </c>
      <c r="G247" s="13" t="s">
        <v>353</v>
      </c>
      <c r="H247" s="13" t="s">
        <v>69</v>
      </c>
      <c r="I247" s="13" t="s">
        <v>48</v>
      </c>
      <c r="J247" s="16">
        <v>2566.3847889332424</v>
      </c>
      <c r="K247" s="16">
        <v>2566.3745600000002</v>
      </c>
      <c r="L247" s="17">
        <v>3.9857522754435988</v>
      </c>
      <c r="M247" s="13" t="s">
        <v>248</v>
      </c>
    </row>
    <row r="248" spans="1:13" x14ac:dyDescent="0.25">
      <c r="A248" s="13">
        <v>1282.6739500000001</v>
      </c>
      <c r="B248" s="14">
        <v>1.3740499754935602</v>
      </c>
      <c r="C248" s="13">
        <v>-2</v>
      </c>
      <c r="D248" s="14">
        <v>2567.3624529332424</v>
      </c>
    </row>
    <row r="249" spans="1:13" x14ac:dyDescent="0.25">
      <c r="A249" s="13">
        <v>1282.6836989999999</v>
      </c>
      <c r="B249" s="14">
        <v>2.1318803777015916</v>
      </c>
      <c r="C249" s="13">
        <v>-2</v>
      </c>
      <c r="D249" s="14">
        <v>2567.381950933242</v>
      </c>
    </row>
    <row r="250" spans="1:13" x14ac:dyDescent="0.25">
      <c r="A250" s="13">
        <v>1283.1759030000001</v>
      </c>
      <c r="B250" s="14">
        <v>1.5357865213470279</v>
      </c>
      <c r="C250" s="13">
        <v>-1</v>
      </c>
      <c r="D250" s="14">
        <v>1284.1831794666211</v>
      </c>
    </row>
    <row r="251" spans="1:13" x14ac:dyDescent="0.25">
      <c r="A251" s="13">
        <v>1283.188981</v>
      </c>
      <c r="B251" s="14">
        <v>2.8354020074441175</v>
      </c>
      <c r="C251" s="13">
        <v>-1</v>
      </c>
      <c r="D251" s="14">
        <v>1284.1962574666211</v>
      </c>
    </row>
    <row r="252" spans="1:13" x14ac:dyDescent="0.25">
      <c r="A252" s="13">
        <v>1284.1789550000001</v>
      </c>
      <c r="B252" s="14">
        <v>0.47552744409753761</v>
      </c>
      <c r="C252" s="13">
        <v>-1</v>
      </c>
      <c r="D252" s="14">
        <v>1285.1862314666212</v>
      </c>
    </row>
    <row r="253" spans="1:13" x14ac:dyDescent="0.25">
      <c r="A253" s="13">
        <v>1284.1945800000001</v>
      </c>
      <c r="B253" s="14">
        <v>0.41444666152201104</v>
      </c>
      <c r="C253" s="13">
        <v>-1</v>
      </c>
      <c r="D253" s="14">
        <v>1285.2018564666212</v>
      </c>
    </row>
    <row r="254" spans="1:13" x14ac:dyDescent="0.25">
      <c r="A254" s="13">
        <v>1291.1960449999999</v>
      </c>
      <c r="B254" s="14">
        <v>0.34254121674098092</v>
      </c>
      <c r="C254" s="13">
        <v>-1</v>
      </c>
      <c r="D254" s="14">
        <v>1292.203321466621</v>
      </c>
      <c r="E254" s="13" t="s">
        <v>774</v>
      </c>
      <c r="F254" s="13">
        <v>1291.1790035333788</v>
      </c>
      <c r="G254" s="13" t="s">
        <v>585</v>
      </c>
      <c r="H254" s="13" t="s">
        <v>67</v>
      </c>
      <c r="I254" s="13" t="s">
        <v>78</v>
      </c>
      <c r="J254" s="16">
        <v>1292.203321466621</v>
      </c>
      <c r="K254" s="16">
        <v>1292.1862799999999</v>
      </c>
      <c r="L254" s="17">
        <v>13.188088191970676</v>
      </c>
      <c r="M254" s="13" t="s">
        <v>192</v>
      </c>
    </row>
    <row r="255" spans="1:13" x14ac:dyDescent="0.25">
      <c r="A255" s="13">
        <v>1322.659668</v>
      </c>
      <c r="B255" s="14">
        <v>0.36154988041852248</v>
      </c>
      <c r="C255" s="13">
        <v>-1</v>
      </c>
      <c r="D255" s="14">
        <v>1323.6669444666211</v>
      </c>
    </row>
    <row r="256" spans="1:13" x14ac:dyDescent="0.25">
      <c r="A256" s="13">
        <v>1344.1448969999999</v>
      </c>
      <c r="B256" s="14">
        <v>0.38849374311494134</v>
      </c>
      <c r="C256" s="13">
        <v>-1</v>
      </c>
      <c r="D256" s="14">
        <v>1345.152173466621</v>
      </c>
      <c r="E256" s="13" t="s">
        <v>796</v>
      </c>
      <c r="F256" s="13">
        <v>1344.1357735333788</v>
      </c>
      <c r="G256" s="13" t="s">
        <v>363</v>
      </c>
      <c r="H256" s="13" t="s">
        <v>68</v>
      </c>
      <c r="I256" s="13" t="s">
        <v>17</v>
      </c>
      <c r="J256" s="16">
        <v>1345.152173466621</v>
      </c>
      <c r="K256" s="16">
        <v>1345.1430499999999</v>
      </c>
      <c r="L256" s="17">
        <v>6.7825251902217092</v>
      </c>
      <c r="M256" s="13" t="s">
        <v>292</v>
      </c>
    </row>
    <row r="257" spans="1:13" x14ac:dyDescent="0.25">
      <c r="A257" s="13">
        <v>1353.1354980000001</v>
      </c>
      <c r="B257" s="14">
        <v>0.56069472553503796</v>
      </c>
      <c r="C257" s="13">
        <v>-1</v>
      </c>
      <c r="D257" s="14">
        <v>1354.1427744666212</v>
      </c>
      <c r="E257" s="13" t="s">
        <v>774</v>
      </c>
      <c r="F257" s="13">
        <v>1353.1347635333789</v>
      </c>
      <c r="G257" s="13" t="s">
        <v>585</v>
      </c>
      <c r="H257" s="13" t="s">
        <v>67</v>
      </c>
      <c r="I257" s="13" t="s">
        <v>84</v>
      </c>
      <c r="J257" s="16">
        <v>1354.1427744666212</v>
      </c>
      <c r="K257" s="16">
        <v>1354.14204</v>
      </c>
      <c r="L257" s="17">
        <v>0.54238521479237367</v>
      </c>
      <c r="M257" s="13" t="s">
        <v>192</v>
      </c>
    </row>
    <row r="258" spans="1:13" x14ac:dyDescent="0.25">
      <c r="A258" s="13">
        <v>1380.8630370000001</v>
      </c>
      <c r="B258" s="14">
        <v>1.7677575748933132</v>
      </c>
      <c r="C258" s="13">
        <v>-3</v>
      </c>
      <c r="D258" s="14">
        <v>4145.6109403998635</v>
      </c>
      <c r="E258" s="13" t="s">
        <v>797</v>
      </c>
      <c r="F258" s="13">
        <v>1380.8565768667122</v>
      </c>
      <c r="G258" s="13" t="s">
        <v>358</v>
      </c>
      <c r="H258" s="13" t="s">
        <v>69</v>
      </c>
      <c r="I258" s="13" t="s">
        <v>48</v>
      </c>
      <c r="J258" s="16">
        <v>4145.6109403998635</v>
      </c>
      <c r="K258" s="16">
        <v>4145.5915599999998</v>
      </c>
      <c r="L258" s="17">
        <v>4.6749419432968153</v>
      </c>
      <c r="M258" s="13" t="s">
        <v>258</v>
      </c>
    </row>
    <row r="259" spans="1:13" x14ac:dyDescent="0.25">
      <c r="A259" s="13">
        <v>1381.1820070000001</v>
      </c>
      <c r="B259" s="14">
        <v>1.7813616792018774</v>
      </c>
      <c r="C259" s="13">
        <v>-3</v>
      </c>
      <c r="D259" s="14">
        <v>4146.5678503998633</v>
      </c>
    </row>
    <row r="260" spans="1:13" x14ac:dyDescent="0.25">
      <c r="A260" s="13">
        <v>1381.1991049999999</v>
      </c>
      <c r="B260" s="14">
        <v>3.0152171724386276</v>
      </c>
      <c r="C260" s="13">
        <v>-3</v>
      </c>
      <c r="D260" s="14">
        <v>4146.6191443998623</v>
      </c>
    </row>
    <row r="261" spans="1:13" x14ac:dyDescent="0.25">
      <c r="A261" s="13">
        <v>1381.5150149999999</v>
      </c>
      <c r="B261" s="14">
        <v>1.6029189410738842</v>
      </c>
      <c r="C261" s="13">
        <v>-3</v>
      </c>
      <c r="D261" s="14">
        <v>4147.5668743998631</v>
      </c>
    </row>
    <row r="262" spans="1:13" x14ac:dyDescent="0.25">
      <c r="A262" s="13">
        <v>1381.5325680000001</v>
      </c>
      <c r="B262" s="14">
        <v>2.5589374045896256</v>
      </c>
      <c r="C262" s="13">
        <v>-3</v>
      </c>
      <c r="D262" s="14">
        <v>4147.619533399863</v>
      </c>
    </row>
    <row r="263" spans="1:13" x14ac:dyDescent="0.25">
      <c r="A263" s="13">
        <v>1381.8485109999999</v>
      </c>
      <c r="B263" s="14">
        <v>0.78944115235416945</v>
      </c>
      <c r="C263" s="13">
        <v>-1</v>
      </c>
      <c r="D263" s="14">
        <v>1382.855787466621</v>
      </c>
    </row>
    <row r="264" spans="1:13" x14ac:dyDescent="0.25">
      <c r="A264" s="13">
        <v>1381.8709719999999</v>
      </c>
      <c r="B264" s="14">
        <v>0.76855922672023036</v>
      </c>
      <c r="C264" s="13">
        <v>-3</v>
      </c>
      <c r="D264" s="14">
        <v>4148.6347453998624</v>
      </c>
    </row>
    <row r="265" spans="1:13" x14ac:dyDescent="0.25">
      <c r="A265" s="13">
        <v>1382.200562</v>
      </c>
      <c r="B265" s="14">
        <v>0.56744948061957445</v>
      </c>
      <c r="C265" s="13">
        <v>-1</v>
      </c>
      <c r="D265" s="14">
        <v>1383.2078384666211</v>
      </c>
    </row>
    <row r="266" spans="1:13" x14ac:dyDescent="0.25">
      <c r="A266" s="13">
        <v>1401.1647949999999</v>
      </c>
      <c r="B266" s="14">
        <v>0.37499449083215847</v>
      </c>
      <c r="C266" s="13">
        <v>-1</v>
      </c>
      <c r="D266" s="14">
        <v>1402.172071466621</v>
      </c>
    </row>
    <row r="267" spans="1:13" x14ac:dyDescent="0.25">
      <c r="A267" s="13">
        <v>1408.1735839999999</v>
      </c>
      <c r="B267" s="14">
        <v>0.42093765139299427</v>
      </c>
      <c r="C267" s="13">
        <v>-1</v>
      </c>
      <c r="D267" s="14">
        <v>1409.180860466621</v>
      </c>
    </row>
    <row r="268" spans="1:13" x14ac:dyDescent="0.25">
      <c r="A268" s="13">
        <v>1408.5235600000001</v>
      </c>
      <c r="B268" s="14">
        <v>0.34709015569035589</v>
      </c>
      <c r="C268" s="13">
        <v>-3</v>
      </c>
      <c r="D268" s="14">
        <v>4228.592509399863</v>
      </c>
    </row>
    <row r="269" spans="1:13" x14ac:dyDescent="0.25">
      <c r="A269" s="13">
        <v>1408.859375</v>
      </c>
      <c r="B269" s="14">
        <v>0.8358780343422153</v>
      </c>
      <c r="C269" s="13">
        <v>-1</v>
      </c>
      <c r="D269" s="14">
        <v>1409.8666514666211</v>
      </c>
    </row>
    <row r="270" spans="1:13" x14ac:dyDescent="0.25">
      <c r="A270" s="13">
        <v>1422.5399170000001</v>
      </c>
      <c r="B270" s="14">
        <v>0.56880317585984175</v>
      </c>
      <c r="C270" s="13">
        <v>-1</v>
      </c>
      <c r="D270" s="14">
        <v>1423.5471934666211</v>
      </c>
    </row>
    <row r="271" spans="1:13" x14ac:dyDescent="0.25">
      <c r="A271" s="13">
        <v>1434.6914059999999</v>
      </c>
      <c r="B271" s="14">
        <v>1.1054815897798231</v>
      </c>
      <c r="C271" s="13">
        <v>-2</v>
      </c>
      <c r="D271" s="14">
        <v>2871.397364933242</v>
      </c>
      <c r="E271" s="13" t="s">
        <v>798</v>
      </c>
      <c r="F271" s="13">
        <v>1434.6943585333788</v>
      </c>
      <c r="G271" s="13" t="s">
        <v>695</v>
      </c>
      <c r="H271" s="13" t="s">
        <v>67</v>
      </c>
      <c r="I271" s="13" t="s">
        <v>78</v>
      </c>
      <c r="J271" s="16">
        <v>2871.397364933242</v>
      </c>
      <c r="K271" s="16">
        <v>2871.4032699999998</v>
      </c>
      <c r="L271" s="17">
        <v>-2.0565090314899894</v>
      </c>
      <c r="M271" s="13" t="s">
        <v>330</v>
      </c>
    </row>
    <row r="272" spans="1:13" x14ac:dyDescent="0.25">
      <c r="A272" s="13">
        <v>1434.7102050000001</v>
      </c>
      <c r="B272" s="14">
        <v>0.89860216277512173</v>
      </c>
      <c r="C272" s="13">
        <v>-2</v>
      </c>
      <c r="D272" s="14">
        <v>2871.4349629332423</v>
      </c>
      <c r="E272" s="13" t="s">
        <v>799</v>
      </c>
      <c r="F272" s="13">
        <v>1434.7006485333789</v>
      </c>
      <c r="G272" s="13" t="s">
        <v>354</v>
      </c>
      <c r="H272" s="13" t="s">
        <v>69</v>
      </c>
      <c r="I272" s="13" t="s">
        <v>48</v>
      </c>
      <c r="J272" s="16">
        <v>2871.4349629332423</v>
      </c>
      <c r="K272" s="16">
        <v>2871.4158499999999</v>
      </c>
      <c r="L272" s="17">
        <v>6.6562748974405741</v>
      </c>
      <c r="M272" s="13" t="s">
        <v>250</v>
      </c>
    </row>
    <row r="273" spans="1:13" x14ac:dyDescent="0.25">
      <c r="A273" s="13">
        <v>1435.1917719999999</v>
      </c>
      <c r="B273" s="14">
        <v>1.3101569102970783</v>
      </c>
      <c r="C273" s="13">
        <v>-2</v>
      </c>
      <c r="D273" s="14">
        <v>2872.398096933242</v>
      </c>
    </row>
    <row r="274" spans="1:13" x14ac:dyDescent="0.25">
      <c r="A274" s="13">
        <v>1435.206919</v>
      </c>
      <c r="B274" s="14">
        <v>1.9491416616283059</v>
      </c>
      <c r="C274" s="13">
        <v>-2</v>
      </c>
      <c r="D274" s="14">
        <v>2872.4283909332421</v>
      </c>
    </row>
    <row r="275" spans="1:13" x14ac:dyDescent="0.25">
      <c r="A275" s="13">
        <v>1435.701538</v>
      </c>
      <c r="B275" s="14">
        <v>0.53810346355214245</v>
      </c>
      <c r="C275" s="13">
        <v>-2</v>
      </c>
      <c r="D275" s="14">
        <v>2873.4176289332422</v>
      </c>
    </row>
    <row r="276" spans="1:13" x14ac:dyDescent="0.25">
      <c r="A276" s="13">
        <v>1435.711808</v>
      </c>
      <c r="B276" s="14">
        <v>1.6035572356604904</v>
      </c>
      <c r="C276" s="13">
        <v>-2</v>
      </c>
      <c r="D276" s="14">
        <v>2873.4381689332422</v>
      </c>
    </row>
    <row r="277" spans="1:13" x14ac:dyDescent="0.25">
      <c r="A277" s="13">
        <v>1436.2033690000001</v>
      </c>
      <c r="B277" s="14">
        <v>0.60132955219504602</v>
      </c>
      <c r="C277" s="13">
        <v>-1</v>
      </c>
      <c r="D277" s="14">
        <v>1437.2106454666211</v>
      </c>
    </row>
    <row r="278" spans="1:13" x14ac:dyDescent="0.25">
      <c r="A278" s="13">
        <v>1445.5092770000001</v>
      </c>
      <c r="B278" s="14">
        <v>2.2199244919450569</v>
      </c>
      <c r="C278" s="13">
        <v>-3</v>
      </c>
      <c r="D278" s="14">
        <v>4339.5496603998636</v>
      </c>
      <c r="E278" s="13" t="s">
        <v>800</v>
      </c>
      <c r="F278" s="13">
        <v>1445.522583533379</v>
      </c>
      <c r="G278" s="13" t="s">
        <v>430</v>
      </c>
      <c r="H278" s="13" t="s">
        <v>69</v>
      </c>
      <c r="I278" s="13" t="s">
        <v>238</v>
      </c>
      <c r="J278" s="16">
        <v>4339.5496603998636</v>
      </c>
      <c r="K278" s="16">
        <v>4339.5895799999998</v>
      </c>
      <c r="L278" s="17">
        <v>-9.1989344615101807</v>
      </c>
      <c r="M278" s="13" t="s">
        <v>477</v>
      </c>
    </row>
    <row r="279" spans="1:13" x14ac:dyDescent="0.25">
      <c r="A279" s="13">
        <v>1445.5276349999999</v>
      </c>
      <c r="B279" s="14">
        <v>3.7682944846579081</v>
      </c>
      <c r="C279" s="13">
        <v>-3</v>
      </c>
      <c r="D279" s="14">
        <v>4339.6047343998625</v>
      </c>
      <c r="E279" s="13" t="s">
        <v>800</v>
      </c>
      <c r="F279" s="13">
        <v>1445.522583533379</v>
      </c>
      <c r="G279" s="13" t="s">
        <v>430</v>
      </c>
      <c r="H279" s="13" t="s">
        <v>69</v>
      </c>
      <c r="I279" s="13" t="s">
        <v>238</v>
      </c>
      <c r="J279" s="16">
        <v>4339.6047343998625</v>
      </c>
      <c r="K279" s="16">
        <v>4339.5895799999998</v>
      </c>
      <c r="L279" s="17">
        <v>3.4921274427741729</v>
      </c>
      <c r="M279" s="13" t="s">
        <v>477</v>
      </c>
    </row>
    <row r="280" spans="1:13" x14ac:dyDescent="0.25">
      <c r="A280" s="13">
        <v>1445.8476559999999</v>
      </c>
      <c r="B280" s="14">
        <v>4.7910299158648861</v>
      </c>
      <c r="C280" s="13">
        <v>-3</v>
      </c>
      <c r="D280" s="14">
        <v>4340.564797399863</v>
      </c>
    </row>
    <row r="281" spans="1:13" x14ac:dyDescent="0.25">
      <c r="A281" s="13">
        <v>1445.8617549999999</v>
      </c>
      <c r="B281" s="14">
        <v>5.5867415460085637</v>
      </c>
      <c r="C281" s="13">
        <v>-3</v>
      </c>
      <c r="D281" s="14">
        <v>4340.6070943998629</v>
      </c>
    </row>
    <row r="282" spans="1:13" x14ac:dyDescent="0.25">
      <c r="A282" s="13">
        <v>1446.181274</v>
      </c>
      <c r="B282" s="14">
        <v>4.9281936645476279</v>
      </c>
      <c r="C282" s="13">
        <v>-3</v>
      </c>
      <c r="D282" s="14">
        <v>4341.5656513998629</v>
      </c>
    </row>
    <row r="283" spans="1:13" x14ac:dyDescent="0.25">
      <c r="A283" s="13">
        <v>1446.197028</v>
      </c>
      <c r="B283" s="14">
        <v>5.744949902378873</v>
      </c>
      <c r="C283" s="13">
        <v>-3</v>
      </c>
      <c r="D283" s="14">
        <v>4341.6129133998629</v>
      </c>
    </row>
    <row r="284" spans="1:13" x14ac:dyDescent="0.25">
      <c r="A284" s="13">
        <v>1446.517822</v>
      </c>
      <c r="B284" s="14">
        <v>3.6110441136253564</v>
      </c>
      <c r="C284" s="13">
        <v>-3</v>
      </c>
      <c r="D284" s="14">
        <v>4342.5752953998626</v>
      </c>
    </row>
    <row r="285" spans="1:13" x14ac:dyDescent="0.25">
      <c r="A285" s="13">
        <v>1446.5318</v>
      </c>
      <c r="B285" s="14">
        <v>5.0819597620757548</v>
      </c>
      <c r="C285" s="13">
        <v>-3</v>
      </c>
      <c r="D285" s="14">
        <v>4342.6172293998625</v>
      </c>
    </row>
    <row r="286" spans="1:13" x14ac:dyDescent="0.25">
      <c r="A286" s="13">
        <v>1446.8516850000001</v>
      </c>
      <c r="B286" s="14">
        <v>1.4147946704194609</v>
      </c>
      <c r="C286" s="13">
        <v>-1</v>
      </c>
      <c r="D286" s="14">
        <v>1447.8589614666212</v>
      </c>
    </row>
    <row r="287" spans="1:13" x14ac:dyDescent="0.25">
      <c r="A287" s="13">
        <v>1446.8706050000001</v>
      </c>
      <c r="B287" s="14">
        <v>0.99889793155091833</v>
      </c>
      <c r="C287" s="13">
        <v>-1</v>
      </c>
      <c r="D287" s="14">
        <v>1447.8778814666211</v>
      </c>
    </row>
    <row r="288" spans="1:13" x14ac:dyDescent="0.25">
      <c r="A288" s="13">
        <v>1453.5112300000001</v>
      </c>
      <c r="B288" s="14">
        <v>1.2138621431535623</v>
      </c>
      <c r="C288" s="13">
        <v>-3</v>
      </c>
      <c r="D288" s="14">
        <v>4363.5555193998634</v>
      </c>
      <c r="E288" s="13" t="s">
        <v>801</v>
      </c>
      <c r="F288" s="13">
        <v>1453.5263302000455</v>
      </c>
      <c r="G288" s="13" t="s">
        <v>430</v>
      </c>
      <c r="H288" s="13" t="s">
        <v>69</v>
      </c>
      <c r="I288" s="13" t="s">
        <v>238</v>
      </c>
      <c r="J288" s="16">
        <v>4363.5555193998634</v>
      </c>
      <c r="K288" s="16">
        <v>4363.6008199999997</v>
      </c>
      <c r="L288" s="17">
        <v>-10.381472092631862</v>
      </c>
      <c r="M288" s="13" t="s">
        <v>477</v>
      </c>
    </row>
    <row r="289" spans="1:13" x14ac:dyDescent="0.25">
      <c r="A289" s="13">
        <v>1453.529916</v>
      </c>
      <c r="B289" s="14">
        <v>1.9742486769095458</v>
      </c>
      <c r="C289" s="13">
        <v>-3</v>
      </c>
      <c r="D289" s="14">
        <v>4363.6115773998627</v>
      </c>
      <c r="E289" s="13" t="s">
        <v>801</v>
      </c>
      <c r="F289" s="13">
        <v>1453.5263302000455</v>
      </c>
      <c r="G289" s="13" t="s">
        <v>430</v>
      </c>
      <c r="H289" s="13" t="s">
        <v>69</v>
      </c>
      <c r="I289" s="13" t="s">
        <v>238</v>
      </c>
      <c r="J289" s="16">
        <v>4363.6115773998636</v>
      </c>
      <c r="K289" s="16">
        <v>4363.6008199999997</v>
      </c>
      <c r="L289" s="17">
        <v>2.4652575493615956</v>
      </c>
      <c r="M289" s="13" t="s">
        <v>477</v>
      </c>
    </row>
    <row r="290" spans="1:13" x14ac:dyDescent="0.25">
      <c r="A290" s="13">
        <v>1453.8485109999999</v>
      </c>
      <c r="B290" s="14">
        <v>2.5053562352689589</v>
      </c>
      <c r="C290" s="13">
        <v>-3</v>
      </c>
      <c r="D290" s="14">
        <v>4364.5673623998628</v>
      </c>
    </row>
    <row r="291" spans="1:13" x14ac:dyDescent="0.25">
      <c r="A291" s="13">
        <v>1453.867825</v>
      </c>
      <c r="B291" s="14">
        <v>3.2970795342756549</v>
      </c>
      <c r="C291" s="13">
        <v>-3</v>
      </c>
      <c r="D291" s="14">
        <v>4364.6253043998631</v>
      </c>
    </row>
    <row r="292" spans="1:13" x14ac:dyDescent="0.25">
      <c r="A292" s="13">
        <v>1454.1854249999999</v>
      </c>
      <c r="B292" s="14">
        <v>2.3627884334257807</v>
      </c>
      <c r="C292" s="13">
        <v>-3</v>
      </c>
      <c r="D292" s="14">
        <v>4365.5781043998622</v>
      </c>
    </row>
    <row r="293" spans="1:13" x14ac:dyDescent="0.25">
      <c r="A293" s="13">
        <v>1454.2021549999999</v>
      </c>
      <c r="B293" s="14">
        <v>4.0096278422529315</v>
      </c>
      <c r="C293" s="13">
        <v>-3</v>
      </c>
      <c r="D293" s="14">
        <v>4365.6282943998631</v>
      </c>
    </row>
    <row r="294" spans="1:13" x14ac:dyDescent="0.25">
      <c r="A294" s="13">
        <v>1454.515625</v>
      </c>
      <c r="B294" s="14">
        <v>1.2653384610652965</v>
      </c>
      <c r="C294" s="13">
        <v>-3</v>
      </c>
      <c r="D294" s="14">
        <v>4366.5687043998632</v>
      </c>
    </row>
    <row r="295" spans="1:13" x14ac:dyDescent="0.25">
      <c r="A295" s="13">
        <v>1454.53549</v>
      </c>
      <c r="B295" s="14">
        <v>2.5810213787564038</v>
      </c>
      <c r="C295" s="13">
        <v>-3</v>
      </c>
      <c r="D295" s="14">
        <v>4366.628299399863</v>
      </c>
    </row>
    <row r="296" spans="1:13" x14ac:dyDescent="0.25">
      <c r="A296" s="13">
        <v>1454.8511960000001</v>
      </c>
      <c r="B296" s="14">
        <v>0.66275695963656367</v>
      </c>
      <c r="C296" s="13">
        <v>-1</v>
      </c>
      <c r="D296" s="14">
        <v>1455.8584724666212</v>
      </c>
    </row>
    <row r="297" spans="1:13" x14ac:dyDescent="0.25">
      <c r="A297" s="13">
        <v>1454.8630370000001</v>
      </c>
      <c r="B297" s="14">
        <v>0.65670738170337539</v>
      </c>
      <c r="C297" s="13">
        <v>-1</v>
      </c>
      <c r="D297" s="14">
        <v>1455.8703134666212</v>
      </c>
    </row>
    <row r="298" spans="1:13" x14ac:dyDescent="0.25">
      <c r="A298" s="13">
        <v>1466.2082519999999</v>
      </c>
      <c r="B298" s="14">
        <v>0.31089789732831741</v>
      </c>
      <c r="C298" s="13">
        <v>-1</v>
      </c>
      <c r="D298" s="14">
        <v>1467.215528466621</v>
      </c>
    </row>
    <row r="299" spans="1:13" x14ac:dyDescent="0.25">
      <c r="A299" s="13">
        <v>1466.9414059999999</v>
      </c>
      <c r="B299" s="14">
        <v>0.32081453220353723</v>
      </c>
      <c r="C299" s="13">
        <v>-1</v>
      </c>
      <c r="D299" s="14">
        <v>1467.948682466621</v>
      </c>
    </row>
    <row r="300" spans="1:13" x14ac:dyDescent="0.25">
      <c r="A300" s="13">
        <v>1484.527466</v>
      </c>
      <c r="B300" s="14">
        <v>1.054446838533778</v>
      </c>
      <c r="C300" s="13">
        <v>-3</v>
      </c>
      <c r="D300" s="14">
        <v>4456.6042273998628</v>
      </c>
      <c r="E300" s="13" t="s">
        <v>802</v>
      </c>
      <c r="F300" s="13">
        <v>1484.5372268667122</v>
      </c>
      <c r="G300" s="13" t="s">
        <v>359</v>
      </c>
      <c r="H300" s="13" t="s">
        <v>69</v>
      </c>
      <c r="I300" s="13" t="s">
        <v>49</v>
      </c>
      <c r="J300" s="16">
        <v>4456.6042273998637</v>
      </c>
      <c r="K300" s="16">
        <v>4456.6335099999997</v>
      </c>
      <c r="L300" s="17">
        <v>-6.5705649949118623</v>
      </c>
      <c r="M300" s="13" t="s">
        <v>260</v>
      </c>
    </row>
    <row r="301" spans="1:13" x14ac:dyDescent="0.25">
      <c r="A301" s="13">
        <v>1484.5493160000001</v>
      </c>
      <c r="B301" s="14">
        <v>0.4189724772472635</v>
      </c>
      <c r="C301" s="13">
        <v>-3</v>
      </c>
      <c r="D301" s="14">
        <v>4456.6697773998631</v>
      </c>
      <c r="E301" s="13" t="s">
        <v>802</v>
      </c>
      <c r="F301" s="13">
        <v>1484.5372268667122</v>
      </c>
      <c r="G301" s="13" t="s">
        <v>359</v>
      </c>
      <c r="H301" s="13" t="s">
        <v>69</v>
      </c>
      <c r="I301" s="13" t="s">
        <v>49</v>
      </c>
      <c r="J301" s="16">
        <v>4456.6697773998631</v>
      </c>
      <c r="K301" s="16">
        <v>4456.6335099999997</v>
      </c>
      <c r="L301" s="17">
        <v>8.1378466014789925</v>
      </c>
      <c r="M301" s="13" t="s">
        <v>260</v>
      </c>
    </row>
    <row r="302" spans="1:13" x14ac:dyDescent="0.25">
      <c r="A302" s="13">
        <v>1484.8588870000001</v>
      </c>
      <c r="B302" s="14">
        <v>2.4682925398581785</v>
      </c>
      <c r="C302" s="13">
        <v>-3</v>
      </c>
      <c r="D302" s="14">
        <v>4457.5984903998633</v>
      </c>
    </row>
    <row r="303" spans="1:13" x14ac:dyDescent="0.25">
      <c r="A303" s="13">
        <v>1484.8762839999999</v>
      </c>
      <c r="B303" s="14">
        <v>3.4253840260353554</v>
      </c>
      <c r="C303" s="13">
        <v>-3</v>
      </c>
      <c r="D303" s="14">
        <v>4457.6506813998631</v>
      </c>
    </row>
    <row r="304" spans="1:13" x14ac:dyDescent="0.25">
      <c r="A304" s="13">
        <v>1485.1944579999999</v>
      </c>
      <c r="B304" s="14">
        <v>1.8577877725605971</v>
      </c>
      <c r="C304" s="13">
        <v>-3</v>
      </c>
      <c r="D304" s="14">
        <v>4458.6052033998631</v>
      </c>
    </row>
    <row r="305" spans="1:13" x14ac:dyDescent="0.25">
      <c r="A305" s="13">
        <v>1485.2118660000001</v>
      </c>
      <c r="B305" s="14">
        <v>4.8780341975352384</v>
      </c>
      <c r="C305" s="13">
        <v>-3</v>
      </c>
      <c r="D305" s="14">
        <v>4458.6574273998631</v>
      </c>
    </row>
    <row r="306" spans="1:13" x14ac:dyDescent="0.25">
      <c r="A306" s="13">
        <v>1485.5310059999999</v>
      </c>
      <c r="B306" s="14">
        <v>1.8410983673074335</v>
      </c>
      <c r="C306" s="13">
        <v>-3</v>
      </c>
      <c r="D306" s="14">
        <v>4459.6148473998628</v>
      </c>
    </row>
    <row r="307" spans="1:13" x14ac:dyDescent="0.25">
      <c r="A307" s="13">
        <v>1485.545327</v>
      </c>
      <c r="B307" s="14">
        <v>2.1949039485439972</v>
      </c>
      <c r="C307" s="13">
        <v>-3</v>
      </c>
      <c r="D307" s="14">
        <v>4459.6578103998627</v>
      </c>
    </row>
    <row r="308" spans="1:13" x14ac:dyDescent="0.25">
      <c r="A308" s="13">
        <v>1485.866577</v>
      </c>
      <c r="B308" s="14">
        <v>1.5898220825565765</v>
      </c>
      <c r="C308" s="13">
        <v>-1</v>
      </c>
      <c r="D308" s="14">
        <v>1486.8738534666211</v>
      </c>
    </row>
    <row r="309" spans="1:13" x14ac:dyDescent="0.25">
      <c r="A309" s="13">
        <v>1485.8836670000001</v>
      </c>
      <c r="B309" s="14">
        <v>0.59827860848374426</v>
      </c>
      <c r="C309" s="13">
        <v>-1</v>
      </c>
      <c r="D309" s="14">
        <v>1486.8909434666211</v>
      </c>
    </row>
    <row r="310" spans="1:13" x14ac:dyDescent="0.25">
      <c r="A310" s="13">
        <v>1490.321289</v>
      </c>
      <c r="B310" s="14">
        <v>0.47268476986189495</v>
      </c>
      <c r="C310" s="13">
        <v>-1</v>
      </c>
      <c r="D310" s="14">
        <v>1491.3285654666211</v>
      </c>
    </row>
    <row r="311" spans="1:13" x14ac:dyDescent="0.25">
      <c r="A311" s="13">
        <v>1490.530029</v>
      </c>
      <c r="B311" s="14">
        <v>27.859467634277312</v>
      </c>
      <c r="C311" s="13">
        <v>-3</v>
      </c>
      <c r="D311" s="14">
        <v>4474.6119163998628</v>
      </c>
      <c r="E311" s="13" t="s">
        <v>803</v>
      </c>
      <c r="F311" s="13">
        <v>1490.5407502000457</v>
      </c>
      <c r="G311" s="13" t="s">
        <v>430</v>
      </c>
      <c r="H311" s="13" t="s">
        <v>69</v>
      </c>
      <c r="I311" s="13" t="s">
        <v>154</v>
      </c>
      <c r="J311" s="16">
        <v>4474.6119163998637</v>
      </c>
      <c r="K311" s="16">
        <v>4474.64408</v>
      </c>
      <c r="L311" s="17">
        <v>-7.1879683749730487</v>
      </c>
      <c r="M311" s="13" t="s">
        <v>260</v>
      </c>
    </row>
    <row r="312" spans="1:13" x14ac:dyDescent="0.25">
      <c r="A312" s="13">
        <v>1490.5464589999999</v>
      </c>
      <c r="B312" s="14">
        <v>40.601501702449639</v>
      </c>
      <c r="C312" s="13">
        <v>-3</v>
      </c>
      <c r="D312" s="14">
        <v>4474.6612063998627</v>
      </c>
      <c r="E312" s="13" t="s">
        <v>803</v>
      </c>
      <c r="F312" s="13">
        <v>1490.5407502000457</v>
      </c>
      <c r="G312" s="13" t="s">
        <v>430</v>
      </c>
      <c r="H312" s="13" t="s">
        <v>69</v>
      </c>
      <c r="I312" s="13" t="s">
        <v>154</v>
      </c>
      <c r="J312" s="16">
        <v>4474.6612063998627</v>
      </c>
      <c r="K312" s="16">
        <v>4474.64408</v>
      </c>
      <c r="L312" s="17">
        <v>3.8274328765648424</v>
      </c>
      <c r="M312" s="13" t="s">
        <v>260</v>
      </c>
    </row>
    <row r="313" spans="1:13" x14ac:dyDescent="0.25">
      <c r="A313" s="13">
        <v>1490.8642580000001</v>
      </c>
      <c r="B313" s="14">
        <v>58.049897259240147</v>
      </c>
      <c r="C313" s="13">
        <v>-3</v>
      </c>
      <c r="D313" s="14">
        <v>4475.614603399863</v>
      </c>
    </row>
    <row r="314" spans="1:13" x14ac:dyDescent="0.25">
      <c r="A314" s="13">
        <v>1490.880805</v>
      </c>
      <c r="B314" s="14">
        <v>92.674581381189654</v>
      </c>
      <c r="C314" s="13">
        <v>-3</v>
      </c>
      <c r="D314" s="14">
        <v>4475.6642443998626</v>
      </c>
    </row>
    <row r="315" spans="1:13" x14ac:dyDescent="0.25">
      <c r="A315" s="13">
        <v>1491.1998289999999</v>
      </c>
      <c r="B315" s="14">
        <v>60.613965893509103</v>
      </c>
      <c r="C315" s="13">
        <v>-3</v>
      </c>
      <c r="D315" s="14">
        <v>4476.6213163998627</v>
      </c>
    </row>
    <row r="316" spans="1:13" x14ac:dyDescent="0.25">
      <c r="A316" s="13">
        <v>1491.215373</v>
      </c>
      <c r="B316" s="14">
        <v>100</v>
      </c>
      <c r="C316" s="13">
        <v>-3</v>
      </c>
      <c r="D316" s="14">
        <v>4476.6679483998632</v>
      </c>
    </row>
    <row r="317" spans="1:13" x14ac:dyDescent="0.25">
      <c r="A317" s="13">
        <v>1491.5341800000001</v>
      </c>
      <c r="B317" s="14">
        <v>44.008524958254135</v>
      </c>
      <c r="C317" s="13">
        <v>-3</v>
      </c>
      <c r="D317" s="14">
        <v>4477.6243693998631</v>
      </c>
    </row>
    <row r="318" spans="1:13" x14ac:dyDescent="0.25">
      <c r="A318" s="13">
        <v>1491.5500669999999</v>
      </c>
      <c r="B318" s="14">
        <v>66.253798616162342</v>
      </c>
      <c r="C318" s="13">
        <v>-3</v>
      </c>
      <c r="D318" s="14">
        <v>4477.6720303998627</v>
      </c>
    </row>
    <row r="319" spans="1:13" x14ac:dyDescent="0.25">
      <c r="A319" s="13">
        <v>1491.868408</v>
      </c>
      <c r="B319" s="14">
        <v>17.646327274092904</v>
      </c>
      <c r="C319" s="13">
        <v>-1</v>
      </c>
      <c r="D319" s="14">
        <v>1492.8756844666211</v>
      </c>
    </row>
    <row r="320" spans="1:13" x14ac:dyDescent="0.25">
      <c r="A320" s="13">
        <v>1491.8846759999999</v>
      </c>
      <c r="B320" s="14">
        <v>26.125993768278761</v>
      </c>
      <c r="C320" s="13">
        <v>-1</v>
      </c>
      <c r="D320" s="14">
        <v>1492.891952466621</v>
      </c>
    </row>
    <row r="321" spans="1:13" x14ac:dyDescent="0.25">
      <c r="A321" s="13">
        <v>1492.096558</v>
      </c>
      <c r="B321" s="14">
        <v>0.45666051499111893</v>
      </c>
      <c r="C321" s="13">
        <v>-1</v>
      </c>
      <c r="D321" s="14">
        <v>1493.103834466621</v>
      </c>
    </row>
    <row r="322" spans="1:13" x14ac:dyDescent="0.25">
      <c r="A322" s="13">
        <v>1595.209351</v>
      </c>
      <c r="B322" s="14">
        <v>0.6910707601816527</v>
      </c>
      <c r="C322" s="13">
        <v>-2</v>
      </c>
      <c r="D322" s="14">
        <v>3192.4332549332421</v>
      </c>
    </row>
    <row r="323" spans="1:13" x14ac:dyDescent="0.25">
      <c r="A323" s="13">
        <v>1595.2266460000001</v>
      </c>
      <c r="B323" s="14">
        <v>1.1394479383929421</v>
      </c>
      <c r="C323" s="13">
        <v>-2</v>
      </c>
      <c r="D323" s="14">
        <v>3192.4678449332423</v>
      </c>
    </row>
    <row r="324" spans="1:13" x14ac:dyDescent="0.25">
      <c r="A324" s="13">
        <v>1595.714111</v>
      </c>
      <c r="B324" s="14">
        <v>0.51999192557414797</v>
      </c>
      <c r="C324" s="13">
        <v>-1</v>
      </c>
      <c r="D324" s="14">
        <v>1596.7213874666211</v>
      </c>
    </row>
    <row r="325" spans="1:13" x14ac:dyDescent="0.25">
      <c r="A325" s="13">
        <v>1595.733154</v>
      </c>
      <c r="B325" s="14">
        <v>0.617108773478518</v>
      </c>
      <c r="C325" s="13">
        <v>-1</v>
      </c>
      <c r="D325" s="14">
        <v>1596.7404304666211</v>
      </c>
    </row>
    <row r="326" spans="1:13" x14ac:dyDescent="0.25">
      <c r="A326" s="13">
        <v>1602.205688</v>
      </c>
      <c r="B326" s="14">
        <v>1.2900269163814944</v>
      </c>
      <c r="C326" s="13">
        <v>-1</v>
      </c>
      <c r="D326" s="14">
        <v>1603.2129644666211</v>
      </c>
      <c r="E326" s="13" t="s">
        <v>804</v>
      </c>
      <c r="F326" s="13">
        <v>1602.2209535333789</v>
      </c>
      <c r="G326" s="13" t="s">
        <v>350</v>
      </c>
      <c r="H326" s="13" t="s">
        <v>69</v>
      </c>
      <c r="I326" s="13" t="s">
        <v>48</v>
      </c>
      <c r="J326" s="16">
        <v>1603.2129644666211</v>
      </c>
      <c r="K326" s="16">
        <v>1603.2282299999999</v>
      </c>
      <c r="L326" s="17">
        <v>-9.521746868723497</v>
      </c>
      <c r="M326" s="13" t="s">
        <v>184</v>
      </c>
    </row>
    <row r="327" spans="1:13" x14ac:dyDescent="0.25">
      <c r="A327" s="13">
        <v>1602.2286329999999</v>
      </c>
      <c r="B327" s="14">
        <v>2.0315263892128823</v>
      </c>
      <c r="C327" s="13">
        <v>-1</v>
      </c>
      <c r="D327" s="14">
        <v>1603.235909466621</v>
      </c>
      <c r="E327" s="13" t="s">
        <v>804</v>
      </c>
      <c r="F327" s="13">
        <v>1602.2209535333789</v>
      </c>
      <c r="G327" s="13" t="s">
        <v>350</v>
      </c>
      <c r="H327" s="13" t="s">
        <v>69</v>
      </c>
      <c r="I327" s="13" t="s">
        <v>48</v>
      </c>
      <c r="J327" s="16">
        <v>1603.235909466621</v>
      </c>
      <c r="K327" s="16">
        <v>1603.2282299999999</v>
      </c>
      <c r="L327" s="17">
        <v>4.7900021203371832</v>
      </c>
      <c r="M327" s="13" t="s">
        <v>184</v>
      </c>
    </row>
    <row r="328" spans="1:13" x14ac:dyDescent="0.25">
      <c r="A328" s="13">
        <v>1603.2333980000001</v>
      </c>
      <c r="B328" s="14">
        <v>1.0432753585299712</v>
      </c>
      <c r="C328" s="13">
        <v>-1</v>
      </c>
      <c r="D328" s="14">
        <v>1604.2406744666212</v>
      </c>
    </row>
    <row r="329" spans="1:13" x14ac:dyDescent="0.25">
      <c r="A329" s="13">
        <v>1682.19165</v>
      </c>
      <c r="B329" s="14">
        <v>0.53474192174122293</v>
      </c>
      <c r="C329" s="13">
        <v>-1</v>
      </c>
      <c r="D329" s="14">
        <v>1683.1989264666211</v>
      </c>
      <c r="E329" s="13" t="s">
        <v>805</v>
      </c>
      <c r="F329" s="13">
        <v>1682.1872835333788</v>
      </c>
      <c r="G329" s="13" t="s">
        <v>364</v>
      </c>
      <c r="H329" s="13" t="s">
        <v>68</v>
      </c>
      <c r="I329" s="13" t="s">
        <v>24</v>
      </c>
      <c r="J329" s="16">
        <v>1683.1989264666211</v>
      </c>
      <c r="K329" s="16">
        <v>1683.1945599999999</v>
      </c>
      <c r="L329" s="17">
        <v>2.5941544280833533</v>
      </c>
      <c r="M329" s="13" t="s">
        <v>293</v>
      </c>
    </row>
    <row r="330" spans="1:13" x14ac:dyDescent="0.25">
      <c r="A330" s="13">
        <v>1702.143677</v>
      </c>
      <c r="B330" s="14">
        <v>0.33728220092362232</v>
      </c>
      <c r="C330" s="13">
        <v>-1</v>
      </c>
      <c r="D330" s="14">
        <v>1703.1509534666211</v>
      </c>
    </row>
    <row r="331" spans="1:13" x14ac:dyDescent="0.25">
      <c r="A331" s="13">
        <v>1754.725848</v>
      </c>
      <c r="B331" s="14">
        <v>0.88343931820352783</v>
      </c>
      <c r="C331" s="13">
        <v>-2</v>
      </c>
      <c r="D331" s="14">
        <v>3511.4662489332422</v>
      </c>
      <c r="E331" s="13" t="s">
        <v>806</v>
      </c>
      <c r="F331" s="13">
        <v>1754.7415985333789</v>
      </c>
      <c r="G331" s="13" t="s">
        <v>356</v>
      </c>
      <c r="H331" s="13" t="s">
        <v>69</v>
      </c>
      <c r="I331" s="13" t="s">
        <v>48</v>
      </c>
      <c r="J331" s="16">
        <v>3511.4662489332422</v>
      </c>
      <c r="K331" s="16">
        <v>3511.49775</v>
      </c>
      <c r="L331" s="17">
        <v>-8.97083495433119</v>
      </c>
      <c r="M331" s="13" t="s">
        <v>254</v>
      </c>
    </row>
    <row r="332" spans="1:13" x14ac:dyDescent="0.25">
      <c r="A332" s="13">
        <v>1754.7360839999999</v>
      </c>
      <c r="B332" s="14">
        <v>0.75644157418477664</v>
      </c>
      <c r="C332" s="13">
        <v>-2</v>
      </c>
      <c r="D332" s="14">
        <v>3511.4867209332419</v>
      </c>
      <c r="E332" s="13" t="s">
        <v>806</v>
      </c>
      <c r="F332" s="13">
        <v>1754.7415985333789</v>
      </c>
      <c r="G332" s="13" t="s">
        <v>356</v>
      </c>
      <c r="H332" s="13" t="s">
        <v>69</v>
      </c>
      <c r="I332" s="13" t="s">
        <v>48</v>
      </c>
      <c r="J332" s="16">
        <v>3511.4867209332419</v>
      </c>
      <c r="K332" s="16">
        <v>3511.49775</v>
      </c>
      <c r="L332" s="17">
        <v>-3.1408440338757746</v>
      </c>
      <c r="M332" s="13" t="s">
        <v>254</v>
      </c>
    </row>
    <row r="333" spans="1:13" x14ac:dyDescent="0.25">
      <c r="A333" s="13">
        <v>1755.225952</v>
      </c>
      <c r="B333" s="14">
        <v>1.3585557037735394</v>
      </c>
      <c r="C333" s="13">
        <v>-1</v>
      </c>
      <c r="D333" s="14">
        <v>1756.2332284666211</v>
      </c>
    </row>
    <row r="334" spans="1:13" x14ac:dyDescent="0.25">
      <c r="A334" s="13">
        <v>1755.2446709999999</v>
      </c>
      <c r="B334" s="14">
        <v>1.6620192371728608</v>
      </c>
      <c r="C334" s="13">
        <v>-2</v>
      </c>
      <c r="D334" s="14">
        <v>3512.503894933242</v>
      </c>
    </row>
    <row r="335" spans="1:13" x14ac:dyDescent="0.25">
      <c r="A335" s="13">
        <v>1755.752082</v>
      </c>
      <c r="B335" s="14">
        <v>1.4739365119130214</v>
      </c>
      <c r="C335" s="13">
        <v>-2</v>
      </c>
      <c r="D335" s="14">
        <v>3513.5187169332421</v>
      </c>
    </row>
    <row r="336" spans="1:13" x14ac:dyDescent="0.25">
      <c r="A336" s="13">
        <v>1756.213745</v>
      </c>
      <c r="B336" s="14">
        <v>0.4577702635597804</v>
      </c>
      <c r="C336" s="13">
        <v>-1</v>
      </c>
      <c r="D336" s="14">
        <v>1757.2210214666211</v>
      </c>
    </row>
    <row r="337" spans="1:13" x14ac:dyDescent="0.25">
      <c r="A337" s="13">
        <v>1756.2368160000001</v>
      </c>
      <c r="B337" s="14">
        <v>0.6422901727620155</v>
      </c>
      <c r="C337" s="13">
        <v>-1</v>
      </c>
      <c r="D337" s="14">
        <v>1757.2440924666212</v>
      </c>
    </row>
    <row r="338" spans="1:13" x14ac:dyDescent="0.25">
      <c r="A338" s="13">
        <v>1907.23938</v>
      </c>
      <c r="B338" s="14">
        <v>1.1019922656513115</v>
      </c>
      <c r="C338" s="13">
        <v>-2</v>
      </c>
      <c r="D338" s="14">
        <v>3816.4933129332421</v>
      </c>
      <c r="E338" s="13" t="s">
        <v>807</v>
      </c>
      <c r="F338" s="13">
        <v>1907.262243533379</v>
      </c>
      <c r="G338" s="13" t="s">
        <v>357</v>
      </c>
      <c r="H338" s="13" t="s">
        <v>69</v>
      </c>
      <c r="I338" s="13" t="s">
        <v>48</v>
      </c>
      <c r="J338" s="16">
        <v>3816.4933129332421</v>
      </c>
      <c r="K338" s="16">
        <v>3816.5390400000001</v>
      </c>
      <c r="L338" s="17">
        <v>-11.981291499638516</v>
      </c>
      <c r="M338" s="13" t="s">
        <v>256</v>
      </c>
    </row>
    <row r="339" spans="1:13" x14ac:dyDescent="0.25">
      <c r="A339" s="13">
        <v>1907.2658570000001</v>
      </c>
      <c r="B339" s="14">
        <v>1.4216529212729323</v>
      </c>
      <c r="C339" s="13">
        <v>-2</v>
      </c>
      <c r="D339" s="14">
        <v>3816.5462669332424</v>
      </c>
      <c r="E339" s="13" t="s">
        <v>807</v>
      </c>
      <c r="F339" s="13">
        <v>1907.262243533379</v>
      </c>
      <c r="G339" s="13" t="s">
        <v>357</v>
      </c>
      <c r="H339" s="13" t="s">
        <v>69</v>
      </c>
      <c r="I339" s="13" t="s">
        <v>48</v>
      </c>
      <c r="J339" s="16">
        <v>3816.5462669332424</v>
      </c>
      <c r="K339" s="16">
        <v>3816.5390400000001</v>
      </c>
      <c r="L339" s="17">
        <v>1.8935829468775864</v>
      </c>
      <c r="M339" s="13" t="s">
        <v>256</v>
      </c>
    </row>
    <row r="340" spans="1:13" x14ac:dyDescent="0.25">
      <c r="A340" s="13">
        <v>1907.73938</v>
      </c>
      <c r="B340" s="14">
        <v>1.4166843717370148</v>
      </c>
      <c r="C340" s="13">
        <v>-2</v>
      </c>
      <c r="D340" s="14">
        <v>3817.4933129332421</v>
      </c>
    </row>
    <row r="341" spans="1:13" x14ac:dyDescent="0.25">
      <c r="A341" s="13">
        <v>1907.770888</v>
      </c>
      <c r="B341" s="14">
        <v>1.5900891524523051</v>
      </c>
      <c r="C341" s="13">
        <v>-2</v>
      </c>
      <c r="D341" s="14">
        <v>3817.5563289332422</v>
      </c>
    </row>
    <row r="342" spans="1:13" x14ac:dyDescent="0.25">
      <c r="A342" s="13">
        <v>1908.2561040000001</v>
      </c>
      <c r="B342" s="14">
        <v>1.0125698162280528</v>
      </c>
      <c r="C342" s="13">
        <v>-2</v>
      </c>
      <c r="D342" s="14">
        <v>3818.5267609332423</v>
      </c>
    </row>
    <row r="343" spans="1:13" x14ac:dyDescent="0.25">
      <c r="A343" s="13">
        <v>1908.269043</v>
      </c>
      <c r="B343" s="14">
        <v>1.2081845673711622</v>
      </c>
      <c r="C343" s="13">
        <v>-2</v>
      </c>
      <c r="D343" s="14">
        <v>3818.5526389332422</v>
      </c>
    </row>
    <row r="344" spans="1:13" x14ac:dyDescent="0.25">
      <c r="A344" s="13">
        <v>1908.2795410000001</v>
      </c>
      <c r="B344" s="14">
        <v>0.72593376840041635</v>
      </c>
      <c r="C344" s="13">
        <v>-1</v>
      </c>
      <c r="D344" s="14">
        <v>1909.2868174666212</v>
      </c>
    </row>
    <row r="345" spans="1:13" x14ac:dyDescent="0.25">
      <c r="A345" s="13">
        <v>1908.7547609999999</v>
      </c>
      <c r="B345" s="14">
        <v>0.4615911714748332</v>
      </c>
      <c r="C345" s="13">
        <v>-2</v>
      </c>
      <c r="D345" s="14">
        <v>3819.524074933242</v>
      </c>
    </row>
    <row r="346" spans="1:13" x14ac:dyDescent="0.25">
      <c r="A346" s="13">
        <v>1909.2514650000001</v>
      </c>
      <c r="B346" s="14">
        <v>0.34332804819537233</v>
      </c>
      <c r="C346" s="13">
        <v>-1</v>
      </c>
      <c r="D346" s="14">
        <v>1910.2587414666211</v>
      </c>
    </row>
    <row r="347" spans="1:13" x14ac:dyDescent="0.25">
      <c r="A347" s="13">
        <v>1909.2680660000001</v>
      </c>
      <c r="B347" s="14">
        <v>0.53781466871399797</v>
      </c>
      <c r="C347" s="13">
        <v>-1</v>
      </c>
      <c r="D347" s="14">
        <v>1910.2753424666212</v>
      </c>
    </row>
    <row r="348" spans="1:13" x14ac:dyDescent="0.25">
      <c r="A348" s="13">
        <v>1909.2879640000001</v>
      </c>
      <c r="B348" s="14">
        <v>0.33379944413460139</v>
      </c>
      <c r="C348" s="13">
        <v>-1</v>
      </c>
      <c r="D348" s="14">
        <v>1910.2952404666212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40C2-BA86-4122-81C0-4D011C07F01D}">
  <sheetPr codeName="Sheet6"/>
  <dimension ref="A1:J1042"/>
  <sheetViews>
    <sheetView workbookViewId="0"/>
  </sheetViews>
  <sheetFormatPr defaultColWidth="9.28515625" defaultRowHeight="15" x14ac:dyDescent="0.25"/>
  <cols>
    <col min="1" max="1" width="10.5703125" style="14" bestFit="1" customWidth="1"/>
    <col min="2" max="2" width="9.28515625" style="17"/>
    <col min="3" max="3" width="9.28515625" style="14"/>
    <col min="4" max="4" width="9.28515625" style="17"/>
    <col min="5" max="6" width="9.28515625" style="13"/>
    <col min="7" max="7" width="9.28515625" style="14"/>
    <col min="8" max="8" width="9.28515625" style="17"/>
    <col min="9" max="16384" width="9.28515625" style="13"/>
  </cols>
  <sheetData>
    <row r="1" spans="1:10" x14ac:dyDescent="0.25">
      <c r="A1" s="14" t="s">
        <v>72</v>
      </c>
      <c r="B1" s="17" t="s">
        <v>100</v>
      </c>
      <c r="C1" s="14" t="s">
        <v>72</v>
      </c>
      <c r="D1" s="17" t="s">
        <v>69</v>
      </c>
      <c r="E1" s="13" t="s">
        <v>103</v>
      </c>
      <c r="F1" s="13" t="s">
        <v>52</v>
      </c>
      <c r="G1" s="14" t="s">
        <v>72</v>
      </c>
      <c r="H1" s="17" t="s">
        <v>68</v>
      </c>
      <c r="I1" s="13" t="s">
        <v>103</v>
      </c>
      <c r="J1" s="13" t="s">
        <v>52</v>
      </c>
    </row>
    <row r="2" spans="1:10" x14ac:dyDescent="0.25">
      <c r="A2" s="14">
        <v>158.91728899999998</v>
      </c>
      <c r="B2" s="17">
        <v>-10</v>
      </c>
      <c r="C2" s="14">
        <v>328.04424353337902</v>
      </c>
      <c r="D2" s="17">
        <v>-10</v>
      </c>
      <c r="G2" s="14">
        <v>310.03368353337902</v>
      </c>
      <c r="H2" s="17">
        <v>-10</v>
      </c>
    </row>
    <row r="3" spans="1:10" x14ac:dyDescent="0.25">
      <c r="A3" s="14">
        <v>158.91828899999999</v>
      </c>
      <c r="B3" s="17">
        <v>0.58708695654712184</v>
      </c>
      <c r="C3" s="14">
        <v>328.04524353337899</v>
      </c>
      <c r="D3" s="17">
        <v>16.29342948228771</v>
      </c>
      <c r="E3" s="13" t="s">
        <v>224</v>
      </c>
      <c r="F3" s="13" t="s">
        <v>346</v>
      </c>
      <c r="G3" s="14">
        <v>310.034683533379</v>
      </c>
      <c r="H3" s="17">
        <v>10.142162470922031</v>
      </c>
      <c r="I3" s="13" t="s">
        <v>178</v>
      </c>
      <c r="J3" s="13" t="s">
        <v>360</v>
      </c>
    </row>
    <row r="4" spans="1:10" x14ac:dyDescent="0.25">
      <c r="A4" s="14">
        <v>158.91928899999999</v>
      </c>
      <c r="B4" s="17">
        <v>-10</v>
      </c>
      <c r="C4" s="14">
        <v>328.04624353337897</v>
      </c>
      <c r="D4" s="17">
        <v>-10</v>
      </c>
      <c r="G4" s="14">
        <v>310.03568353337897</v>
      </c>
      <c r="H4" s="17">
        <v>-10</v>
      </c>
    </row>
    <row r="5" spans="1:10" x14ac:dyDescent="0.25">
      <c r="A5" s="14">
        <v>158.92430400000001</v>
      </c>
      <c r="B5" s="17">
        <v>-10</v>
      </c>
      <c r="C5" s="14">
        <v>346.05480353337902</v>
      </c>
      <c r="D5" s="17">
        <v>-10</v>
      </c>
      <c r="G5" s="14">
        <v>390.00001353337899</v>
      </c>
      <c r="H5" s="17">
        <v>-10</v>
      </c>
    </row>
    <row r="6" spans="1:10" x14ac:dyDescent="0.25">
      <c r="A6" s="14">
        <v>158.92530400000001</v>
      </c>
      <c r="B6" s="17">
        <v>19.67770854764365</v>
      </c>
      <c r="C6" s="14">
        <v>346.05580353337899</v>
      </c>
      <c r="D6" s="17">
        <v>7.41016943579515</v>
      </c>
      <c r="E6" s="13" t="s">
        <v>177</v>
      </c>
      <c r="F6" s="13" t="s">
        <v>346</v>
      </c>
      <c r="G6" s="14">
        <v>390.00101353337897</v>
      </c>
      <c r="H6" s="17">
        <v>4.4630797458090106</v>
      </c>
      <c r="I6" s="13" t="s">
        <v>226</v>
      </c>
      <c r="J6" s="13" t="s">
        <v>360</v>
      </c>
    </row>
    <row r="7" spans="1:10" x14ac:dyDescent="0.25">
      <c r="A7" s="14">
        <v>158.92630400000002</v>
      </c>
      <c r="B7" s="17">
        <v>-10</v>
      </c>
      <c r="C7" s="14">
        <v>346.05680353337897</v>
      </c>
      <c r="D7" s="17">
        <v>-10</v>
      </c>
      <c r="G7" s="14">
        <v>390.00201353337894</v>
      </c>
      <c r="H7" s="17">
        <v>-10</v>
      </c>
    </row>
    <row r="8" spans="1:10" x14ac:dyDescent="0.25">
      <c r="A8" s="14">
        <v>174.979096</v>
      </c>
      <c r="B8" s="17">
        <v>-10</v>
      </c>
      <c r="C8" s="14">
        <v>442.07593353337899</v>
      </c>
      <c r="D8" s="17">
        <v>-10</v>
      </c>
      <c r="G8" s="14">
        <v>408.01057353337899</v>
      </c>
      <c r="H8" s="17">
        <v>-10</v>
      </c>
    </row>
    <row r="9" spans="1:10" x14ac:dyDescent="0.25">
      <c r="A9" s="14">
        <v>174.980096</v>
      </c>
      <c r="B9" s="17">
        <v>9.0016495920123276</v>
      </c>
      <c r="C9" s="14">
        <v>442.07693353337896</v>
      </c>
      <c r="D9" s="17">
        <v>1.2475626654247653</v>
      </c>
      <c r="E9" s="13" t="s">
        <v>225</v>
      </c>
      <c r="F9" s="13" t="s">
        <v>347</v>
      </c>
      <c r="G9" s="14">
        <v>408.01157353337896</v>
      </c>
      <c r="H9" s="17">
        <v>23.59041335491602</v>
      </c>
      <c r="I9" s="13" t="s">
        <v>227</v>
      </c>
      <c r="J9" s="13" t="s">
        <v>360</v>
      </c>
    </row>
    <row r="10" spans="1:10" x14ac:dyDescent="0.25">
      <c r="A10" s="14">
        <v>174.98109600000001</v>
      </c>
      <c r="B10" s="17">
        <v>-10</v>
      </c>
      <c r="C10" s="14">
        <v>442.07793353337894</v>
      </c>
      <c r="D10" s="17">
        <v>-10</v>
      </c>
      <c r="G10" s="14">
        <v>408.01257353337894</v>
      </c>
      <c r="H10" s="17">
        <v>-10</v>
      </c>
    </row>
    <row r="11" spans="1:10" x14ac:dyDescent="0.25">
      <c r="A11" s="14">
        <v>175.285438</v>
      </c>
      <c r="B11" s="17">
        <v>-10</v>
      </c>
      <c r="C11" s="14">
        <v>442.07593353337899</v>
      </c>
      <c r="D11" s="17">
        <v>-10</v>
      </c>
      <c r="G11" s="14">
        <v>639.08620353337903</v>
      </c>
      <c r="H11" s="17">
        <v>-10</v>
      </c>
    </row>
    <row r="12" spans="1:10" x14ac:dyDescent="0.25">
      <c r="A12" s="14">
        <v>175.286438</v>
      </c>
      <c r="B12" s="17">
        <v>0.31609741167453248</v>
      </c>
      <c r="C12" s="14">
        <v>442.07693353337896</v>
      </c>
      <c r="D12" s="17">
        <v>1.7076303077386141</v>
      </c>
      <c r="E12" s="13" t="s">
        <v>225</v>
      </c>
      <c r="F12" s="13" t="s">
        <v>347</v>
      </c>
      <c r="G12" s="14">
        <v>639.08720353337901</v>
      </c>
      <c r="H12" s="17">
        <v>7.110769047334772</v>
      </c>
      <c r="I12" s="13" t="s">
        <v>180</v>
      </c>
      <c r="J12" s="13" t="s">
        <v>361</v>
      </c>
    </row>
    <row r="13" spans="1:10" x14ac:dyDescent="0.25">
      <c r="A13" s="14">
        <v>175.28743800000001</v>
      </c>
      <c r="B13" s="17">
        <v>-10</v>
      </c>
      <c r="C13" s="14">
        <v>442.07793353337894</v>
      </c>
      <c r="D13" s="17">
        <v>-10</v>
      </c>
      <c r="G13" s="14">
        <v>639.08820353337899</v>
      </c>
      <c r="H13" s="17">
        <v>-10</v>
      </c>
    </row>
    <row r="14" spans="1:10" x14ac:dyDescent="0.25">
      <c r="A14" s="14">
        <v>175.98277999999999</v>
      </c>
      <c r="B14" s="17">
        <v>-10</v>
      </c>
      <c r="C14" s="14">
        <v>595.14099353337906</v>
      </c>
      <c r="D14" s="17">
        <v>-10</v>
      </c>
      <c r="G14" s="14">
        <v>719.05253353337901</v>
      </c>
      <c r="H14" s="17">
        <v>-10</v>
      </c>
    </row>
    <row r="15" spans="1:10" x14ac:dyDescent="0.25">
      <c r="A15" s="14">
        <v>175.98378</v>
      </c>
      <c r="B15" s="17">
        <v>0.23952239558340363</v>
      </c>
      <c r="C15" s="14">
        <v>595.14199353337904</v>
      </c>
      <c r="D15" s="17">
        <v>0.81980096377348288</v>
      </c>
      <c r="E15" s="13" t="s">
        <v>228</v>
      </c>
      <c r="F15" s="13" t="s">
        <v>347</v>
      </c>
      <c r="G15" s="14">
        <v>719.05353353337898</v>
      </c>
      <c r="H15" s="17">
        <v>5.9783719654594938</v>
      </c>
      <c r="I15" s="13" t="s">
        <v>232</v>
      </c>
      <c r="J15" s="13" t="s">
        <v>361</v>
      </c>
    </row>
    <row r="16" spans="1:10" x14ac:dyDescent="0.25">
      <c r="A16" s="14">
        <v>175.98478</v>
      </c>
      <c r="B16" s="17">
        <v>-10</v>
      </c>
      <c r="C16" s="14">
        <v>595.14299353337901</v>
      </c>
      <c r="D16" s="17">
        <v>-10</v>
      </c>
      <c r="G16" s="14">
        <v>719.05453353337896</v>
      </c>
      <c r="H16" s="17">
        <v>-10</v>
      </c>
    </row>
    <row r="17" spans="1:10" x14ac:dyDescent="0.25">
      <c r="A17" s="14">
        <v>176.93483699999999</v>
      </c>
      <c r="B17" s="17">
        <v>-10</v>
      </c>
      <c r="C17" s="14">
        <v>595.14099353337906</v>
      </c>
      <c r="D17" s="17">
        <v>-10</v>
      </c>
      <c r="G17" s="14">
        <v>737.06309353337906</v>
      </c>
      <c r="H17" s="17">
        <v>-10</v>
      </c>
    </row>
    <row r="18" spans="1:10" x14ac:dyDescent="0.25">
      <c r="A18" s="14">
        <v>176.93583699999999</v>
      </c>
      <c r="B18" s="17">
        <v>2.4966216546443074</v>
      </c>
      <c r="C18" s="14">
        <v>595.14199353337904</v>
      </c>
      <c r="D18" s="17">
        <v>1.0184020683282451</v>
      </c>
      <c r="E18" s="13" t="s">
        <v>228</v>
      </c>
      <c r="F18" s="13" t="s">
        <v>347</v>
      </c>
      <c r="G18" s="14">
        <v>737.06409353337904</v>
      </c>
      <c r="H18" s="17">
        <v>5.3284399749571518</v>
      </c>
      <c r="I18" s="13" t="s">
        <v>181</v>
      </c>
      <c r="J18" s="13" t="s">
        <v>361</v>
      </c>
    </row>
    <row r="19" spans="1:10" x14ac:dyDescent="0.25">
      <c r="A19" s="14">
        <v>176.936837</v>
      </c>
      <c r="B19" s="17">
        <v>-10</v>
      </c>
      <c r="C19" s="14">
        <v>595.14299353337901</v>
      </c>
      <c r="D19" s="17">
        <v>-10</v>
      </c>
      <c r="G19" s="14">
        <v>737.06509353337901</v>
      </c>
      <c r="H19" s="17">
        <v>-10</v>
      </c>
    </row>
    <row r="20" spans="1:10" x14ac:dyDescent="0.25">
      <c r="A20" s="14">
        <v>180.53139400000001</v>
      </c>
      <c r="B20" s="17">
        <v>-10</v>
      </c>
      <c r="C20" s="14">
        <v>657.09676353337909</v>
      </c>
      <c r="D20" s="17">
        <v>-10</v>
      </c>
      <c r="G20" s="14">
        <v>737.06309353337906</v>
      </c>
      <c r="H20" s="17">
        <v>-10</v>
      </c>
    </row>
    <row r="21" spans="1:10" x14ac:dyDescent="0.25">
      <c r="A21" s="14">
        <v>180.53239400000001</v>
      </c>
      <c r="B21" s="17">
        <v>0.27053458946853853</v>
      </c>
      <c r="C21" s="14">
        <v>657.09776353337907</v>
      </c>
      <c r="D21" s="17">
        <v>7.4416286977821944</v>
      </c>
      <c r="E21" s="13" t="s">
        <v>229</v>
      </c>
      <c r="F21" s="13" t="s">
        <v>347</v>
      </c>
      <c r="G21" s="14">
        <v>737.06409353337904</v>
      </c>
      <c r="H21" s="17">
        <v>8.4824935848393093</v>
      </c>
      <c r="I21" s="13" t="s">
        <v>181</v>
      </c>
      <c r="J21" s="13" t="s">
        <v>361</v>
      </c>
    </row>
    <row r="22" spans="1:10" x14ac:dyDescent="0.25">
      <c r="A22" s="14">
        <v>180.53339400000002</v>
      </c>
      <c r="B22" s="17">
        <v>-10</v>
      </c>
      <c r="C22" s="14">
        <v>657.09876353337904</v>
      </c>
      <c r="D22" s="17">
        <v>-10</v>
      </c>
      <c r="G22" s="14">
        <v>737.06509353337901</v>
      </c>
      <c r="H22" s="17">
        <v>-10</v>
      </c>
    </row>
    <row r="23" spans="1:10" x14ac:dyDescent="0.25">
      <c r="A23" s="14">
        <v>181.659716</v>
      </c>
      <c r="B23" s="17">
        <v>-10</v>
      </c>
      <c r="C23" s="14">
        <v>657.09676353337909</v>
      </c>
      <c r="D23" s="17">
        <v>-10</v>
      </c>
      <c r="G23" s="14">
        <v>1042.104383533379</v>
      </c>
      <c r="H23" s="17">
        <v>-10</v>
      </c>
    </row>
    <row r="24" spans="1:10" x14ac:dyDescent="0.25">
      <c r="A24" s="14">
        <v>181.66071600000001</v>
      </c>
      <c r="B24" s="17">
        <v>0.7815398826791059</v>
      </c>
      <c r="C24" s="14">
        <v>657.09776353337907</v>
      </c>
      <c r="D24" s="17">
        <v>11.878452233679502</v>
      </c>
      <c r="E24" s="13" t="s">
        <v>229</v>
      </c>
      <c r="F24" s="13" t="s">
        <v>347</v>
      </c>
      <c r="G24" s="14">
        <v>1042.1053835333789</v>
      </c>
      <c r="H24" s="17">
        <v>0.74133578027089786</v>
      </c>
      <c r="I24" s="13" t="s">
        <v>771</v>
      </c>
      <c r="J24" s="13" t="s">
        <v>362</v>
      </c>
    </row>
    <row r="25" spans="1:10" x14ac:dyDescent="0.25">
      <c r="A25" s="14">
        <v>181.66171600000001</v>
      </c>
      <c r="B25" s="17">
        <v>-10</v>
      </c>
      <c r="C25" s="14">
        <v>657.09876353337904</v>
      </c>
      <c r="D25" s="17">
        <v>-10</v>
      </c>
      <c r="G25" s="14">
        <v>1042.1063835333789</v>
      </c>
      <c r="H25" s="17">
        <v>-10</v>
      </c>
    </row>
    <row r="26" spans="1:10" x14ac:dyDescent="0.25">
      <c r="A26" s="14">
        <v>184.16702999999998</v>
      </c>
      <c r="B26" s="17">
        <v>-10</v>
      </c>
      <c r="C26" s="14">
        <v>675.10732353337903</v>
      </c>
      <c r="D26" s="17">
        <v>-10</v>
      </c>
      <c r="G26" s="14">
        <v>1042.104383533379</v>
      </c>
      <c r="H26" s="17">
        <v>-10</v>
      </c>
    </row>
    <row r="27" spans="1:10" x14ac:dyDescent="0.25">
      <c r="A27" s="14">
        <v>184.16802999999999</v>
      </c>
      <c r="B27" s="17">
        <v>0.2972049104407839</v>
      </c>
      <c r="C27" s="14">
        <v>675.10832353337901</v>
      </c>
      <c r="D27" s="17">
        <v>2.4578890813634566</v>
      </c>
      <c r="E27" s="13" t="s">
        <v>230</v>
      </c>
      <c r="F27" s="13" t="s">
        <v>347</v>
      </c>
      <c r="G27" s="14">
        <v>1042.1053835333789</v>
      </c>
      <c r="H27" s="17">
        <v>0.53513833078458561</v>
      </c>
      <c r="I27" s="13" t="s">
        <v>771</v>
      </c>
      <c r="J27" s="13" t="s">
        <v>362</v>
      </c>
    </row>
    <row r="28" spans="1:10" x14ac:dyDescent="0.25">
      <c r="A28" s="14">
        <v>184.16902999999999</v>
      </c>
      <c r="B28" s="17">
        <v>-10</v>
      </c>
      <c r="C28" s="14">
        <v>675.10932353337898</v>
      </c>
      <c r="D28" s="17">
        <v>-10</v>
      </c>
      <c r="G28" s="14">
        <v>1042.1063835333789</v>
      </c>
      <c r="H28" s="17">
        <v>-10</v>
      </c>
    </row>
    <row r="29" spans="1:10" x14ac:dyDescent="0.25">
      <c r="A29" s="14">
        <v>190.03609399999999</v>
      </c>
      <c r="B29" s="17">
        <v>-10</v>
      </c>
      <c r="C29" s="14">
        <v>675.10732353337903</v>
      </c>
      <c r="D29" s="17">
        <v>-10</v>
      </c>
      <c r="G29" s="14">
        <v>1264.1684335333789</v>
      </c>
      <c r="H29" s="17">
        <v>-10</v>
      </c>
    </row>
    <row r="30" spans="1:10" x14ac:dyDescent="0.25">
      <c r="A30" s="14">
        <v>190.037094</v>
      </c>
      <c r="B30" s="17">
        <v>0.29659420899523115</v>
      </c>
      <c r="C30" s="14">
        <v>675.10832353337901</v>
      </c>
      <c r="D30" s="17">
        <v>3.7481541526267566</v>
      </c>
      <c r="E30" s="13" t="s">
        <v>230</v>
      </c>
      <c r="F30" s="13" t="s">
        <v>347</v>
      </c>
      <c r="G30" s="14">
        <v>1264.1694335333789</v>
      </c>
      <c r="H30" s="17">
        <v>0.47134844808080917</v>
      </c>
      <c r="I30" s="13" t="s">
        <v>793</v>
      </c>
      <c r="J30" s="13" t="s">
        <v>363</v>
      </c>
    </row>
    <row r="31" spans="1:10" x14ac:dyDescent="0.25">
      <c r="A31" s="14">
        <v>190.038094</v>
      </c>
      <c r="B31" s="17">
        <v>-10</v>
      </c>
      <c r="C31" s="14">
        <v>675.10932353337898</v>
      </c>
      <c r="D31" s="17">
        <v>-10</v>
      </c>
      <c r="G31" s="14">
        <v>1264.1704335333789</v>
      </c>
      <c r="H31" s="17">
        <v>-10</v>
      </c>
    </row>
    <row r="32" spans="1:10" x14ac:dyDescent="0.25">
      <c r="A32" s="14">
        <v>190.84876199999999</v>
      </c>
      <c r="B32" s="17">
        <v>-10</v>
      </c>
      <c r="C32" s="14">
        <v>771.128453533379</v>
      </c>
      <c r="D32" s="17">
        <v>-10</v>
      </c>
      <c r="G32" s="14">
        <v>1344.1347735333788</v>
      </c>
      <c r="H32" s="17">
        <v>-10</v>
      </c>
    </row>
    <row r="33" spans="1:10" x14ac:dyDescent="0.25">
      <c r="A33" s="14">
        <v>190.849762</v>
      </c>
      <c r="B33" s="17">
        <v>0.29519576300969175</v>
      </c>
      <c r="C33" s="14">
        <v>771.12945353337898</v>
      </c>
      <c r="D33" s="17">
        <v>3.4012472788123285</v>
      </c>
      <c r="E33" s="13" t="s">
        <v>231</v>
      </c>
      <c r="F33" s="13" t="s">
        <v>348</v>
      </c>
      <c r="G33" s="14">
        <v>1344.1357735333788</v>
      </c>
      <c r="H33" s="17">
        <v>0.38849374311494134</v>
      </c>
      <c r="I33" s="13" t="s">
        <v>796</v>
      </c>
      <c r="J33" s="13" t="s">
        <v>363</v>
      </c>
    </row>
    <row r="34" spans="1:10" x14ac:dyDescent="0.25">
      <c r="A34" s="14">
        <v>190.850762</v>
      </c>
      <c r="B34" s="17">
        <v>-10</v>
      </c>
      <c r="C34" s="14">
        <v>771.13045353337895</v>
      </c>
      <c r="D34" s="17">
        <v>-10</v>
      </c>
      <c r="G34" s="14">
        <v>1344.1367735333788</v>
      </c>
      <c r="H34" s="17">
        <v>-10</v>
      </c>
    </row>
    <row r="35" spans="1:10" x14ac:dyDescent="0.25">
      <c r="A35" s="14">
        <v>192.98961599999998</v>
      </c>
      <c r="B35" s="17">
        <v>-10</v>
      </c>
      <c r="C35" s="14">
        <v>882.17172353337901</v>
      </c>
      <c r="D35" s="17">
        <v>-10</v>
      </c>
      <c r="G35" s="14">
        <v>1682.1862835333789</v>
      </c>
      <c r="H35" s="17">
        <v>-10</v>
      </c>
    </row>
    <row r="36" spans="1:10" x14ac:dyDescent="0.25">
      <c r="A36" s="14">
        <v>192.99061599999999</v>
      </c>
      <c r="B36" s="17">
        <v>4.4436733130108177</v>
      </c>
      <c r="C36" s="14">
        <v>882.17272353337898</v>
      </c>
      <c r="D36" s="17">
        <v>2.4598708094835988</v>
      </c>
      <c r="E36" s="13" t="s">
        <v>233</v>
      </c>
      <c r="F36" s="13" t="s">
        <v>348</v>
      </c>
      <c r="G36" s="14">
        <v>1682.1872835333788</v>
      </c>
      <c r="H36" s="17">
        <v>0.53474192174122293</v>
      </c>
      <c r="I36" s="13" t="s">
        <v>805</v>
      </c>
      <c r="J36" s="13" t="s">
        <v>364</v>
      </c>
    </row>
    <row r="37" spans="1:10" x14ac:dyDescent="0.25">
      <c r="A37" s="14">
        <v>192.99161599999999</v>
      </c>
      <c r="B37" s="17">
        <v>-10</v>
      </c>
      <c r="C37" s="14">
        <v>882.17372353337896</v>
      </c>
      <c r="D37" s="17">
        <v>-10</v>
      </c>
      <c r="G37" s="14">
        <v>1682.1882835333788</v>
      </c>
      <c r="H37" s="17">
        <v>-10</v>
      </c>
    </row>
    <row r="38" spans="1:10" x14ac:dyDescent="0.25">
      <c r="A38" s="14">
        <v>196.896705</v>
      </c>
      <c r="B38" s="17">
        <v>-10</v>
      </c>
      <c r="C38" s="14">
        <v>900.18228353337906</v>
      </c>
      <c r="D38" s="17">
        <v>-10</v>
      </c>
    </row>
    <row r="39" spans="1:10" x14ac:dyDescent="0.25">
      <c r="A39" s="14">
        <v>196.897705</v>
      </c>
      <c r="B39" s="17">
        <v>0.29174491264054009</v>
      </c>
      <c r="C39" s="14">
        <v>900.18328353337904</v>
      </c>
      <c r="D39" s="17">
        <v>0.39236105411635397</v>
      </c>
      <c r="E39" s="13" t="s">
        <v>768</v>
      </c>
      <c r="F39" s="13" t="s">
        <v>348</v>
      </c>
    </row>
    <row r="40" spans="1:10" x14ac:dyDescent="0.25">
      <c r="A40" s="14">
        <v>196.89870500000001</v>
      </c>
      <c r="B40" s="17">
        <v>-10</v>
      </c>
      <c r="C40" s="14">
        <v>900.18428353337902</v>
      </c>
      <c r="D40" s="17">
        <v>-10</v>
      </c>
    </row>
    <row r="41" spans="1:10" x14ac:dyDescent="0.25">
      <c r="A41" s="14">
        <v>208.815864</v>
      </c>
      <c r="B41" s="17">
        <v>-10</v>
      </c>
      <c r="C41" s="14">
        <v>900.18228353337906</v>
      </c>
      <c r="D41" s="17">
        <v>-10</v>
      </c>
    </row>
    <row r="42" spans="1:10" x14ac:dyDescent="0.25">
      <c r="A42" s="14">
        <v>208.81686400000001</v>
      </c>
      <c r="B42" s="17">
        <v>0.26686781345831817</v>
      </c>
      <c r="C42" s="14">
        <v>900.18328353337904</v>
      </c>
      <c r="D42" s="17">
        <v>1.1248237035297357</v>
      </c>
      <c r="E42" s="13" t="s">
        <v>768</v>
      </c>
      <c r="F42" s="13" t="s">
        <v>348</v>
      </c>
    </row>
    <row r="43" spans="1:10" x14ac:dyDescent="0.25">
      <c r="A43" s="14">
        <v>208.81786400000001</v>
      </c>
      <c r="B43" s="17">
        <v>-10</v>
      </c>
      <c r="C43" s="14">
        <v>900.18428353337902</v>
      </c>
      <c r="D43" s="17">
        <v>-10</v>
      </c>
    </row>
    <row r="44" spans="1:10" x14ac:dyDescent="0.25">
      <c r="A44" s="14">
        <v>211.00036800000001</v>
      </c>
      <c r="B44" s="17">
        <v>-10</v>
      </c>
      <c r="C44" s="14">
        <v>962.13805353337909</v>
      </c>
      <c r="D44" s="17">
        <v>-10</v>
      </c>
    </row>
    <row r="45" spans="1:10" x14ac:dyDescent="0.25">
      <c r="A45" s="14">
        <v>211.00136800000001</v>
      </c>
      <c r="B45" s="17">
        <v>13.743411416799429</v>
      </c>
      <c r="C45" s="14">
        <v>962.13905353337907</v>
      </c>
      <c r="D45" s="17">
        <v>4.7475347702586834</v>
      </c>
      <c r="E45" s="13" t="s">
        <v>179</v>
      </c>
      <c r="F45" s="13" t="s">
        <v>348</v>
      </c>
    </row>
    <row r="46" spans="1:10" x14ac:dyDescent="0.25">
      <c r="A46" s="14">
        <v>211.00236800000002</v>
      </c>
      <c r="B46" s="17">
        <v>-10</v>
      </c>
      <c r="C46" s="14">
        <v>962.14005353337905</v>
      </c>
      <c r="D46" s="17">
        <v>-10</v>
      </c>
    </row>
    <row r="47" spans="1:10" x14ac:dyDescent="0.25">
      <c r="A47" s="14">
        <v>212.00363899999999</v>
      </c>
      <c r="B47" s="17">
        <v>-10</v>
      </c>
      <c r="C47" s="14">
        <v>962.13805353337909</v>
      </c>
      <c r="D47" s="17">
        <v>-10</v>
      </c>
    </row>
    <row r="48" spans="1:10" x14ac:dyDescent="0.25">
      <c r="A48" s="14">
        <v>212.004639</v>
      </c>
      <c r="B48" s="17">
        <v>0.34480303482257763</v>
      </c>
      <c r="C48" s="14">
        <v>962.13905353337907</v>
      </c>
      <c r="D48" s="17">
        <v>7.7059269126351433</v>
      </c>
      <c r="E48" s="13" t="s">
        <v>179</v>
      </c>
      <c r="F48" s="13" t="s">
        <v>348</v>
      </c>
    </row>
    <row r="49" spans="1:6" x14ac:dyDescent="0.25">
      <c r="A49" s="14">
        <v>212.005639</v>
      </c>
      <c r="B49" s="17">
        <v>-10</v>
      </c>
      <c r="C49" s="14">
        <v>962.14005353337905</v>
      </c>
      <c r="D49" s="17">
        <v>-10</v>
      </c>
    </row>
    <row r="50" spans="1:6" x14ac:dyDescent="0.25">
      <c r="A50" s="14">
        <v>212.93514199999998</v>
      </c>
      <c r="B50" s="17">
        <v>-10</v>
      </c>
      <c r="C50" s="14">
        <v>1117.652743533379</v>
      </c>
      <c r="D50" s="17">
        <v>-10</v>
      </c>
    </row>
    <row r="51" spans="1:6" x14ac:dyDescent="0.25">
      <c r="A51" s="14">
        <v>212.93614199999999</v>
      </c>
      <c r="B51" s="17">
        <v>0.34187218096926097</v>
      </c>
      <c r="C51" s="14">
        <v>1117.6537435333789</v>
      </c>
      <c r="D51" s="17">
        <v>1.8213678502499946</v>
      </c>
      <c r="E51" s="13" t="s">
        <v>791</v>
      </c>
      <c r="F51" s="13" t="s">
        <v>352</v>
      </c>
    </row>
    <row r="52" spans="1:6" x14ac:dyDescent="0.25">
      <c r="A52" s="14">
        <v>212.93714199999999</v>
      </c>
      <c r="B52" s="17">
        <v>-10</v>
      </c>
      <c r="C52" s="14">
        <v>1117.6547435333789</v>
      </c>
      <c r="D52" s="17">
        <v>-10</v>
      </c>
    </row>
    <row r="53" spans="1:6" x14ac:dyDescent="0.25">
      <c r="A53" s="14">
        <v>214.01281900000001</v>
      </c>
      <c r="B53" s="17">
        <v>-10</v>
      </c>
      <c r="C53" s="14">
        <v>1282.179003533379</v>
      </c>
      <c r="D53" s="17">
        <v>-10</v>
      </c>
    </row>
    <row r="54" spans="1:6" x14ac:dyDescent="0.25">
      <c r="A54" s="14">
        <v>214.01381900000001</v>
      </c>
      <c r="B54" s="17">
        <v>2.2812861801463677</v>
      </c>
      <c r="C54" s="14">
        <v>1282.180003533379</v>
      </c>
      <c r="D54" s="17">
        <v>4.6867549850124783</v>
      </c>
      <c r="E54" s="13" t="s">
        <v>795</v>
      </c>
      <c r="F54" s="13" t="s">
        <v>353</v>
      </c>
    </row>
    <row r="55" spans="1:6" x14ac:dyDescent="0.25">
      <c r="A55" s="14">
        <v>214.01481900000002</v>
      </c>
      <c r="B55" s="17">
        <v>-10</v>
      </c>
      <c r="C55" s="14">
        <v>1282.181003533379</v>
      </c>
      <c r="D55" s="17">
        <v>-10</v>
      </c>
    </row>
    <row r="56" spans="1:6" x14ac:dyDescent="0.25">
      <c r="A56" s="14">
        <v>248.29749200000001</v>
      </c>
      <c r="B56" s="17">
        <v>-10</v>
      </c>
      <c r="C56" s="14">
        <v>1380.8555768667122</v>
      </c>
      <c r="D56" s="17">
        <v>-10</v>
      </c>
    </row>
    <row r="57" spans="1:6" x14ac:dyDescent="0.25">
      <c r="A57" s="14">
        <v>248.29849200000001</v>
      </c>
      <c r="B57" s="17">
        <v>0.26130716038763335</v>
      </c>
      <c r="C57" s="14">
        <v>1380.8565768667122</v>
      </c>
      <c r="D57" s="17">
        <v>1.7677575748933132</v>
      </c>
      <c r="E57" s="13" t="s">
        <v>797</v>
      </c>
      <c r="F57" s="13" t="s">
        <v>358</v>
      </c>
    </row>
    <row r="58" spans="1:6" x14ac:dyDescent="0.25">
      <c r="A58" s="14">
        <v>248.29949200000001</v>
      </c>
      <c r="B58" s="17">
        <v>-10</v>
      </c>
      <c r="C58" s="14">
        <v>1380.8575768667122</v>
      </c>
      <c r="D58" s="17">
        <v>-10</v>
      </c>
    </row>
    <row r="59" spans="1:6" x14ac:dyDescent="0.25">
      <c r="A59" s="14">
        <v>253.848457</v>
      </c>
      <c r="B59" s="17">
        <v>-10</v>
      </c>
      <c r="C59" s="14">
        <v>1434.6996485333789</v>
      </c>
      <c r="D59" s="17">
        <v>-10</v>
      </c>
    </row>
    <row r="60" spans="1:6" x14ac:dyDescent="0.25">
      <c r="A60" s="14">
        <v>253.849457</v>
      </c>
      <c r="B60" s="17">
        <v>0.26002711180435228</v>
      </c>
      <c r="C60" s="14">
        <v>1434.7006485333789</v>
      </c>
      <c r="D60" s="17">
        <v>0.89860216277512173</v>
      </c>
      <c r="E60" s="13" t="s">
        <v>799</v>
      </c>
      <c r="F60" s="13" t="s">
        <v>354</v>
      </c>
    </row>
    <row r="61" spans="1:6" x14ac:dyDescent="0.25">
      <c r="A61" s="14">
        <v>253.85045700000001</v>
      </c>
      <c r="B61" s="17">
        <v>-10</v>
      </c>
      <c r="C61" s="14">
        <v>1434.7016485333788</v>
      </c>
      <c r="D61" s="17">
        <v>-10</v>
      </c>
    </row>
    <row r="62" spans="1:6" x14ac:dyDescent="0.25">
      <c r="A62" s="14">
        <v>254.94571999999999</v>
      </c>
      <c r="B62" s="17">
        <v>-10</v>
      </c>
      <c r="C62" s="14">
        <v>1445.521583533379</v>
      </c>
      <c r="D62" s="17">
        <v>-10</v>
      </c>
    </row>
    <row r="63" spans="1:6" x14ac:dyDescent="0.25">
      <c r="A63" s="14">
        <v>254.94672</v>
      </c>
      <c r="B63" s="17">
        <v>3.8784815702409756</v>
      </c>
      <c r="C63" s="14">
        <v>1445.522583533379</v>
      </c>
      <c r="D63" s="17">
        <v>2.2199244919450569</v>
      </c>
      <c r="E63" s="13" t="s">
        <v>800</v>
      </c>
      <c r="F63" s="13" t="s">
        <v>430</v>
      </c>
    </row>
    <row r="64" spans="1:6" x14ac:dyDescent="0.25">
      <c r="A64" s="14">
        <v>254.94772</v>
      </c>
      <c r="B64" s="17">
        <v>-10</v>
      </c>
      <c r="C64" s="14">
        <v>1445.523583533379</v>
      </c>
      <c r="D64" s="17">
        <v>-10</v>
      </c>
    </row>
    <row r="65" spans="1:6" x14ac:dyDescent="0.25">
      <c r="A65" s="14">
        <v>261.02832700000005</v>
      </c>
      <c r="B65" s="17">
        <v>-10</v>
      </c>
      <c r="C65" s="14">
        <v>1445.521583533379</v>
      </c>
      <c r="D65" s="17">
        <v>-10</v>
      </c>
    </row>
    <row r="66" spans="1:6" x14ac:dyDescent="0.25">
      <c r="A66" s="14">
        <v>261.02932700000002</v>
      </c>
      <c r="B66" s="17">
        <v>0.38721738698868041</v>
      </c>
      <c r="C66" s="14">
        <v>1445.522583533379</v>
      </c>
      <c r="D66" s="17">
        <v>3.7682944846579081</v>
      </c>
      <c r="E66" s="13" t="s">
        <v>800</v>
      </c>
      <c r="F66" s="13" t="s">
        <v>430</v>
      </c>
    </row>
    <row r="67" spans="1:6" x14ac:dyDescent="0.25">
      <c r="A67" s="14">
        <v>261.030327</v>
      </c>
      <c r="B67" s="17">
        <v>-10</v>
      </c>
      <c r="C67" s="14">
        <v>1445.523583533379</v>
      </c>
      <c r="D67" s="17">
        <v>-10</v>
      </c>
    </row>
    <row r="68" spans="1:6" x14ac:dyDescent="0.25">
      <c r="A68" s="14">
        <v>272.95635300000004</v>
      </c>
      <c r="B68" s="17">
        <v>-10</v>
      </c>
      <c r="C68" s="14">
        <v>1453.5253302000456</v>
      </c>
      <c r="D68" s="17">
        <v>-10</v>
      </c>
    </row>
    <row r="69" spans="1:6" x14ac:dyDescent="0.25">
      <c r="A69" s="14">
        <v>272.95735300000001</v>
      </c>
      <c r="B69" s="17">
        <v>14.00732783579898</v>
      </c>
      <c r="C69" s="14">
        <v>1453.5263302000455</v>
      </c>
      <c r="D69" s="17">
        <v>1.2138621431535623</v>
      </c>
      <c r="E69" s="13" t="s">
        <v>801</v>
      </c>
      <c r="F69" s="13" t="s">
        <v>430</v>
      </c>
    </row>
    <row r="70" spans="1:6" x14ac:dyDescent="0.25">
      <c r="A70" s="14">
        <v>272.95835299999999</v>
      </c>
      <c r="B70" s="17">
        <v>-10</v>
      </c>
      <c r="C70" s="14">
        <v>1453.5273302000455</v>
      </c>
      <c r="D70" s="17">
        <v>-10</v>
      </c>
    </row>
    <row r="71" spans="1:6" x14ac:dyDescent="0.25">
      <c r="A71" s="14">
        <v>273.95960200000002</v>
      </c>
      <c r="B71" s="17">
        <v>-10</v>
      </c>
      <c r="C71" s="14">
        <v>1453.5253302000456</v>
      </c>
      <c r="D71" s="17">
        <v>-10</v>
      </c>
    </row>
    <row r="72" spans="1:6" x14ac:dyDescent="0.25">
      <c r="A72" s="14">
        <v>273.96060199999999</v>
      </c>
      <c r="B72" s="17">
        <v>0.49743552321264956</v>
      </c>
      <c r="C72" s="14">
        <v>1453.5263302000455</v>
      </c>
      <c r="D72" s="17">
        <v>1.9742486769095458</v>
      </c>
      <c r="E72" s="13" t="s">
        <v>801</v>
      </c>
      <c r="F72" s="13" t="s">
        <v>430</v>
      </c>
    </row>
    <row r="73" spans="1:6" x14ac:dyDescent="0.25">
      <c r="A73" s="14">
        <v>273.96160199999997</v>
      </c>
      <c r="B73" s="17">
        <v>-10</v>
      </c>
      <c r="C73" s="14">
        <v>1453.5273302000455</v>
      </c>
      <c r="D73" s="17">
        <v>-10</v>
      </c>
    </row>
    <row r="74" spans="1:6" x14ac:dyDescent="0.25">
      <c r="A74" s="14">
        <v>276.91544300000004</v>
      </c>
      <c r="B74" s="17">
        <v>-10</v>
      </c>
      <c r="C74" s="14">
        <v>1484.5362268667122</v>
      </c>
      <c r="D74" s="17">
        <v>-10</v>
      </c>
    </row>
    <row r="75" spans="1:6" x14ac:dyDescent="0.25">
      <c r="A75" s="14">
        <v>276.91644300000002</v>
      </c>
      <c r="B75" s="17">
        <v>0.29917041505473224</v>
      </c>
      <c r="C75" s="14">
        <v>1484.5372268667122</v>
      </c>
      <c r="D75" s="17">
        <v>1.054446838533778</v>
      </c>
      <c r="E75" s="13" t="s">
        <v>802</v>
      </c>
      <c r="F75" s="13" t="s">
        <v>359</v>
      </c>
    </row>
    <row r="76" spans="1:6" x14ac:dyDescent="0.25">
      <c r="A76" s="14">
        <v>276.91744299999999</v>
      </c>
      <c r="B76" s="17">
        <v>-10</v>
      </c>
      <c r="C76" s="14">
        <v>1484.5382268667122</v>
      </c>
      <c r="D76" s="17">
        <v>-10</v>
      </c>
    </row>
    <row r="77" spans="1:6" x14ac:dyDescent="0.25">
      <c r="A77" s="14">
        <v>281.48056700000001</v>
      </c>
      <c r="B77" s="17">
        <v>-10</v>
      </c>
      <c r="C77" s="14">
        <v>1484.5362268667122</v>
      </c>
      <c r="D77" s="17">
        <v>-10</v>
      </c>
    </row>
    <row r="78" spans="1:6" x14ac:dyDescent="0.25">
      <c r="A78" s="14">
        <v>281.48156699999998</v>
      </c>
      <c r="B78" s="17">
        <v>0.29251734484970759</v>
      </c>
      <c r="C78" s="14">
        <v>1484.5372268667122</v>
      </c>
      <c r="D78" s="17">
        <v>0.4189724772472635</v>
      </c>
      <c r="E78" s="13" t="s">
        <v>802</v>
      </c>
      <c r="F78" s="13" t="s">
        <v>359</v>
      </c>
    </row>
    <row r="79" spans="1:6" x14ac:dyDescent="0.25">
      <c r="A79" s="14">
        <v>281.48256699999996</v>
      </c>
      <c r="B79" s="17">
        <v>-10</v>
      </c>
      <c r="C79" s="14">
        <v>1484.5382268667122</v>
      </c>
      <c r="D79" s="17">
        <v>-10</v>
      </c>
    </row>
    <row r="80" spans="1:6" x14ac:dyDescent="0.25">
      <c r="A80" s="14">
        <v>286.02280100000002</v>
      </c>
      <c r="B80" s="17">
        <v>-10</v>
      </c>
      <c r="C80" s="14">
        <v>1490.5397502000458</v>
      </c>
      <c r="D80" s="17">
        <v>-10</v>
      </c>
    </row>
    <row r="81" spans="1:6" x14ac:dyDescent="0.25">
      <c r="A81" s="14">
        <v>286.02380099999999</v>
      </c>
      <c r="B81" s="17">
        <v>2.0602769407567441</v>
      </c>
      <c r="C81" s="14">
        <v>1490.5407502000457</v>
      </c>
      <c r="D81" s="17">
        <v>27.859467634277312</v>
      </c>
      <c r="E81" s="13" t="s">
        <v>803</v>
      </c>
      <c r="F81" s="13" t="s">
        <v>430</v>
      </c>
    </row>
    <row r="82" spans="1:6" x14ac:dyDescent="0.25">
      <c r="A82" s="14">
        <v>286.02480099999997</v>
      </c>
      <c r="B82" s="17">
        <v>-10</v>
      </c>
      <c r="C82" s="14">
        <v>1490.5417502000457</v>
      </c>
      <c r="D82" s="17">
        <v>-10</v>
      </c>
    </row>
    <row r="83" spans="1:6" x14ac:dyDescent="0.25">
      <c r="A83" s="14">
        <v>290.96616300000005</v>
      </c>
      <c r="B83" s="17">
        <v>-10</v>
      </c>
      <c r="C83" s="14">
        <v>1490.5397502000458</v>
      </c>
      <c r="D83" s="17">
        <v>-10</v>
      </c>
    </row>
    <row r="84" spans="1:6" x14ac:dyDescent="0.25">
      <c r="A84" s="14">
        <v>290.96716300000003</v>
      </c>
      <c r="B84" s="17">
        <v>0.70418106665417057</v>
      </c>
      <c r="C84" s="14">
        <v>1490.5407502000457</v>
      </c>
      <c r="D84" s="17">
        <v>40.601501702449639</v>
      </c>
      <c r="E84" s="13" t="s">
        <v>803</v>
      </c>
      <c r="F84" s="13" t="s">
        <v>430</v>
      </c>
    </row>
    <row r="85" spans="1:6" x14ac:dyDescent="0.25">
      <c r="A85" s="14">
        <v>290.968163</v>
      </c>
      <c r="B85" s="17">
        <v>-10</v>
      </c>
      <c r="C85" s="14">
        <v>1490.5417502000457</v>
      </c>
      <c r="D85" s="17">
        <v>-10</v>
      </c>
    </row>
    <row r="86" spans="1:6" x14ac:dyDescent="0.25">
      <c r="A86" s="14">
        <v>299.74930500000005</v>
      </c>
      <c r="B86" s="17">
        <v>-10</v>
      </c>
      <c r="C86" s="14">
        <v>1602.2199535333789</v>
      </c>
      <c r="D86" s="17">
        <v>-10</v>
      </c>
    </row>
    <row r="87" spans="1:6" x14ac:dyDescent="0.25">
      <c r="A87" s="14">
        <v>299.75030500000003</v>
      </c>
      <c r="B87" s="17">
        <v>0.26075784389104201</v>
      </c>
      <c r="C87" s="14">
        <v>1602.2209535333789</v>
      </c>
      <c r="D87" s="17">
        <v>1.2900269163814944</v>
      </c>
      <c r="E87" s="13" t="s">
        <v>804</v>
      </c>
      <c r="F87" s="13" t="s">
        <v>350</v>
      </c>
    </row>
    <row r="88" spans="1:6" x14ac:dyDescent="0.25">
      <c r="A88" s="14">
        <v>299.751305</v>
      </c>
      <c r="B88" s="17">
        <v>-10</v>
      </c>
      <c r="C88" s="14">
        <v>1602.2219535333788</v>
      </c>
      <c r="D88" s="17">
        <v>-10</v>
      </c>
    </row>
    <row r="89" spans="1:6" x14ac:dyDescent="0.25">
      <c r="A89" s="14">
        <v>301.02222400000005</v>
      </c>
      <c r="B89" s="17">
        <v>-10</v>
      </c>
      <c r="C89" s="14">
        <v>1602.2199535333789</v>
      </c>
      <c r="D89" s="17">
        <v>-10</v>
      </c>
    </row>
    <row r="90" spans="1:6" x14ac:dyDescent="0.25">
      <c r="A90" s="14">
        <v>301.02322400000003</v>
      </c>
      <c r="B90" s="17">
        <v>4.6667781144050871</v>
      </c>
      <c r="C90" s="14">
        <v>1602.2209535333789</v>
      </c>
      <c r="D90" s="17">
        <v>2.0315263892128823</v>
      </c>
      <c r="E90" s="13" t="s">
        <v>804</v>
      </c>
      <c r="F90" s="13" t="s">
        <v>350</v>
      </c>
    </row>
    <row r="91" spans="1:6" x14ac:dyDescent="0.25">
      <c r="A91" s="14">
        <v>301.024224</v>
      </c>
      <c r="B91" s="17">
        <v>-10</v>
      </c>
      <c r="C91" s="14">
        <v>1602.2219535333788</v>
      </c>
      <c r="D91" s="17">
        <v>-10</v>
      </c>
    </row>
    <row r="92" spans="1:6" x14ac:dyDescent="0.25">
      <c r="A92" s="14">
        <v>304.03317200000004</v>
      </c>
      <c r="B92" s="17">
        <v>-10</v>
      </c>
      <c r="C92" s="14">
        <v>1754.7405985333789</v>
      </c>
      <c r="D92" s="17">
        <v>-10</v>
      </c>
    </row>
    <row r="93" spans="1:6" x14ac:dyDescent="0.25">
      <c r="A93" s="14">
        <v>304.03417200000001</v>
      </c>
      <c r="B93" s="17">
        <v>6.7995149663950274</v>
      </c>
      <c r="C93" s="14">
        <v>1754.7415985333789</v>
      </c>
      <c r="D93" s="17">
        <v>0.88343931820352783</v>
      </c>
      <c r="E93" s="13" t="s">
        <v>806</v>
      </c>
      <c r="F93" s="13" t="s">
        <v>356</v>
      </c>
    </row>
    <row r="94" spans="1:6" x14ac:dyDescent="0.25">
      <c r="A94" s="14">
        <v>304.03517199999999</v>
      </c>
      <c r="B94" s="17">
        <v>-10</v>
      </c>
      <c r="C94" s="14">
        <v>1754.7425985333789</v>
      </c>
      <c r="D94" s="17">
        <v>-10</v>
      </c>
    </row>
    <row r="95" spans="1:6" x14ac:dyDescent="0.25">
      <c r="A95" s="14">
        <v>305.03708600000004</v>
      </c>
      <c r="B95" s="17">
        <v>-10</v>
      </c>
      <c r="C95" s="14">
        <v>1754.7405985333789</v>
      </c>
      <c r="D95" s="17">
        <v>-10</v>
      </c>
    </row>
    <row r="96" spans="1:6" x14ac:dyDescent="0.25">
      <c r="A96" s="14">
        <v>305.03808600000002</v>
      </c>
      <c r="B96" s="17">
        <v>0.3019238380387701</v>
      </c>
      <c r="C96" s="14">
        <v>1754.7415985333789</v>
      </c>
      <c r="D96" s="17">
        <v>0.75644157418477664</v>
      </c>
      <c r="E96" s="13" t="s">
        <v>806</v>
      </c>
      <c r="F96" s="13" t="s">
        <v>356</v>
      </c>
    </row>
    <row r="97" spans="1:6" x14ac:dyDescent="0.25">
      <c r="A97" s="14">
        <v>305.039086</v>
      </c>
      <c r="B97" s="17">
        <v>-10</v>
      </c>
      <c r="C97" s="14">
        <v>1754.7425985333789</v>
      </c>
      <c r="D97" s="17">
        <v>-10</v>
      </c>
    </row>
    <row r="98" spans="1:6" x14ac:dyDescent="0.25">
      <c r="A98" s="14">
        <v>307.021095</v>
      </c>
      <c r="B98" s="17">
        <v>-10</v>
      </c>
      <c r="C98" s="14">
        <v>1907.261243533379</v>
      </c>
      <c r="D98" s="17">
        <v>-10</v>
      </c>
    </row>
    <row r="99" spans="1:6" x14ac:dyDescent="0.25">
      <c r="A99" s="14">
        <v>307.02209499999998</v>
      </c>
      <c r="B99" s="17">
        <v>0.3088985034851946</v>
      </c>
      <c r="C99" s="14">
        <v>1907.262243533379</v>
      </c>
      <c r="D99" s="17">
        <v>1.1019922656513115</v>
      </c>
      <c r="E99" s="13" t="s">
        <v>807</v>
      </c>
      <c r="F99" s="13" t="s">
        <v>357</v>
      </c>
    </row>
    <row r="100" spans="1:6" x14ac:dyDescent="0.25">
      <c r="A100" s="14">
        <v>307.02309499999996</v>
      </c>
      <c r="B100" s="17">
        <v>-10</v>
      </c>
      <c r="C100" s="14">
        <v>1907.263243533379</v>
      </c>
      <c r="D100" s="17">
        <v>-10</v>
      </c>
    </row>
    <row r="101" spans="1:6" x14ac:dyDescent="0.25">
      <c r="A101" s="14">
        <v>308.96800500000001</v>
      </c>
      <c r="B101" s="17">
        <v>-10</v>
      </c>
      <c r="C101" s="14">
        <v>1907.261243533379</v>
      </c>
      <c r="D101" s="17">
        <v>-10</v>
      </c>
    </row>
    <row r="102" spans="1:6" x14ac:dyDescent="0.25">
      <c r="A102" s="14">
        <v>308.96900499999998</v>
      </c>
      <c r="B102" s="17">
        <v>0.59601356403902961</v>
      </c>
      <c r="C102" s="14">
        <v>1907.262243533379</v>
      </c>
      <c r="D102" s="17">
        <v>1.4216529212729323</v>
      </c>
      <c r="E102" s="13" t="s">
        <v>807</v>
      </c>
      <c r="F102" s="13" t="s">
        <v>357</v>
      </c>
    </row>
    <row r="103" spans="1:6" x14ac:dyDescent="0.25">
      <c r="A103" s="14">
        <v>308.97000499999996</v>
      </c>
      <c r="B103" s="17">
        <v>-10</v>
      </c>
      <c r="C103" s="14">
        <v>1907.263243533379</v>
      </c>
      <c r="D103" s="17">
        <v>-10</v>
      </c>
    </row>
    <row r="104" spans="1:6" x14ac:dyDescent="0.25">
      <c r="A104" s="14">
        <v>310.03398400000003</v>
      </c>
      <c r="B104" s="17">
        <v>-10</v>
      </c>
    </row>
    <row r="105" spans="1:6" x14ac:dyDescent="0.25">
      <c r="A105" s="14">
        <v>310.03498400000001</v>
      </c>
      <c r="B105" s="17">
        <v>10.142162470922031</v>
      </c>
    </row>
    <row r="106" spans="1:6" x14ac:dyDescent="0.25">
      <c r="A106" s="14">
        <v>310.03598399999998</v>
      </c>
      <c r="B106" s="17">
        <v>-10</v>
      </c>
    </row>
    <row r="107" spans="1:6" x14ac:dyDescent="0.25">
      <c r="A107" s="14">
        <v>311.03727700000002</v>
      </c>
      <c r="B107" s="17">
        <v>-10</v>
      </c>
    </row>
    <row r="108" spans="1:6" x14ac:dyDescent="0.25">
      <c r="A108" s="14">
        <v>311.03827699999999</v>
      </c>
      <c r="B108" s="17">
        <v>1.1768460943829546</v>
      </c>
    </row>
    <row r="109" spans="1:6" x14ac:dyDescent="0.25">
      <c r="A109" s="14">
        <v>311.03927699999997</v>
      </c>
      <c r="B109" s="17">
        <v>-10</v>
      </c>
    </row>
    <row r="110" spans="1:6" x14ac:dyDescent="0.25">
      <c r="A110" s="14">
        <v>312.30951600000003</v>
      </c>
      <c r="B110" s="17">
        <v>-10</v>
      </c>
    </row>
    <row r="111" spans="1:6" x14ac:dyDescent="0.25">
      <c r="A111" s="14">
        <v>312.31051600000001</v>
      </c>
      <c r="B111" s="17">
        <v>0.27071808337898751</v>
      </c>
    </row>
    <row r="112" spans="1:6" x14ac:dyDescent="0.25">
      <c r="A112" s="14">
        <v>312.31151599999998</v>
      </c>
      <c r="B112" s="17">
        <v>-10</v>
      </c>
    </row>
    <row r="113" spans="1:2" x14ac:dyDescent="0.25">
      <c r="A113" s="14">
        <v>315.99918300000002</v>
      </c>
      <c r="B113" s="17">
        <v>-10</v>
      </c>
    </row>
    <row r="114" spans="1:2" x14ac:dyDescent="0.25">
      <c r="A114" s="14">
        <v>316.00018299999999</v>
      </c>
      <c r="B114" s="17">
        <v>0.30237137223458332</v>
      </c>
    </row>
    <row r="115" spans="1:2" x14ac:dyDescent="0.25">
      <c r="A115" s="14">
        <v>316.00118299999997</v>
      </c>
      <c r="B115" s="17">
        <v>-10</v>
      </c>
    </row>
    <row r="116" spans="1:2" x14ac:dyDescent="0.25">
      <c r="A116" s="14">
        <v>319.03293600000001</v>
      </c>
      <c r="B116" s="17">
        <v>-10</v>
      </c>
    </row>
    <row r="117" spans="1:2" x14ac:dyDescent="0.25">
      <c r="A117" s="14">
        <v>319.03393599999998</v>
      </c>
      <c r="B117" s="17">
        <v>14.525006409351807</v>
      </c>
    </row>
    <row r="118" spans="1:2" x14ac:dyDescent="0.25">
      <c r="A118" s="14">
        <v>319.03493599999996</v>
      </c>
      <c r="B118" s="17">
        <v>-10</v>
      </c>
    </row>
    <row r="119" spans="1:2" x14ac:dyDescent="0.25">
      <c r="A119" s="14">
        <v>320.03621700000002</v>
      </c>
      <c r="B119" s="17">
        <v>-10</v>
      </c>
    </row>
    <row r="120" spans="1:2" x14ac:dyDescent="0.25">
      <c r="A120" s="14">
        <v>320.037217</v>
      </c>
      <c r="B120" s="17">
        <v>1.1657521846298848</v>
      </c>
    </row>
    <row r="121" spans="1:2" x14ac:dyDescent="0.25">
      <c r="A121" s="14">
        <v>320.03821699999997</v>
      </c>
      <c r="B121" s="17">
        <v>-10</v>
      </c>
    </row>
    <row r="122" spans="1:2" x14ac:dyDescent="0.25">
      <c r="A122" s="14">
        <v>322.04379300000005</v>
      </c>
      <c r="B122" s="17">
        <v>-10</v>
      </c>
    </row>
    <row r="123" spans="1:2" x14ac:dyDescent="0.25">
      <c r="A123" s="14">
        <v>322.04479300000003</v>
      </c>
      <c r="B123" s="17">
        <v>2.5669529322182343</v>
      </c>
    </row>
    <row r="124" spans="1:2" x14ac:dyDescent="0.25">
      <c r="A124" s="14">
        <v>322.045793</v>
      </c>
      <c r="B124" s="17">
        <v>-10</v>
      </c>
    </row>
    <row r="125" spans="1:2" x14ac:dyDescent="0.25">
      <c r="A125" s="14">
        <v>323.40830200000005</v>
      </c>
      <c r="B125" s="17">
        <v>-10</v>
      </c>
    </row>
    <row r="126" spans="1:2" x14ac:dyDescent="0.25">
      <c r="A126" s="14">
        <v>323.40930200000003</v>
      </c>
      <c r="B126" s="17">
        <v>0.31388156878981144</v>
      </c>
    </row>
    <row r="127" spans="1:2" x14ac:dyDescent="0.25">
      <c r="A127" s="14">
        <v>323.410302</v>
      </c>
      <c r="B127" s="17">
        <v>-10</v>
      </c>
    </row>
    <row r="128" spans="1:2" x14ac:dyDescent="0.25">
      <c r="A128" s="14">
        <v>328.044443</v>
      </c>
      <c r="B128" s="17">
        <v>-10</v>
      </c>
    </row>
    <row r="129" spans="1:2" x14ac:dyDescent="0.25">
      <c r="A129" s="14">
        <v>328.04544299999998</v>
      </c>
      <c r="B129" s="17">
        <v>16.29342948228771</v>
      </c>
    </row>
    <row r="130" spans="1:2" x14ac:dyDescent="0.25">
      <c r="A130" s="14">
        <v>328.04644299999995</v>
      </c>
      <c r="B130" s="17">
        <v>-10</v>
      </c>
    </row>
    <row r="131" spans="1:2" x14ac:dyDescent="0.25">
      <c r="A131" s="14">
        <v>329.04722400000003</v>
      </c>
      <c r="B131" s="17">
        <v>-10</v>
      </c>
    </row>
    <row r="132" spans="1:2" x14ac:dyDescent="0.25">
      <c r="A132" s="14">
        <v>329.048224</v>
      </c>
      <c r="B132" s="17">
        <v>1.7564679477261873</v>
      </c>
    </row>
    <row r="133" spans="1:2" x14ac:dyDescent="0.25">
      <c r="A133" s="14">
        <v>329.04922399999998</v>
      </c>
      <c r="B133" s="17">
        <v>-10</v>
      </c>
    </row>
    <row r="134" spans="1:2" x14ac:dyDescent="0.25">
      <c r="A134" s="14">
        <v>334.91186300000004</v>
      </c>
      <c r="B134" s="17">
        <v>-10</v>
      </c>
    </row>
    <row r="135" spans="1:2" x14ac:dyDescent="0.25">
      <c r="A135" s="14">
        <v>334.91286300000002</v>
      </c>
      <c r="B135" s="17">
        <v>1.3121900577436909</v>
      </c>
    </row>
    <row r="136" spans="1:2" x14ac:dyDescent="0.25">
      <c r="A136" s="14">
        <v>334.91386299999999</v>
      </c>
      <c r="B136" s="17">
        <v>-10</v>
      </c>
    </row>
    <row r="137" spans="1:2" x14ac:dyDescent="0.25">
      <c r="A137" s="14">
        <v>337.04353800000001</v>
      </c>
      <c r="B137" s="17">
        <v>-10</v>
      </c>
    </row>
    <row r="138" spans="1:2" x14ac:dyDescent="0.25">
      <c r="A138" s="14">
        <v>337.04453799999999</v>
      </c>
      <c r="B138" s="17">
        <v>5.8932704414666199</v>
      </c>
    </row>
    <row r="139" spans="1:2" x14ac:dyDescent="0.25">
      <c r="A139" s="14">
        <v>337.04553799999996</v>
      </c>
      <c r="B139" s="17">
        <v>-10</v>
      </c>
    </row>
    <row r="140" spans="1:2" x14ac:dyDescent="0.25">
      <c r="A140" s="14">
        <v>338.04770600000001</v>
      </c>
      <c r="B140" s="17">
        <v>-10</v>
      </c>
    </row>
    <row r="141" spans="1:2" x14ac:dyDescent="0.25">
      <c r="A141" s="14">
        <v>338.04870599999998</v>
      </c>
      <c r="B141" s="17">
        <v>0.43261645741733623</v>
      </c>
    </row>
    <row r="142" spans="1:2" x14ac:dyDescent="0.25">
      <c r="A142" s="14">
        <v>338.04970599999996</v>
      </c>
      <c r="B142" s="17">
        <v>-10</v>
      </c>
    </row>
    <row r="143" spans="1:2" x14ac:dyDescent="0.25">
      <c r="A143" s="14">
        <v>340.99561300000005</v>
      </c>
      <c r="B143" s="17">
        <v>-10</v>
      </c>
    </row>
    <row r="144" spans="1:2" x14ac:dyDescent="0.25">
      <c r="A144" s="14">
        <v>340.99661300000002</v>
      </c>
      <c r="B144" s="17">
        <v>0.30946765953616329</v>
      </c>
    </row>
    <row r="145" spans="1:2" x14ac:dyDescent="0.25">
      <c r="A145" s="14">
        <v>340.997613</v>
      </c>
      <c r="B145" s="17">
        <v>-10</v>
      </c>
    </row>
    <row r="146" spans="1:2" x14ac:dyDescent="0.25">
      <c r="A146" s="14">
        <v>346.05518700000005</v>
      </c>
      <c r="B146" s="17">
        <v>-10</v>
      </c>
    </row>
    <row r="147" spans="1:2" x14ac:dyDescent="0.25">
      <c r="A147" s="14">
        <v>346.05618700000002</v>
      </c>
      <c r="B147" s="17">
        <v>7.41016943579515</v>
      </c>
    </row>
    <row r="148" spans="1:2" x14ac:dyDescent="0.25">
      <c r="A148" s="14">
        <v>346.057187</v>
      </c>
      <c r="B148" s="17">
        <v>-10</v>
      </c>
    </row>
    <row r="149" spans="1:2" x14ac:dyDescent="0.25">
      <c r="A149" s="14">
        <v>347.05749300000002</v>
      </c>
      <c r="B149" s="17">
        <v>-10</v>
      </c>
    </row>
    <row r="150" spans="1:2" x14ac:dyDescent="0.25">
      <c r="A150" s="14">
        <v>347.058493</v>
      </c>
      <c r="B150" s="17">
        <v>0.71522577484724714</v>
      </c>
    </row>
    <row r="151" spans="1:2" x14ac:dyDescent="0.25">
      <c r="A151" s="14">
        <v>347.05949299999997</v>
      </c>
      <c r="B151" s="17">
        <v>-10</v>
      </c>
    </row>
    <row r="152" spans="1:2" x14ac:dyDescent="0.25">
      <c r="A152" s="14">
        <v>365.98880400000002</v>
      </c>
      <c r="B152" s="17">
        <v>-10</v>
      </c>
    </row>
    <row r="153" spans="1:2" x14ac:dyDescent="0.25">
      <c r="A153" s="14">
        <v>365.98980399999999</v>
      </c>
      <c r="B153" s="17">
        <v>1.7470812367848747</v>
      </c>
    </row>
    <row r="154" spans="1:2" x14ac:dyDescent="0.25">
      <c r="A154" s="14">
        <v>365.99080399999997</v>
      </c>
      <c r="B154" s="17">
        <v>-10</v>
      </c>
    </row>
    <row r="155" spans="1:2" x14ac:dyDescent="0.25">
      <c r="A155" s="14">
        <v>368.97750000000002</v>
      </c>
      <c r="B155" s="17">
        <v>-10</v>
      </c>
    </row>
    <row r="156" spans="1:2" x14ac:dyDescent="0.25">
      <c r="A156" s="14">
        <v>368.9785</v>
      </c>
      <c r="B156" s="17">
        <v>0.783366819868201</v>
      </c>
    </row>
    <row r="157" spans="1:2" x14ac:dyDescent="0.25">
      <c r="A157" s="14">
        <v>368.97949999999997</v>
      </c>
      <c r="B157" s="17">
        <v>-10</v>
      </c>
    </row>
    <row r="158" spans="1:2" x14ac:dyDescent="0.25">
      <c r="A158" s="14">
        <v>376.23929500000003</v>
      </c>
      <c r="B158" s="17">
        <v>-10</v>
      </c>
    </row>
    <row r="159" spans="1:2" x14ac:dyDescent="0.25">
      <c r="A159" s="14">
        <v>376.240295</v>
      </c>
      <c r="B159" s="17">
        <v>0.29463603007847494</v>
      </c>
    </row>
    <row r="160" spans="1:2" x14ac:dyDescent="0.25">
      <c r="A160" s="14">
        <v>376.24129499999998</v>
      </c>
      <c r="B160" s="17">
        <v>-10</v>
      </c>
    </row>
    <row r="161" spans="1:2" x14ac:dyDescent="0.25">
      <c r="A161" s="14">
        <v>380.98908800000004</v>
      </c>
      <c r="B161" s="17">
        <v>-10</v>
      </c>
    </row>
    <row r="162" spans="1:2" x14ac:dyDescent="0.25">
      <c r="A162" s="14">
        <v>380.99008800000001</v>
      </c>
      <c r="B162" s="17">
        <v>4.2567111405291111</v>
      </c>
    </row>
    <row r="163" spans="1:2" x14ac:dyDescent="0.25">
      <c r="A163" s="14">
        <v>380.99108799999999</v>
      </c>
      <c r="B163" s="17">
        <v>-10</v>
      </c>
    </row>
    <row r="164" spans="1:2" x14ac:dyDescent="0.25">
      <c r="A164" s="14">
        <v>383.99994200000003</v>
      </c>
      <c r="B164" s="17">
        <v>-10</v>
      </c>
    </row>
    <row r="165" spans="1:2" x14ac:dyDescent="0.25">
      <c r="A165" s="14">
        <v>384.00094200000001</v>
      </c>
      <c r="B165" s="17">
        <v>6.2299135321393067</v>
      </c>
    </row>
    <row r="166" spans="1:2" x14ac:dyDescent="0.25">
      <c r="A166" s="14">
        <v>384.00194199999999</v>
      </c>
      <c r="B166" s="17">
        <v>-10</v>
      </c>
    </row>
    <row r="167" spans="1:2" x14ac:dyDescent="0.25">
      <c r="A167" s="14">
        <v>386.98749500000002</v>
      </c>
      <c r="B167" s="17">
        <v>-10</v>
      </c>
    </row>
    <row r="168" spans="1:2" x14ac:dyDescent="0.25">
      <c r="A168" s="14">
        <v>386.988495</v>
      </c>
      <c r="B168" s="17">
        <v>0.45410045793919596</v>
      </c>
    </row>
    <row r="169" spans="1:2" x14ac:dyDescent="0.25">
      <c r="A169" s="14">
        <v>386.98949499999998</v>
      </c>
      <c r="B169" s="17">
        <v>-10</v>
      </c>
    </row>
    <row r="170" spans="1:2" x14ac:dyDescent="0.25">
      <c r="A170" s="14">
        <v>390.00092100000001</v>
      </c>
      <c r="B170" s="17">
        <v>-10</v>
      </c>
    </row>
    <row r="171" spans="1:2" x14ac:dyDescent="0.25">
      <c r="A171" s="14">
        <v>390.00192099999998</v>
      </c>
      <c r="B171" s="17">
        <v>4.4630797458090106</v>
      </c>
    </row>
    <row r="172" spans="1:2" x14ac:dyDescent="0.25">
      <c r="A172" s="14">
        <v>390.00292099999996</v>
      </c>
      <c r="B172" s="17">
        <v>-10</v>
      </c>
    </row>
    <row r="173" spans="1:2" x14ac:dyDescent="0.25">
      <c r="A173" s="14">
        <v>398.99962200000004</v>
      </c>
      <c r="B173" s="17">
        <v>-10</v>
      </c>
    </row>
    <row r="174" spans="1:2" x14ac:dyDescent="0.25">
      <c r="A174" s="14">
        <v>399.00062200000002</v>
      </c>
      <c r="B174" s="17">
        <v>15.311348037256476</v>
      </c>
    </row>
    <row r="175" spans="1:2" x14ac:dyDescent="0.25">
      <c r="A175" s="14">
        <v>399.001622</v>
      </c>
      <c r="B175" s="17">
        <v>-10</v>
      </c>
    </row>
    <row r="176" spans="1:2" x14ac:dyDescent="0.25">
      <c r="A176" s="14">
        <v>400.00273600000003</v>
      </c>
      <c r="B176" s="17">
        <v>-10</v>
      </c>
    </row>
    <row r="177" spans="1:2" x14ac:dyDescent="0.25">
      <c r="A177" s="14">
        <v>400.003736</v>
      </c>
      <c r="B177" s="17">
        <v>1.118067548253272</v>
      </c>
    </row>
    <row r="178" spans="1:2" x14ac:dyDescent="0.25">
      <c r="A178" s="14">
        <v>400.00473599999998</v>
      </c>
      <c r="B178" s="17">
        <v>-10</v>
      </c>
    </row>
    <row r="179" spans="1:2" x14ac:dyDescent="0.25">
      <c r="A179" s="14">
        <v>402.01221400000003</v>
      </c>
      <c r="B179" s="17">
        <v>-10</v>
      </c>
    </row>
    <row r="180" spans="1:2" x14ac:dyDescent="0.25">
      <c r="A180" s="14">
        <v>402.013214</v>
      </c>
      <c r="B180" s="17">
        <v>0.26567495690850029</v>
      </c>
    </row>
    <row r="181" spans="1:2" x14ac:dyDescent="0.25">
      <c r="A181" s="14">
        <v>402.01421399999998</v>
      </c>
      <c r="B181" s="17">
        <v>-10</v>
      </c>
    </row>
    <row r="182" spans="1:2" x14ac:dyDescent="0.25">
      <c r="A182" s="14">
        <v>403.84610700000002</v>
      </c>
      <c r="B182" s="17">
        <v>-10</v>
      </c>
    </row>
    <row r="183" spans="1:2" x14ac:dyDescent="0.25">
      <c r="A183" s="14">
        <v>403.84710699999999</v>
      </c>
      <c r="B183" s="17">
        <v>0.3093815773410491</v>
      </c>
    </row>
    <row r="184" spans="1:2" x14ac:dyDescent="0.25">
      <c r="A184" s="14">
        <v>403.84810699999997</v>
      </c>
      <c r="B184" s="17">
        <v>-10</v>
      </c>
    </row>
    <row r="185" spans="1:2" x14ac:dyDescent="0.25">
      <c r="A185" s="14">
        <v>408.01110700000004</v>
      </c>
      <c r="B185" s="17">
        <v>-10</v>
      </c>
    </row>
    <row r="186" spans="1:2" x14ac:dyDescent="0.25">
      <c r="A186" s="14">
        <v>408.01210700000001</v>
      </c>
      <c r="B186" s="17">
        <v>23.59041335491602</v>
      </c>
    </row>
    <row r="187" spans="1:2" x14ac:dyDescent="0.25">
      <c r="A187" s="14">
        <v>408.01310699999999</v>
      </c>
      <c r="B187" s="17">
        <v>-10</v>
      </c>
    </row>
    <row r="188" spans="1:2" x14ac:dyDescent="0.25">
      <c r="A188" s="14">
        <v>408.04035100000004</v>
      </c>
      <c r="B188" s="17">
        <v>-10</v>
      </c>
    </row>
    <row r="189" spans="1:2" x14ac:dyDescent="0.25">
      <c r="A189" s="14">
        <v>408.04135100000002</v>
      </c>
      <c r="B189" s="17">
        <v>0.54525890275443933</v>
      </c>
    </row>
    <row r="190" spans="1:2" x14ac:dyDescent="0.25">
      <c r="A190" s="14">
        <v>408.042351</v>
      </c>
      <c r="B190" s="17">
        <v>-10</v>
      </c>
    </row>
    <row r="191" spans="1:2" x14ac:dyDescent="0.25">
      <c r="A191" s="14">
        <v>409.01418900000004</v>
      </c>
      <c r="B191" s="17">
        <v>-10</v>
      </c>
    </row>
    <row r="192" spans="1:2" x14ac:dyDescent="0.25">
      <c r="A192" s="14">
        <v>409.01518900000002</v>
      </c>
      <c r="B192" s="17">
        <v>2.9977973273625738</v>
      </c>
    </row>
    <row r="193" spans="1:2" x14ac:dyDescent="0.25">
      <c r="A193" s="14">
        <v>409.016189</v>
      </c>
      <c r="B193" s="17">
        <v>-10</v>
      </c>
    </row>
    <row r="194" spans="1:2" x14ac:dyDescent="0.25">
      <c r="A194" s="14">
        <v>417.00882200000001</v>
      </c>
      <c r="B194" s="17">
        <v>-10</v>
      </c>
    </row>
    <row r="195" spans="1:2" x14ac:dyDescent="0.25">
      <c r="A195" s="14">
        <v>417.00982199999999</v>
      </c>
      <c r="B195" s="17">
        <v>1.455947589105056</v>
      </c>
    </row>
    <row r="196" spans="1:2" x14ac:dyDescent="0.25">
      <c r="A196" s="14">
        <v>417.01082199999996</v>
      </c>
      <c r="B196" s="17">
        <v>-10</v>
      </c>
    </row>
    <row r="197" spans="1:2" x14ac:dyDescent="0.25">
      <c r="A197" s="14">
        <v>417.01142100000004</v>
      </c>
      <c r="B197" s="17">
        <v>-10</v>
      </c>
    </row>
    <row r="198" spans="1:2" x14ac:dyDescent="0.25">
      <c r="A198" s="14">
        <v>417.01242100000002</v>
      </c>
      <c r="B198" s="17">
        <v>0.63347187861617926</v>
      </c>
    </row>
    <row r="199" spans="1:2" x14ac:dyDescent="0.25">
      <c r="A199" s="14">
        <v>417.01342099999999</v>
      </c>
      <c r="B199" s="17">
        <v>-10</v>
      </c>
    </row>
    <row r="200" spans="1:2" x14ac:dyDescent="0.25">
      <c r="A200" s="14">
        <v>424.06354500000003</v>
      </c>
      <c r="B200" s="17">
        <v>-10</v>
      </c>
    </row>
    <row r="201" spans="1:2" x14ac:dyDescent="0.25">
      <c r="A201" s="14">
        <v>424.06454500000001</v>
      </c>
      <c r="B201" s="17">
        <v>0.51541959023906037</v>
      </c>
    </row>
    <row r="202" spans="1:2" x14ac:dyDescent="0.25">
      <c r="A202" s="14">
        <v>424.06554499999999</v>
      </c>
      <c r="B202" s="17">
        <v>-10</v>
      </c>
    </row>
    <row r="203" spans="1:2" x14ac:dyDescent="0.25">
      <c r="A203" s="14">
        <v>424.06604700000003</v>
      </c>
      <c r="B203" s="17">
        <v>-10</v>
      </c>
    </row>
    <row r="204" spans="1:2" x14ac:dyDescent="0.25">
      <c r="A204" s="14">
        <v>424.067047</v>
      </c>
      <c r="B204" s="17">
        <v>0.45043803532243071</v>
      </c>
    </row>
    <row r="205" spans="1:2" x14ac:dyDescent="0.25">
      <c r="A205" s="14">
        <v>424.06804699999998</v>
      </c>
      <c r="B205" s="17">
        <v>-10</v>
      </c>
    </row>
    <row r="206" spans="1:2" x14ac:dyDescent="0.25">
      <c r="A206" s="14">
        <v>426.02158200000002</v>
      </c>
      <c r="B206" s="17">
        <v>-10</v>
      </c>
    </row>
    <row r="207" spans="1:2" x14ac:dyDescent="0.25">
      <c r="A207" s="14">
        <v>426.022582</v>
      </c>
      <c r="B207" s="17">
        <v>2.8397864744628709</v>
      </c>
    </row>
    <row r="208" spans="1:2" x14ac:dyDescent="0.25">
      <c r="A208" s="14">
        <v>426.02358199999998</v>
      </c>
      <c r="B208" s="17">
        <v>-10</v>
      </c>
    </row>
    <row r="209" spans="1:2" x14ac:dyDescent="0.25">
      <c r="A209" s="14">
        <v>442.07520200000005</v>
      </c>
      <c r="B209" s="17">
        <v>-10</v>
      </c>
    </row>
    <row r="210" spans="1:2" x14ac:dyDescent="0.25">
      <c r="A210" s="14">
        <v>442.07620200000002</v>
      </c>
      <c r="B210" s="17">
        <v>1.2475626654247653</v>
      </c>
    </row>
    <row r="211" spans="1:2" x14ac:dyDescent="0.25">
      <c r="A211" s="14">
        <v>442.077202</v>
      </c>
      <c r="B211" s="17">
        <v>-10</v>
      </c>
    </row>
    <row r="212" spans="1:2" x14ac:dyDescent="0.25">
      <c r="A212" s="14">
        <v>442.07748500000002</v>
      </c>
      <c r="B212" s="17">
        <v>-10</v>
      </c>
    </row>
    <row r="213" spans="1:2" x14ac:dyDescent="0.25">
      <c r="A213" s="14">
        <v>442.078485</v>
      </c>
      <c r="B213" s="17">
        <v>1.7076303077386141</v>
      </c>
    </row>
    <row r="214" spans="1:2" x14ac:dyDescent="0.25">
      <c r="A214" s="14">
        <v>442.07948499999998</v>
      </c>
      <c r="B214" s="17">
        <v>-10</v>
      </c>
    </row>
    <row r="215" spans="1:2" x14ac:dyDescent="0.25">
      <c r="A215" s="14">
        <v>448.94260400000002</v>
      </c>
      <c r="B215" s="17">
        <v>-10</v>
      </c>
    </row>
    <row r="216" spans="1:2" x14ac:dyDescent="0.25">
      <c r="A216" s="14">
        <v>448.94360399999999</v>
      </c>
      <c r="B216" s="17">
        <v>0.32921848224188155</v>
      </c>
    </row>
    <row r="217" spans="1:2" x14ac:dyDescent="0.25">
      <c r="A217" s="14">
        <v>448.94460399999997</v>
      </c>
      <c r="B217" s="17">
        <v>-10</v>
      </c>
    </row>
    <row r="218" spans="1:2" x14ac:dyDescent="0.25">
      <c r="A218" s="14">
        <v>460.95420000000001</v>
      </c>
      <c r="B218" s="17">
        <v>-10</v>
      </c>
    </row>
    <row r="219" spans="1:2" x14ac:dyDescent="0.25">
      <c r="A219" s="14">
        <v>460.95519999999999</v>
      </c>
      <c r="B219" s="17">
        <v>0.5051939694906713</v>
      </c>
    </row>
    <row r="220" spans="1:2" x14ac:dyDescent="0.25">
      <c r="A220" s="14">
        <v>460.95619999999997</v>
      </c>
      <c r="B220" s="17">
        <v>-10</v>
      </c>
    </row>
    <row r="221" spans="1:2" x14ac:dyDescent="0.25">
      <c r="A221" s="14">
        <v>460.95661100000001</v>
      </c>
      <c r="B221" s="17">
        <v>-10</v>
      </c>
    </row>
    <row r="222" spans="1:2" x14ac:dyDescent="0.25">
      <c r="A222" s="14">
        <v>460.95761099999999</v>
      </c>
      <c r="B222" s="17">
        <v>0.48437539060256879</v>
      </c>
    </row>
    <row r="223" spans="1:2" x14ac:dyDescent="0.25">
      <c r="A223" s="14">
        <v>460.95861099999996</v>
      </c>
      <c r="B223" s="17">
        <v>-10</v>
      </c>
    </row>
    <row r="224" spans="1:2" x14ac:dyDescent="0.25">
      <c r="A224" s="14">
        <v>469.96685300000001</v>
      </c>
      <c r="B224" s="17">
        <v>-10</v>
      </c>
    </row>
    <row r="225" spans="1:2" x14ac:dyDescent="0.25">
      <c r="A225" s="14">
        <v>469.96785299999999</v>
      </c>
      <c r="B225" s="17">
        <v>1.3540669253215223</v>
      </c>
    </row>
    <row r="226" spans="1:2" x14ac:dyDescent="0.25">
      <c r="A226" s="14">
        <v>469.96885299999997</v>
      </c>
      <c r="B226" s="17">
        <v>-10</v>
      </c>
    </row>
    <row r="227" spans="1:2" x14ac:dyDescent="0.25">
      <c r="A227" s="14">
        <v>478.96548300000001</v>
      </c>
      <c r="B227" s="17">
        <v>-10</v>
      </c>
    </row>
    <row r="228" spans="1:2" x14ac:dyDescent="0.25">
      <c r="A228" s="14">
        <v>478.96648299999998</v>
      </c>
      <c r="B228" s="17">
        <v>0.90074128927785313</v>
      </c>
    </row>
    <row r="229" spans="1:2" x14ac:dyDescent="0.25">
      <c r="A229" s="14">
        <v>478.96748299999996</v>
      </c>
      <c r="B229" s="17">
        <v>-10</v>
      </c>
    </row>
    <row r="230" spans="1:2" x14ac:dyDescent="0.25">
      <c r="A230" s="14">
        <v>480.02207100000004</v>
      </c>
      <c r="B230" s="17">
        <v>-10</v>
      </c>
    </row>
    <row r="231" spans="1:2" x14ac:dyDescent="0.25">
      <c r="A231" s="14">
        <v>480.02307100000002</v>
      </c>
      <c r="B231" s="17">
        <v>0.33048248114907192</v>
      </c>
    </row>
    <row r="232" spans="1:2" x14ac:dyDescent="0.25">
      <c r="A232" s="14">
        <v>480.02407099999999</v>
      </c>
      <c r="B232" s="17">
        <v>-10</v>
      </c>
    </row>
    <row r="233" spans="1:2" x14ac:dyDescent="0.25">
      <c r="A233" s="14">
        <v>483.069343</v>
      </c>
      <c r="B233" s="17">
        <v>-10</v>
      </c>
    </row>
    <row r="234" spans="1:2" x14ac:dyDescent="0.25">
      <c r="A234" s="14">
        <v>483.07034299999998</v>
      </c>
      <c r="B234" s="17">
        <v>0.32297130341681962</v>
      </c>
    </row>
    <row r="235" spans="1:2" x14ac:dyDescent="0.25">
      <c r="A235" s="14">
        <v>483.07134299999996</v>
      </c>
      <c r="B235" s="17">
        <v>-10</v>
      </c>
    </row>
    <row r="236" spans="1:2" x14ac:dyDescent="0.25">
      <c r="A236" s="14">
        <v>487.97746000000001</v>
      </c>
      <c r="B236" s="17">
        <v>-10</v>
      </c>
    </row>
    <row r="237" spans="1:2" x14ac:dyDescent="0.25">
      <c r="A237" s="14">
        <v>487.97845999999998</v>
      </c>
      <c r="B237" s="17">
        <v>1.3413261720965852</v>
      </c>
    </row>
    <row r="238" spans="1:2" x14ac:dyDescent="0.25">
      <c r="A238" s="14">
        <v>487.97945999999996</v>
      </c>
      <c r="B238" s="17">
        <v>-10</v>
      </c>
    </row>
    <row r="239" spans="1:2" x14ac:dyDescent="0.25">
      <c r="A239" s="14">
        <v>495.021434</v>
      </c>
      <c r="B239" s="17">
        <v>-10</v>
      </c>
    </row>
    <row r="240" spans="1:2" x14ac:dyDescent="0.25">
      <c r="A240" s="14">
        <v>495.02243399999998</v>
      </c>
      <c r="B240" s="17">
        <v>0.93535063544145958</v>
      </c>
    </row>
    <row r="241" spans="1:2" x14ac:dyDescent="0.25">
      <c r="A241" s="14">
        <v>495.02343399999995</v>
      </c>
      <c r="B241" s="17">
        <v>-10</v>
      </c>
    </row>
    <row r="242" spans="1:2" x14ac:dyDescent="0.25">
      <c r="A242" s="14">
        <v>498.03169300000002</v>
      </c>
      <c r="B242" s="17">
        <v>-10</v>
      </c>
    </row>
    <row r="243" spans="1:2" x14ac:dyDescent="0.25">
      <c r="A243" s="14">
        <v>498.03269299999999</v>
      </c>
      <c r="B243" s="17">
        <v>0.80611034747009935</v>
      </c>
    </row>
    <row r="244" spans="1:2" x14ac:dyDescent="0.25">
      <c r="A244" s="14">
        <v>498.03369299999997</v>
      </c>
      <c r="B244" s="17">
        <v>-10</v>
      </c>
    </row>
    <row r="245" spans="1:2" x14ac:dyDescent="0.25">
      <c r="A245" s="14">
        <v>504.031902</v>
      </c>
      <c r="B245" s="17">
        <v>-10</v>
      </c>
    </row>
    <row r="246" spans="1:2" x14ac:dyDescent="0.25">
      <c r="A246" s="14">
        <v>504.03290199999998</v>
      </c>
      <c r="B246" s="17">
        <v>2.0953768603035003</v>
      </c>
    </row>
    <row r="247" spans="1:2" x14ac:dyDescent="0.25">
      <c r="A247" s="14">
        <v>504.03390199999996</v>
      </c>
      <c r="B247" s="17">
        <v>-10</v>
      </c>
    </row>
    <row r="248" spans="1:2" x14ac:dyDescent="0.25">
      <c r="A248" s="14">
        <v>505.03177600000004</v>
      </c>
      <c r="B248" s="17">
        <v>-10</v>
      </c>
    </row>
    <row r="249" spans="1:2" x14ac:dyDescent="0.25">
      <c r="A249" s="14">
        <v>505.03277600000001</v>
      </c>
      <c r="B249" s="17">
        <v>0.38674099699579201</v>
      </c>
    </row>
    <row r="250" spans="1:2" x14ac:dyDescent="0.25">
      <c r="A250" s="14">
        <v>505.03377599999999</v>
      </c>
      <c r="B250" s="17">
        <v>-10</v>
      </c>
    </row>
    <row r="251" spans="1:2" x14ac:dyDescent="0.25">
      <c r="A251" s="14">
        <v>513.03169800000001</v>
      </c>
      <c r="B251" s="17">
        <v>-10</v>
      </c>
    </row>
    <row r="252" spans="1:2" x14ac:dyDescent="0.25">
      <c r="A252" s="14">
        <v>513.03269799999998</v>
      </c>
      <c r="B252" s="17">
        <v>1.7275586396326683</v>
      </c>
    </row>
    <row r="253" spans="1:2" x14ac:dyDescent="0.25">
      <c r="A253" s="14">
        <v>513.03369799999996</v>
      </c>
      <c r="B253" s="17">
        <v>-10</v>
      </c>
    </row>
    <row r="254" spans="1:2" x14ac:dyDescent="0.25">
      <c r="A254" s="14">
        <v>518.86795800000004</v>
      </c>
      <c r="B254" s="17">
        <v>-10</v>
      </c>
    </row>
    <row r="255" spans="1:2" x14ac:dyDescent="0.25">
      <c r="A255" s="14">
        <v>518.86895800000002</v>
      </c>
      <c r="B255" s="17">
        <v>0.25602045591817602</v>
      </c>
    </row>
    <row r="256" spans="1:2" x14ac:dyDescent="0.25">
      <c r="A256" s="14">
        <v>518.869958</v>
      </c>
      <c r="B256" s="17">
        <v>-10</v>
      </c>
    </row>
    <row r="257" spans="1:2" x14ac:dyDescent="0.25">
      <c r="A257" s="14">
        <v>522.04284100000007</v>
      </c>
      <c r="B257" s="17">
        <v>-10</v>
      </c>
    </row>
    <row r="258" spans="1:2" x14ac:dyDescent="0.25">
      <c r="A258" s="14">
        <v>522.04384100000004</v>
      </c>
      <c r="B258" s="17">
        <v>7.1266141807907637</v>
      </c>
    </row>
    <row r="259" spans="1:2" x14ac:dyDescent="0.25">
      <c r="A259" s="14">
        <v>522.04484100000002</v>
      </c>
      <c r="B259" s="17">
        <v>-10</v>
      </c>
    </row>
    <row r="260" spans="1:2" x14ac:dyDescent="0.25">
      <c r="A260" s="14">
        <v>523.04668200000003</v>
      </c>
      <c r="B260" s="17">
        <v>-10</v>
      </c>
    </row>
    <row r="261" spans="1:2" x14ac:dyDescent="0.25">
      <c r="A261" s="14">
        <v>523.04768200000001</v>
      </c>
      <c r="B261" s="17">
        <v>1.3485921003865706</v>
      </c>
    </row>
    <row r="262" spans="1:2" x14ac:dyDescent="0.25">
      <c r="A262" s="14">
        <v>523.04868199999999</v>
      </c>
      <c r="B262" s="17">
        <v>-10</v>
      </c>
    </row>
    <row r="263" spans="1:2" x14ac:dyDescent="0.25">
      <c r="A263" s="14">
        <v>526.09818000000007</v>
      </c>
      <c r="B263" s="17">
        <v>-10</v>
      </c>
    </row>
    <row r="264" spans="1:2" x14ac:dyDescent="0.25">
      <c r="A264" s="14">
        <v>526.09918000000005</v>
      </c>
      <c r="B264" s="17">
        <v>0.61840269599627262</v>
      </c>
    </row>
    <row r="265" spans="1:2" x14ac:dyDescent="0.25">
      <c r="A265" s="14">
        <v>526.10018000000002</v>
      </c>
      <c r="B265" s="17">
        <v>-10</v>
      </c>
    </row>
    <row r="266" spans="1:2" x14ac:dyDescent="0.25">
      <c r="A266" s="14">
        <v>540.05142899999998</v>
      </c>
      <c r="B266" s="17">
        <v>-10</v>
      </c>
    </row>
    <row r="267" spans="1:2" x14ac:dyDescent="0.25">
      <c r="A267" s="14">
        <v>540.05242899999996</v>
      </c>
      <c r="B267" s="17">
        <v>0.61469791232059456</v>
      </c>
    </row>
    <row r="268" spans="1:2" x14ac:dyDescent="0.25">
      <c r="A268" s="14">
        <v>540.05342899999994</v>
      </c>
      <c r="B268" s="17">
        <v>-10</v>
      </c>
    </row>
    <row r="269" spans="1:2" x14ac:dyDescent="0.25">
      <c r="A269" s="14">
        <v>540.05606799999998</v>
      </c>
      <c r="B269" s="17">
        <v>-10</v>
      </c>
    </row>
    <row r="270" spans="1:2" x14ac:dyDescent="0.25">
      <c r="A270" s="14">
        <v>540.05706799999996</v>
      </c>
      <c r="B270" s="17">
        <v>0.7544526922873247</v>
      </c>
    </row>
    <row r="271" spans="1:2" x14ac:dyDescent="0.25">
      <c r="A271" s="14">
        <v>540.05806799999993</v>
      </c>
      <c r="B271" s="17">
        <v>-10</v>
      </c>
    </row>
    <row r="272" spans="1:2" x14ac:dyDescent="0.25">
      <c r="A272" s="14">
        <v>544.108971</v>
      </c>
      <c r="B272" s="17">
        <v>-10</v>
      </c>
    </row>
    <row r="273" spans="1:2" x14ac:dyDescent="0.25">
      <c r="A273" s="14">
        <v>544.10997099999997</v>
      </c>
      <c r="B273" s="17">
        <v>1.09236327948169</v>
      </c>
    </row>
    <row r="274" spans="1:2" x14ac:dyDescent="0.25">
      <c r="A274" s="14">
        <v>544.11097099999995</v>
      </c>
      <c r="B274" s="17">
        <v>-10</v>
      </c>
    </row>
    <row r="275" spans="1:2" x14ac:dyDescent="0.25">
      <c r="A275" s="14">
        <v>548.24155400000006</v>
      </c>
      <c r="B275" s="17">
        <v>-10</v>
      </c>
    </row>
    <row r="276" spans="1:2" x14ac:dyDescent="0.25">
      <c r="A276" s="14">
        <v>548.24255400000004</v>
      </c>
      <c r="B276" s="17">
        <v>0.27080941295094302</v>
      </c>
    </row>
    <row r="277" spans="1:2" x14ac:dyDescent="0.25">
      <c r="A277" s="14">
        <v>548.24355400000002</v>
      </c>
      <c r="B277" s="17">
        <v>-10</v>
      </c>
    </row>
    <row r="278" spans="1:2" x14ac:dyDescent="0.25">
      <c r="A278" s="14">
        <v>553.12064299999997</v>
      </c>
      <c r="B278" s="17">
        <v>-10</v>
      </c>
    </row>
    <row r="279" spans="1:2" x14ac:dyDescent="0.25">
      <c r="A279" s="14">
        <v>553.12164299999995</v>
      </c>
      <c r="B279" s="17">
        <v>1.7750601507714681</v>
      </c>
    </row>
    <row r="280" spans="1:2" x14ac:dyDescent="0.25">
      <c r="A280" s="14">
        <v>553.12264299999993</v>
      </c>
      <c r="B280" s="17">
        <v>-10</v>
      </c>
    </row>
    <row r="281" spans="1:2" x14ac:dyDescent="0.25">
      <c r="A281" s="14">
        <v>554.12735700000007</v>
      </c>
      <c r="B281" s="17">
        <v>-10</v>
      </c>
    </row>
    <row r="282" spans="1:2" x14ac:dyDescent="0.25">
      <c r="A282" s="14">
        <v>554.12835700000005</v>
      </c>
      <c r="B282" s="17">
        <v>0.3192132761537011</v>
      </c>
    </row>
    <row r="283" spans="1:2" x14ac:dyDescent="0.25">
      <c r="A283" s="14">
        <v>554.12935700000003</v>
      </c>
      <c r="B283" s="17">
        <v>-10</v>
      </c>
    </row>
    <row r="284" spans="1:2" x14ac:dyDescent="0.25">
      <c r="A284" s="14">
        <v>558.69895100000008</v>
      </c>
      <c r="B284" s="17">
        <v>-10</v>
      </c>
    </row>
    <row r="285" spans="1:2" x14ac:dyDescent="0.25">
      <c r="A285" s="14">
        <v>558.69995100000006</v>
      </c>
      <c r="B285" s="17">
        <v>0.76132073493318364</v>
      </c>
    </row>
    <row r="286" spans="1:2" x14ac:dyDescent="0.25">
      <c r="A286" s="14">
        <v>558.70095100000003</v>
      </c>
      <c r="B286" s="17">
        <v>-10</v>
      </c>
    </row>
    <row r="287" spans="1:2" x14ac:dyDescent="0.25">
      <c r="A287" s="14">
        <v>559.10970700000007</v>
      </c>
      <c r="B287" s="17">
        <v>-10</v>
      </c>
    </row>
    <row r="288" spans="1:2" x14ac:dyDescent="0.25">
      <c r="A288" s="14">
        <v>559.11070700000005</v>
      </c>
      <c r="B288" s="17">
        <v>1.6924488480642466</v>
      </c>
    </row>
    <row r="289" spans="1:2" x14ac:dyDescent="0.25">
      <c r="A289" s="14">
        <v>559.11170700000002</v>
      </c>
      <c r="B289" s="17">
        <v>-10</v>
      </c>
    </row>
    <row r="290" spans="1:2" x14ac:dyDescent="0.25">
      <c r="A290" s="14">
        <v>559.98270400000001</v>
      </c>
      <c r="B290" s="17">
        <v>-10</v>
      </c>
    </row>
    <row r="291" spans="1:2" x14ac:dyDescent="0.25">
      <c r="A291" s="14">
        <v>559.98370399999999</v>
      </c>
      <c r="B291" s="17">
        <v>0.2614272483353976</v>
      </c>
    </row>
    <row r="292" spans="1:2" x14ac:dyDescent="0.25">
      <c r="A292" s="14">
        <v>559.98470399999997</v>
      </c>
      <c r="B292" s="17">
        <v>-10</v>
      </c>
    </row>
    <row r="293" spans="1:2" x14ac:dyDescent="0.25">
      <c r="A293" s="14">
        <v>562.117796</v>
      </c>
      <c r="B293" s="17">
        <v>-10</v>
      </c>
    </row>
    <row r="294" spans="1:2" x14ac:dyDescent="0.25">
      <c r="A294" s="14">
        <v>562.11879599999997</v>
      </c>
      <c r="B294" s="17">
        <v>1.0135484395925285</v>
      </c>
    </row>
    <row r="295" spans="1:2" x14ac:dyDescent="0.25">
      <c r="A295" s="14">
        <v>562.11979599999995</v>
      </c>
      <c r="B295" s="17">
        <v>-10</v>
      </c>
    </row>
    <row r="296" spans="1:2" x14ac:dyDescent="0.25">
      <c r="A296" s="14">
        <v>571.12589200000002</v>
      </c>
      <c r="B296" s="17">
        <v>-10</v>
      </c>
    </row>
    <row r="297" spans="1:2" x14ac:dyDescent="0.25">
      <c r="A297" s="14">
        <v>571.126892</v>
      </c>
      <c r="B297" s="17">
        <v>0.37408640428502637</v>
      </c>
    </row>
    <row r="298" spans="1:2" x14ac:dyDescent="0.25">
      <c r="A298" s="14">
        <v>571.12789199999997</v>
      </c>
      <c r="B298" s="17">
        <v>-10</v>
      </c>
    </row>
    <row r="299" spans="1:2" x14ac:dyDescent="0.25">
      <c r="A299" s="14">
        <v>571.13187400000004</v>
      </c>
      <c r="B299" s="17">
        <v>-10</v>
      </c>
    </row>
    <row r="300" spans="1:2" x14ac:dyDescent="0.25">
      <c r="A300" s="14">
        <v>571.13287400000002</v>
      </c>
      <c r="B300" s="17">
        <v>0.56684519178561843</v>
      </c>
    </row>
    <row r="301" spans="1:2" x14ac:dyDescent="0.25">
      <c r="A301" s="14">
        <v>571.13387399999999</v>
      </c>
      <c r="B301" s="17">
        <v>-10</v>
      </c>
    </row>
    <row r="302" spans="1:2" x14ac:dyDescent="0.25">
      <c r="A302" s="14">
        <v>572.13291100000004</v>
      </c>
      <c r="B302" s="17">
        <v>-10</v>
      </c>
    </row>
    <row r="303" spans="1:2" x14ac:dyDescent="0.25">
      <c r="A303" s="14">
        <v>572.13391100000001</v>
      </c>
      <c r="B303" s="17">
        <v>0.2563508343553228</v>
      </c>
    </row>
    <row r="304" spans="1:2" x14ac:dyDescent="0.25">
      <c r="A304" s="14">
        <v>572.13491099999999</v>
      </c>
      <c r="B304" s="17">
        <v>-10</v>
      </c>
    </row>
    <row r="305" spans="1:2" x14ac:dyDescent="0.25">
      <c r="A305" s="14">
        <v>574.98865899999998</v>
      </c>
      <c r="B305" s="17">
        <v>-10</v>
      </c>
    </row>
    <row r="306" spans="1:2" x14ac:dyDescent="0.25">
      <c r="A306" s="14">
        <v>574.98965899999996</v>
      </c>
      <c r="B306" s="17">
        <v>0.99496218306494244</v>
      </c>
    </row>
    <row r="307" spans="1:2" x14ac:dyDescent="0.25">
      <c r="A307" s="14">
        <v>574.99065899999994</v>
      </c>
      <c r="B307" s="17">
        <v>-10</v>
      </c>
    </row>
    <row r="308" spans="1:2" x14ac:dyDescent="0.25">
      <c r="A308" s="14">
        <v>577.12071500000002</v>
      </c>
      <c r="B308" s="17">
        <v>-10</v>
      </c>
    </row>
    <row r="309" spans="1:2" x14ac:dyDescent="0.25">
      <c r="A309" s="14">
        <v>577.12171499999999</v>
      </c>
      <c r="B309" s="17">
        <v>1.3506762755643675</v>
      </c>
    </row>
    <row r="310" spans="1:2" x14ac:dyDescent="0.25">
      <c r="A310" s="14">
        <v>577.12271499999997</v>
      </c>
      <c r="B310" s="17">
        <v>-10</v>
      </c>
    </row>
    <row r="311" spans="1:2" x14ac:dyDescent="0.25">
      <c r="A311" s="14">
        <v>578.00101400000005</v>
      </c>
      <c r="B311" s="17">
        <v>-10</v>
      </c>
    </row>
    <row r="312" spans="1:2" x14ac:dyDescent="0.25">
      <c r="A312" s="14">
        <v>578.00201400000003</v>
      </c>
      <c r="B312" s="17">
        <v>0.36205565151923647</v>
      </c>
    </row>
    <row r="313" spans="1:2" x14ac:dyDescent="0.25">
      <c r="A313" s="14">
        <v>578.00301400000001</v>
      </c>
      <c r="B313" s="17">
        <v>-10</v>
      </c>
    </row>
    <row r="314" spans="1:2" x14ac:dyDescent="0.25">
      <c r="A314" s="14">
        <v>583.99904900000001</v>
      </c>
      <c r="B314" s="17">
        <v>-10</v>
      </c>
    </row>
    <row r="315" spans="1:2" x14ac:dyDescent="0.25">
      <c r="A315" s="14">
        <v>584.00004899999999</v>
      </c>
      <c r="B315" s="17">
        <v>4.0490658677569416</v>
      </c>
    </row>
    <row r="316" spans="1:2" x14ac:dyDescent="0.25">
      <c r="A316" s="14">
        <v>584.00104899999997</v>
      </c>
      <c r="B316" s="17">
        <v>-10</v>
      </c>
    </row>
    <row r="317" spans="1:2" x14ac:dyDescent="0.25">
      <c r="A317" s="14">
        <v>585.00016000000005</v>
      </c>
      <c r="B317" s="17">
        <v>-10</v>
      </c>
    </row>
    <row r="318" spans="1:2" x14ac:dyDescent="0.25">
      <c r="A318" s="14">
        <v>585.00116000000003</v>
      </c>
      <c r="B318" s="17">
        <v>0.40572066925057376</v>
      </c>
    </row>
    <row r="319" spans="1:2" x14ac:dyDescent="0.25">
      <c r="A319" s="14">
        <v>585.00216</v>
      </c>
      <c r="B319" s="17">
        <v>-10</v>
      </c>
    </row>
    <row r="320" spans="1:2" x14ac:dyDescent="0.25">
      <c r="A320" s="14">
        <v>592.99857300000008</v>
      </c>
      <c r="B320" s="17">
        <v>-10</v>
      </c>
    </row>
    <row r="321" spans="1:2" x14ac:dyDescent="0.25">
      <c r="A321" s="14">
        <v>592.99957300000005</v>
      </c>
      <c r="B321" s="17">
        <v>0.35933376437221126</v>
      </c>
    </row>
    <row r="322" spans="1:2" x14ac:dyDescent="0.25">
      <c r="A322" s="14">
        <v>593.00057300000003</v>
      </c>
      <c r="B322" s="17">
        <v>-10</v>
      </c>
    </row>
    <row r="323" spans="1:2" x14ac:dyDescent="0.25">
      <c r="A323" s="14">
        <v>595.13913700000001</v>
      </c>
      <c r="B323" s="17">
        <v>-10</v>
      </c>
    </row>
    <row r="324" spans="1:2" x14ac:dyDescent="0.25">
      <c r="A324" s="14">
        <v>595.14013699999998</v>
      </c>
      <c r="B324" s="17">
        <v>0.81980096377348288</v>
      </c>
    </row>
    <row r="325" spans="1:2" x14ac:dyDescent="0.25">
      <c r="A325" s="14">
        <v>595.14113699999996</v>
      </c>
      <c r="B325" s="17">
        <v>-10</v>
      </c>
    </row>
    <row r="326" spans="1:2" x14ac:dyDescent="0.25">
      <c r="A326" s="14">
        <v>595.14218800000003</v>
      </c>
      <c r="B326" s="17">
        <v>-10</v>
      </c>
    </row>
    <row r="327" spans="1:2" x14ac:dyDescent="0.25">
      <c r="A327" s="14">
        <v>595.14318800000001</v>
      </c>
      <c r="B327" s="17">
        <v>1.0184020683282451</v>
      </c>
    </row>
    <row r="328" spans="1:2" x14ac:dyDescent="0.25">
      <c r="A328" s="14">
        <v>595.14418799999999</v>
      </c>
      <c r="B328" s="17">
        <v>-10</v>
      </c>
    </row>
    <row r="329" spans="1:2" x14ac:dyDescent="0.25">
      <c r="A329" s="14">
        <v>597.06345299999998</v>
      </c>
      <c r="B329" s="17">
        <v>-10</v>
      </c>
    </row>
    <row r="330" spans="1:2" x14ac:dyDescent="0.25">
      <c r="A330" s="14">
        <v>597.06445299999996</v>
      </c>
      <c r="B330" s="17">
        <v>0.32271363944885484</v>
      </c>
    </row>
    <row r="331" spans="1:2" x14ac:dyDescent="0.25">
      <c r="A331" s="14">
        <v>597.06545299999993</v>
      </c>
      <c r="B331" s="17">
        <v>-10</v>
      </c>
    </row>
    <row r="332" spans="1:2" x14ac:dyDescent="0.25">
      <c r="A332" s="14">
        <v>602.00897700000007</v>
      </c>
      <c r="B332" s="17">
        <v>-10</v>
      </c>
    </row>
    <row r="333" spans="1:2" x14ac:dyDescent="0.25">
      <c r="A333" s="14">
        <v>602.00997700000005</v>
      </c>
      <c r="B333" s="17">
        <v>4.920389086434616</v>
      </c>
    </row>
    <row r="334" spans="1:2" x14ac:dyDescent="0.25">
      <c r="A334" s="14">
        <v>602.01097700000003</v>
      </c>
      <c r="B334" s="17">
        <v>-10</v>
      </c>
    </row>
    <row r="335" spans="1:2" x14ac:dyDescent="0.25">
      <c r="A335" s="14">
        <v>602.01224500000001</v>
      </c>
      <c r="B335" s="17">
        <v>-10</v>
      </c>
    </row>
    <row r="336" spans="1:2" x14ac:dyDescent="0.25">
      <c r="A336" s="14">
        <v>602.01324499999998</v>
      </c>
      <c r="B336" s="17">
        <v>1.3921087760926554</v>
      </c>
    </row>
    <row r="337" spans="1:2" x14ac:dyDescent="0.25">
      <c r="A337" s="14">
        <v>602.01424499999996</v>
      </c>
      <c r="B337" s="17">
        <v>-10</v>
      </c>
    </row>
    <row r="338" spans="1:2" x14ac:dyDescent="0.25">
      <c r="A338" s="14">
        <v>606.064571</v>
      </c>
      <c r="B338" s="17">
        <v>-10</v>
      </c>
    </row>
    <row r="339" spans="1:2" x14ac:dyDescent="0.25">
      <c r="A339" s="14">
        <v>606.06557099999998</v>
      </c>
      <c r="B339" s="17">
        <v>3.1605001374512254</v>
      </c>
    </row>
    <row r="340" spans="1:2" x14ac:dyDescent="0.25">
      <c r="A340" s="14">
        <v>606.06657099999995</v>
      </c>
      <c r="B340" s="17">
        <v>-10</v>
      </c>
    </row>
    <row r="341" spans="1:2" x14ac:dyDescent="0.25">
      <c r="A341" s="14">
        <v>607.06088999999997</v>
      </c>
      <c r="B341" s="17">
        <v>-10</v>
      </c>
    </row>
    <row r="342" spans="1:2" x14ac:dyDescent="0.25">
      <c r="A342" s="14">
        <v>607.06188999999995</v>
      </c>
      <c r="B342" s="17">
        <v>0.51968128927011203</v>
      </c>
    </row>
    <row r="343" spans="1:2" x14ac:dyDescent="0.25">
      <c r="A343" s="14">
        <v>607.06288999999992</v>
      </c>
      <c r="B343" s="17">
        <v>-10</v>
      </c>
    </row>
    <row r="344" spans="1:2" x14ac:dyDescent="0.25">
      <c r="A344" s="14">
        <v>615.07697500000006</v>
      </c>
      <c r="B344" s="17">
        <v>-10</v>
      </c>
    </row>
    <row r="345" spans="1:2" x14ac:dyDescent="0.25">
      <c r="A345" s="14">
        <v>615.07797500000004</v>
      </c>
      <c r="B345" s="17">
        <v>2.4229438362242721</v>
      </c>
    </row>
    <row r="346" spans="1:2" x14ac:dyDescent="0.25">
      <c r="A346" s="14">
        <v>615.07897500000001</v>
      </c>
      <c r="B346" s="17">
        <v>-10</v>
      </c>
    </row>
    <row r="347" spans="1:2" x14ac:dyDescent="0.25">
      <c r="A347" s="14">
        <v>621.06387700000005</v>
      </c>
      <c r="B347" s="17">
        <v>-10</v>
      </c>
    </row>
    <row r="348" spans="1:2" x14ac:dyDescent="0.25">
      <c r="A348" s="14">
        <v>621.06487700000002</v>
      </c>
      <c r="B348" s="17">
        <v>5.2591053150286786</v>
      </c>
    </row>
    <row r="349" spans="1:2" x14ac:dyDescent="0.25">
      <c r="A349" s="14">
        <v>621.065877</v>
      </c>
      <c r="B349" s="17">
        <v>-10</v>
      </c>
    </row>
    <row r="350" spans="1:2" x14ac:dyDescent="0.25">
      <c r="A350" s="14">
        <v>622.06320900000003</v>
      </c>
      <c r="B350" s="17">
        <v>-10</v>
      </c>
    </row>
    <row r="351" spans="1:2" x14ac:dyDescent="0.25">
      <c r="A351" s="14">
        <v>622.06420900000001</v>
      </c>
      <c r="B351" s="17">
        <v>0.34624328026208234</v>
      </c>
    </row>
    <row r="352" spans="1:2" x14ac:dyDescent="0.25">
      <c r="A352" s="14">
        <v>622.06520899999998</v>
      </c>
      <c r="B352" s="17">
        <v>-10</v>
      </c>
    </row>
    <row r="353" spans="1:2" x14ac:dyDescent="0.25">
      <c r="A353" s="14">
        <v>622.06687099999999</v>
      </c>
      <c r="B353" s="17">
        <v>-10</v>
      </c>
    </row>
    <row r="354" spans="1:2" x14ac:dyDescent="0.25">
      <c r="A354" s="14">
        <v>622.06787099999997</v>
      </c>
      <c r="B354" s="17">
        <v>0.3620252599045492</v>
      </c>
    </row>
    <row r="355" spans="1:2" x14ac:dyDescent="0.25">
      <c r="A355" s="14">
        <v>622.06887099999994</v>
      </c>
      <c r="B355" s="17">
        <v>-10</v>
      </c>
    </row>
    <row r="356" spans="1:2" x14ac:dyDescent="0.25">
      <c r="A356" s="14">
        <v>622.07126600000004</v>
      </c>
      <c r="B356" s="17">
        <v>-10</v>
      </c>
    </row>
    <row r="357" spans="1:2" x14ac:dyDescent="0.25">
      <c r="A357" s="14">
        <v>622.07226600000001</v>
      </c>
      <c r="B357" s="17">
        <v>0.44161779848192839</v>
      </c>
    </row>
    <row r="358" spans="1:2" x14ac:dyDescent="0.25">
      <c r="A358" s="14">
        <v>622.07326599999999</v>
      </c>
      <c r="B358" s="17">
        <v>-10</v>
      </c>
    </row>
    <row r="359" spans="1:2" x14ac:dyDescent="0.25">
      <c r="A359" s="14">
        <v>624.07501200000002</v>
      </c>
      <c r="B359" s="17">
        <v>-10</v>
      </c>
    </row>
    <row r="360" spans="1:2" x14ac:dyDescent="0.25">
      <c r="A360" s="14">
        <v>624.07601199999999</v>
      </c>
      <c r="B360" s="17">
        <v>5.8239348493503416</v>
      </c>
    </row>
    <row r="361" spans="1:2" x14ac:dyDescent="0.25">
      <c r="A361" s="14">
        <v>624.07701199999997</v>
      </c>
      <c r="B361" s="17">
        <v>-10</v>
      </c>
    </row>
    <row r="362" spans="1:2" x14ac:dyDescent="0.25">
      <c r="A362" s="14">
        <v>625.07626600000003</v>
      </c>
      <c r="B362" s="17">
        <v>-10</v>
      </c>
    </row>
    <row r="363" spans="1:2" x14ac:dyDescent="0.25">
      <c r="A363" s="14">
        <v>625.07726600000001</v>
      </c>
      <c r="B363" s="17">
        <v>0.9128119962242085</v>
      </c>
    </row>
    <row r="364" spans="1:2" x14ac:dyDescent="0.25">
      <c r="A364" s="14">
        <v>625.07826599999999</v>
      </c>
      <c r="B364" s="17">
        <v>-10</v>
      </c>
    </row>
    <row r="365" spans="1:2" x14ac:dyDescent="0.25">
      <c r="A365" s="14">
        <v>626.07993299999998</v>
      </c>
      <c r="B365" s="17">
        <v>-10</v>
      </c>
    </row>
    <row r="366" spans="1:2" x14ac:dyDescent="0.25">
      <c r="A366" s="14">
        <v>626.08093299999996</v>
      </c>
      <c r="B366" s="17">
        <v>0.3057397908407809</v>
      </c>
    </row>
    <row r="367" spans="1:2" x14ac:dyDescent="0.25">
      <c r="A367" s="14">
        <v>626.08193299999994</v>
      </c>
      <c r="B367" s="17">
        <v>-10</v>
      </c>
    </row>
    <row r="368" spans="1:2" x14ac:dyDescent="0.25">
      <c r="A368" s="14">
        <v>633.08658400000002</v>
      </c>
      <c r="B368" s="17">
        <v>-10</v>
      </c>
    </row>
    <row r="369" spans="1:2" x14ac:dyDescent="0.25">
      <c r="A369" s="14">
        <v>633.08758399999999</v>
      </c>
      <c r="B369" s="17">
        <v>5.4755617300795958</v>
      </c>
    </row>
    <row r="370" spans="1:2" x14ac:dyDescent="0.25">
      <c r="A370" s="14">
        <v>633.08858399999997</v>
      </c>
      <c r="B370" s="17">
        <v>-10</v>
      </c>
    </row>
    <row r="371" spans="1:2" x14ac:dyDescent="0.25">
      <c r="A371" s="14">
        <v>634.088436</v>
      </c>
      <c r="B371" s="17">
        <v>-10</v>
      </c>
    </row>
    <row r="372" spans="1:2" x14ac:dyDescent="0.25">
      <c r="A372" s="14">
        <v>634.08943599999998</v>
      </c>
      <c r="B372" s="17">
        <v>0.81503862640530389</v>
      </c>
    </row>
    <row r="373" spans="1:2" x14ac:dyDescent="0.25">
      <c r="A373" s="14">
        <v>634.09043599999995</v>
      </c>
      <c r="B373" s="17">
        <v>-10</v>
      </c>
    </row>
    <row r="374" spans="1:2" x14ac:dyDescent="0.25">
      <c r="A374" s="14">
        <v>634.09287200000006</v>
      </c>
      <c r="B374" s="17">
        <v>-10</v>
      </c>
    </row>
    <row r="375" spans="1:2" x14ac:dyDescent="0.25">
      <c r="A375" s="14">
        <v>634.09387200000003</v>
      </c>
      <c r="B375" s="17">
        <v>0.31198228771439102</v>
      </c>
    </row>
    <row r="376" spans="1:2" x14ac:dyDescent="0.25">
      <c r="A376" s="14">
        <v>634.09487200000001</v>
      </c>
      <c r="B376" s="17">
        <v>-10</v>
      </c>
    </row>
    <row r="377" spans="1:2" x14ac:dyDescent="0.25">
      <c r="A377" s="14">
        <v>638.22763800000007</v>
      </c>
      <c r="B377" s="17">
        <v>-10</v>
      </c>
    </row>
    <row r="378" spans="1:2" x14ac:dyDescent="0.25">
      <c r="A378" s="14">
        <v>638.22863800000005</v>
      </c>
      <c r="B378" s="17">
        <v>0.49441392240475507</v>
      </c>
    </row>
    <row r="379" spans="1:2" x14ac:dyDescent="0.25">
      <c r="A379" s="14">
        <v>638.22963800000002</v>
      </c>
      <c r="B379" s="17">
        <v>-10</v>
      </c>
    </row>
    <row r="380" spans="1:2" x14ac:dyDescent="0.25">
      <c r="A380" s="14">
        <v>638.36862900000006</v>
      </c>
      <c r="B380" s="17">
        <v>-10</v>
      </c>
    </row>
    <row r="381" spans="1:2" x14ac:dyDescent="0.25">
      <c r="A381" s="14">
        <v>638.36962900000003</v>
      </c>
      <c r="B381" s="17">
        <v>1.8806280318391864</v>
      </c>
    </row>
    <row r="382" spans="1:2" x14ac:dyDescent="0.25">
      <c r="A382" s="14">
        <v>638.37062900000001</v>
      </c>
      <c r="B382" s="17">
        <v>-10</v>
      </c>
    </row>
    <row r="383" spans="1:2" x14ac:dyDescent="0.25">
      <c r="A383" s="14">
        <v>638.37296200000003</v>
      </c>
      <c r="B383" s="17">
        <v>-10</v>
      </c>
    </row>
    <row r="384" spans="1:2" x14ac:dyDescent="0.25">
      <c r="A384" s="14">
        <v>638.37396200000001</v>
      </c>
      <c r="B384" s="17">
        <v>0.36608035899301766</v>
      </c>
    </row>
    <row r="385" spans="1:2" x14ac:dyDescent="0.25">
      <c r="A385" s="14">
        <v>638.37496199999998</v>
      </c>
      <c r="B385" s="17">
        <v>-10</v>
      </c>
    </row>
    <row r="386" spans="1:2" x14ac:dyDescent="0.25">
      <c r="A386" s="14">
        <v>638.511573</v>
      </c>
      <c r="B386" s="17">
        <v>-10</v>
      </c>
    </row>
    <row r="387" spans="1:2" x14ac:dyDescent="0.25">
      <c r="A387" s="14">
        <v>638.51257299999997</v>
      </c>
      <c r="B387" s="17">
        <v>0.59627293956493022</v>
      </c>
    </row>
    <row r="388" spans="1:2" x14ac:dyDescent="0.25">
      <c r="A388" s="14">
        <v>638.51357299999995</v>
      </c>
      <c r="B388" s="17">
        <v>-10</v>
      </c>
    </row>
    <row r="389" spans="1:2" x14ac:dyDescent="0.25">
      <c r="A389" s="14">
        <v>638.51486899999998</v>
      </c>
      <c r="B389" s="17">
        <v>-10</v>
      </c>
    </row>
    <row r="390" spans="1:2" x14ac:dyDescent="0.25">
      <c r="A390" s="14">
        <v>638.51586899999995</v>
      </c>
      <c r="B390" s="17">
        <v>1.0243727522276056</v>
      </c>
    </row>
    <row r="391" spans="1:2" x14ac:dyDescent="0.25">
      <c r="A391" s="14">
        <v>638.51686899999993</v>
      </c>
      <c r="B391" s="17">
        <v>-10</v>
      </c>
    </row>
    <row r="392" spans="1:2" x14ac:dyDescent="0.25">
      <c r="A392" s="14">
        <v>638.65421200000003</v>
      </c>
      <c r="B392" s="17">
        <v>-10</v>
      </c>
    </row>
    <row r="393" spans="1:2" x14ac:dyDescent="0.25">
      <c r="A393" s="14">
        <v>638.65521200000001</v>
      </c>
      <c r="B393" s="17">
        <v>0.33871766508018786</v>
      </c>
    </row>
    <row r="394" spans="1:2" x14ac:dyDescent="0.25">
      <c r="A394" s="14">
        <v>638.65621199999998</v>
      </c>
      <c r="B394" s="17">
        <v>-10</v>
      </c>
    </row>
    <row r="395" spans="1:2" x14ac:dyDescent="0.25">
      <c r="A395" s="14">
        <v>638.66104800000005</v>
      </c>
      <c r="B395" s="17">
        <v>-10</v>
      </c>
    </row>
    <row r="396" spans="1:2" x14ac:dyDescent="0.25">
      <c r="A396" s="14">
        <v>638.66204800000003</v>
      </c>
      <c r="B396" s="17">
        <v>0.98960892458873995</v>
      </c>
    </row>
    <row r="397" spans="1:2" x14ac:dyDescent="0.25">
      <c r="A397" s="14">
        <v>638.663048</v>
      </c>
      <c r="B397" s="17">
        <v>-10</v>
      </c>
    </row>
    <row r="398" spans="1:2" x14ac:dyDescent="0.25">
      <c r="A398" s="14">
        <v>638.79526499999997</v>
      </c>
      <c r="B398" s="17">
        <v>-10</v>
      </c>
    </row>
    <row r="399" spans="1:2" x14ac:dyDescent="0.25">
      <c r="A399" s="14">
        <v>638.79626499999995</v>
      </c>
      <c r="B399" s="17">
        <v>0.36394360307443624</v>
      </c>
    </row>
    <row r="400" spans="1:2" x14ac:dyDescent="0.25">
      <c r="A400" s="14">
        <v>638.79726499999992</v>
      </c>
      <c r="B400" s="17">
        <v>-10</v>
      </c>
    </row>
    <row r="401" spans="1:2" x14ac:dyDescent="0.25">
      <c r="A401" s="14">
        <v>639.07712500000002</v>
      </c>
      <c r="B401" s="17">
        <v>-10</v>
      </c>
    </row>
    <row r="402" spans="1:2" x14ac:dyDescent="0.25">
      <c r="A402" s="14">
        <v>639.078125</v>
      </c>
      <c r="B402" s="17">
        <v>4.6421741481597634</v>
      </c>
    </row>
    <row r="403" spans="1:2" x14ac:dyDescent="0.25">
      <c r="A403" s="14">
        <v>639.07912499999998</v>
      </c>
      <c r="B403" s="17">
        <v>-10</v>
      </c>
    </row>
    <row r="404" spans="1:2" x14ac:dyDescent="0.25">
      <c r="A404" s="14">
        <v>639.08116100000007</v>
      </c>
      <c r="B404" s="17">
        <v>-10</v>
      </c>
    </row>
    <row r="405" spans="1:2" x14ac:dyDescent="0.25">
      <c r="A405" s="14">
        <v>639.08216100000004</v>
      </c>
      <c r="B405" s="17">
        <v>7.110769047334772</v>
      </c>
    </row>
    <row r="406" spans="1:2" x14ac:dyDescent="0.25">
      <c r="A406" s="14">
        <v>639.08316100000002</v>
      </c>
      <c r="B406" s="17">
        <v>-10</v>
      </c>
    </row>
    <row r="407" spans="1:2" x14ac:dyDescent="0.25">
      <c r="A407" s="14">
        <v>640.08017700000005</v>
      </c>
      <c r="B407" s="17">
        <v>-10</v>
      </c>
    </row>
    <row r="408" spans="1:2" x14ac:dyDescent="0.25">
      <c r="A408" s="14">
        <v>640.08117700000003</v>
      </c>
      <c r="B408" s="17">
        <v>1.1115249499439475</v>
      </c>
    </row>
    <row r="409" spans="1:2" x14ac:dyDescent="0.25">
      <c r="A409" s="14">
        <v>640.082177</v>
      </c>
      <c r="B409" s="17">
        <v>-10</v>
      </c>
    </row>
    <row r="410" spans="1:2" x14ac:dyDescent="0.25">
      <c r="A410" s="14">
        <v>640.08547299999998</v>
      </c>
      <c r="B410" s="17">
        <v>-10</v>
      </c>
    </row>
    <row r="411" spans="1:2" x14ac:dyDescent="0.25">
      <c r="A411" s="14">
        <v>640.08647299999996</v>
      </c>
      <c r="B411" s="17">
        <v>1.5493900831528535</v>
      </c>
    </row>
    <row r="412" spans="1:2" x14ac:dyDescent="0.25">
      <c r="A412" s="14">
        <v>640.08747299999993</v>
      </c>
      <c r="B412" s="17">
        <v>-10</v>
      </c>
    </row>
    <row r="413" spans="1:2" x14ac:dyDescent="0.25">
      <c r="A413" s="14">
        <v>641.083167</v>
      </c>
      <c r="B413" s="17">
        <v>-10</v>
      </c>
    </row>
    <row r="414" spans="1:2" x14ac:dyDescent="0.25">
      <c r="A414" s="14">
        <v>641.08416699999998</v>
      </c>
      <c r="B414" s="17">
        <v>0.30821199874324745</v>
      </c>
    </row>
    <row r="415" spans="1:2" x14ac:dyDescent="0.25">
      <c r="A415" s="14">
        <v>641.08516699999996</v>
      </c>
      <c r="B415" s="17">
        <v>-10</v>
      </c>
    </row>
    <row r="416" spans="1:2" x14ac:dyDescent="0.25">
      <c r="A416" s="14">
        <v>641.29355600000008</v>
      </c>
      <c r="B416" s="17">
        <v>-10</v>
      </c>
    </row>
    <row r="417" spans="1:2" x14ac:dyDescent="0.25">
      <c r="A417" s="14">
        <v>641.29455600000006</v>
      </c>
      <c r="B417" s="17">
        <v>0.31860978388186484</v>
      </c>
    </row>
    <row r="418" spans="1:2" x14ac:dyDescent="0.25">
      <c r="A418" s="14">
        <v>641.29555600000003</v>
      </c>
      <c r="B418" s="17">
        <v>-10</v>
      </c>
    </row>
    <row r="419" spans="1:2" x14ac:dyDescent="0.25">
      <c r="A419" s="14">
        <v>641.51010800000006</v>
      </c>
      <c r="B419" s="17">
        <v>-10</v>
      </c>
    </row>
    <row r="420" spans="1:2" x14ac:dyDescent="0.25">
      <c r="A420" s="14">
        <v>641.51110800000004</v>
      </c>
      <c r="B420" s="17">
        <v>0.32052630088056139</v>
      </c>
    </row>
    <row r="421" spans="1:2" x14ac:dyDescent="0.25">
      <c r="A421" s="14">
        <v>641.51210800000001</v>
      </c>
      <c r="B421" s="17">
        <v>-10</v>
      </c>
    </row>
    <row r="422" spans="1:2" x14ac:dyDescent="0.25">
      <c r="A422" s="14">
        <v>642.08579199999997</v>
      </c>
      <c r="B422" s="17">
        <v>-10</v>
      </c>
    </row>
    <row r="423" spans="1:2" x14ac:dyDescent="0.25">
      <c r="A423" s="14">
        <v>642.08679199999995</v>
      </c>
      <c r="B423" s="17">
        <v>0.43438669160892185</v>
      </c>
    </row>
    <row r="424" spans="1:2" x14ac:dyDescent="0.25">
      <c r="A424" s="14">
        <v>642.08779199999992</v>
      </c>
      <c r="B424" s="17">
        <v>-10</v>
      </c>
    </row>
    <row r="425" spans="1:2" x14ac:dyDescent="0.25">
      <c r="A425" s="14">
        <v>642.09006399999998</v>
      </c>
      <c r="B425" s="17">
        <v>-10</v>
      </c>
    </row>
    <row r="426" spans="1:2" x14ac:dyDescent="0.25">
      <c r="A426" s="14">
        <v>642.09106399999996</v>
      </c>
      <c r="B426" s="17">
        <v>0.37155599959229824</v>
      </c>
    </row>
    <row r="427" spans="1:2" x14ac:dyDescent="0.25">
      <c r="A427" s="14">
        <v>642.09206399999994</v>
      </c>
      <c r="B427" s="17">
        <v>-10</v>
      </c>
    </row>
    <row r="428" spans="1:2" x14ac:dyDescent="0.25">
      <c r="A428" s="14">
        <v>648.08329000000003</v>
      </c>
      <c r="B428" s="17">
        <v>-10</v>
      </c>
    </row>
    <row r="429" spans="1:2" x14ac:dyDescent="0.25">
      <c r="A429" s="14">
        <v>648.08429000000001</v>
      </c>
      <c r="B429" s="17">
        <v>0.3312125714015357</v>
      </c>
    </row>
    <row r="430" spans="1:2" x14ac:dyDescent="0.25">
      <c r="A430" s="14">
        <v>648.08528999999999</v>
      </c>
      <c r="B430" s="17">
        <v>-10</v>
      </c>
    </row>
    <row r="431" spans="1:2" x14ac:dyDescent="0.25">
      <c r="A431" s="14">
        <v>651.09281099999998</v>
      </c>
      <c r="B431" s="17">
        <v>-10</v>
      </c>
    </row>
    <row r="432" spans="1:2" x14ac:dyDescent="0.25">
      <c r="A432" s="14">
        <v>651.09381099999996</v>
      </c>
      <c r="B432" s="17">
        <v>0.53020355395436702</v>
      </c>
    </row>
    <row r="433" spans="1:2" x14ac:dyDescent="0.25">
      <c r="A433" s="14">
        <v>651.09481099999994</v>
      </c>
      <c r="B433" s="17">
        <v>-10</v>
      </c>
    </row>
    <row r="434" spans="1:2" x14ac:dyDescent="0.25">
      <c r="A434" s="14">
        <v>657.09445900000003</v>
      </c>
      <c r="B434" s="17">
        <v>-10</v>
      </c>
    </row>
    <row r="435" spans="1:2" x14ac:dyDescent="0.25">
      <c r="A435" s="14">
        <v>657.09545900000001</v>
      </c>
      <c r="B435" s="17">
        <v>7.4416286977821944</v>
      </c>
    </row>
    <row r="436" spans="1:2" x14ac:dyDescent="0.25">
      <c r="A436" s="14">
        <v>657.09645899999998</v>
      </c>
      <c r="B436" s="17">
        <v>-10</v>
      </c>
    </row>
    <row r="437" spans="1:2" x14ac:dyDescent="0.25">
      <c r="A437" s="14">
        <v>657.09779800000001</v>
      </c>
      <c r="B437" s="17">
        <v>-10</v>
      </c>
    </row>
    <row r="438" spans="1:2" x14ac:dyDescent="0.25">
      <c r="A438" s="14">
        <v>657.09879799999999</v>
      </c>
      <c r="B438" s="17">
        <v>11.878452233679502</v>
      </c>
    </row>
    <row r="439" spans="1:2" x14ac:dyDescent="0.25">
      <c r="A439" s="14">
        <v>657.09979799999996</v>
      </c>
      <c r="B439" s="17">
        <v>-10</v>
      </c>
    </row>
    <row r="440" spans="1:2" x14ac:dyDescent="0.25">
      <c r="A440" s="14">
        <v>658.096046</v>
      </c>
      <c r="B440" s="17">
        <v>-10</v>
      </c>
    </row>
    <row r="441" spans="1:2" x14ac:dyDescent="0.25">
      <c r="A441" s="14">
        <v>658.09704599999998</v>
      </c>
      <c r="B441" s="17">
        <v>1.7284781894154846</v>
      </c>
    </row>
    <row r="442" spans="1:2" x14ac:dyDescent="0.25">
      <c r="A442" s="14">
        <v>658.09804599999995</v>
      </c>
      <c r="B442" s="17">
        <v>-10</v>
      </c>
    </row>
    <row r="443" spans="1:2" x14ac:dyDescent="0.25">
      <c r="A443" s="14">
        <v>658.10040400000003</v>
      </c>
      <c r="B443" s="17">
        <v>-10</v>
      </c>
    </row>
    <row r="444" spans="1:2" x14ac:dyDescent="0.25">
      <c r="A444" s="14">
        <v>658.101404</v>
      </c>
      <c r="B444" s="17">
        <v>2.5283025156285266</v>
      </c>
    </row>
    <row r="445" spans="1:2" x14ac:dyDescent="0.25">
      <c r="A445" s="14">
        <v>658.10240399999998</v>
      </c>
      <c r="B445" s="17">
        <v>-10</v>
      </c>
    </row>
    <row r="446" spans="1:2" x14ac:dyDescent="0.25">
      <c r="A446" s="14">
        <v>675.10636099999999</v>
      </c>
      <c r="B446" s="17">
        <v>-10</v>
      </c>
    </row>
    <row r="447" spans="1:2" x14ac:dyDescent="0.25">
      <c r="A447" s="14">
        <v>675.10736099999997</v>
      </c>
      <c r="B447" s="17">
        <v>2.4578890813634566</v>
      </c>
    </row>
    <row r="448" spans="1:2" x14ac:dyDescent="0.25">
      <c r="A448" s="14">
        <v>675.10836099999995</v>
      </c>
      <c r="B448" s="17">
        <v>-10</v>
      </c>
    </row>
    <row r="449" spans="1:2" x14ac:dyDescent="0.25">
      <c r="A449" s="14">
        <v>675.11005799999998</v>
      </c>
      <c r="B449" s="17">
        <v>-10</v>
      </c>
    </row>
    <row r="450" spans="1:2" x14ac:dyDescent="0.25">
      <c r="A450" s="14">
        <v>675.11105799999996</v>
      </c>
      <c r="B450" s="17">
        <v>3.7481541526267566</v>
      </c>
    </row>
    <row r="451" spans="1:2" x14ac:dyDescent="0.25">
      <c r="A451" s="14">
        <v>675.11205799999993</v>
      </c>
      <c r="B451" s="17">
        <v>-10</v>
      </c>
    </row>
    <row r="452" spans="1:2" x14ac:dyDescent="0.25">
      <c r="A452" s="14">
        <v>676.110816</v>
      </c>
      <c r="B452" s="17">
        <v>-10</v>
      </c>
    </row>
    <row r="453" spans="1:2" x14ac:dyDescent="0.25">
      <c r="A453" s="14">
        <v>676.11181599999998</v>
      </c>
      <c r="B453" s="17">
        <v>0.31684337777298399</v>
      </c>
    </row>
    <row r="454" spans="1:2" x14ac:dyDescent="0.25">
      <c r="A454" s="14">
        <v>676.11281599999995</v>
      </c>
      <c r="B454" s="17">
        <v>-10</v>
      </c>
    </row>
    <row r="455" spans="1:2" x14ac:dyDescent="0.25">
      <c r="A455" s="14">
        <v>680.02323100000001</v>
      </c>
      <c r="B455" s="17">
        <v>-10</v>
      </c>
    </row>
    <row r="456" spans="1:2" x14ac:dyDescent="0.25">
      <c r="A456" s="14">
        <v>680.02423099999999</v>
      </c>
      <c r="B456" s="17">
        <v>0.31620230381495307</v>
      </c>
    </row>
    <row r="457" spans="1:2" x14ac:dyDescent="0.25">
      <c r="A457" s="14">
        <v>680.02523099999996</v>
      </c>
      <c r="B457" s="17">
        <v>-10</v>
      </c>
    </row>
    <row r="458" spans="1:2" x14ac:dyDescent="0.25">
      <c r="A458" s="14">
        <v>686.029629</v>
      </c>
      <c r="B458" s="17">
        <v>-10</v>
      </c>
    </row>
    <row r="459" spans="1:2" x14ac:dyDescent="0.25">
      <c r="A459" s="14">
        <v>686.03062899999998</v>
      </c>
      <c r="B459" s="17">
        <v>1.5933478995453636</v>
      </c>
    </row>
    <row r="460" spans="1:2" x14ac:dyDescent="0.25">
      <c r="A460" s="14">
        <v>686.03162899999995</v>
      </c>
      <c r="B460" s="17">
        <v>-10</v>
      </c>
    </row>
    <row r="461" spans="1:2" x14ac:dyDescent="0.25">
      <c r="A461" s="14">
        <v>686.03330200000005</v>
      </c>
      <c r="B461" s="17">
        <v>-10</v>
      </c>
    </row>
    <row r="462" spans="1:2" x14ac:dyDescent="0.25">
      <c r="A462" s="14">
        <v>686.03430200000003</v>
      </c>
      <c r="B462" s="17">
        <v>1.3850732319058108</v>
      </c>
    </row>
    <row r="463" spans="1:2" x14ac:dyDescent="0.25">
      <c r="A463" s="14">
        <v>686.035302</v>
      </c>
      <c r="B463" s="17">
        <v>-10</v>
      </c>
    </row>
    <row r="464" spans="1:2" x14ac:dyDescent="0.25">
      <c r="A464" s="14">
        <v>686.58090900000002</v>
      </c>
      <c r="B464" s="17">
        <v>-10</v>
      </c>
    </row>
    <row r="465" spans="1:2" x14ac:dyDescent="0.25">
      <c r="A465" s="14">
        <v>686.581909</v>
      </c>
      <c r="B465" s="17">
        <v>0.30429348427032699</v>
      </c>
    </row>
    <row r="466" spans="1:2" x14ac:dyDescent="0.25">
      <c r="A466" s="14">
        <v>686.58290899999997</v>
      </c>
      <c r="B466" s="17">
        <v>-10</v>
      </c>
    </row>
    <row r="467" spans="1:2" x14ac:dyDescent="0.25">
      <c r="A467" s="14">
        <v>695.04189400000007</v>
      </c>
      <c r="B467" s="17">
        <v>-10</v>
      </c>
    </row>
    <row r="468" spans="1:2" x14ac:dyDescent="0.25">
      <c r="A468" s="14">
        <v>695.04289400000005</v>
      </c>
      <c r="B468" s="17">
        <v>1.9200341891277446</v>
      </c>
    </row>
    <row r="469" spans="1:2" x14ac:dyDescent="0.25">
      <c r="A469" s="14">
        <v>695.04389400000002</v>
      </c>
      <c r="B469" s="17">
        <v>-10</v>
      </c>
    </row>
    <row r="470" spans="1:2" x14ac:dyDescent="0.25">
      <c r="A470" s="14">
        <v>701.03126400000008</v>
      </c>
      <c r="B470" s="17">
        <v>-10</v>
      </c>
    </row>
    <row r="471" spans="1:2" x14ac:dyDescent="0.25">
      <c r="A471" s="14">
        <v>701.03226400000005</v>
      </c>
      <c r="B471" s="17">
        <v>3.5406780929535087</v>
      </c>
    </row>
    <row r="472" spans="1:2" x14ac:dyDescent="0.25">
      <c r="A472" s="14">
        <v>701.03326400000003</v>
      </c>
      <c r="B472" s="17">
        <v>-10</v>
      </c>
    </row>
    <row r="473" spans="1:2" x14ac:dyDescent="0.25">
      <c r="A473" s="14">
        <v>702.03372899999999</v>
      </c>
      <c r="B473" s="17">
        <v>-10</v>
      </c>
    </row>
    <row r="474" spans="1:2" x14ac:dyDescent="0.25">
      <c r="A474" s="14">
        <v>702.03472899999997</v>
      </c>
      <c r="B474" s="17">
        <v>0.43781017997375044</v>
      </c>
    </row>
    <row r="475" spans="1:2" x14ac:dyDescent="0.25">
      <c r="A475" s="14">
        <v>702.03572899999995</v>
      </c>
      <c r="B475" s="17">
        <v>-10</v>
      </c>
    </row>
    <row r="476" spans="1:2" x14ac:dyDescent="0.25">
      <c r="A476" s="14">
        <v>704.04172700000004</v>
      </c>
      <c r="B476" s="17">
        <v>-10</v>
      </c>
    </row>
    <row r="477" spans="1:2" x14ac:dyDescent="0.25">
      <c r="A477" s="14">
        <v>704.04272700000001</v>
      </c>
      <c r="B477" s="17">
        <v>2.5407179028359863</v>
      </c>
    </row>
    <row r="478" spans="1:2" x14ac:dyDescent="0.25">
      <c r="A478" s="14">
        <v>704.04372699999999</v>
      </c>
      <c r="B478" s="17">
        <v>-10</v>
      </c>
    </row>
    <row r="479" spans="1:2" x14ac:dyDescent="0.25">
      <c r="A479" s="14">
        <v>713.05219799999998</v>
      </c>
      <c r="B479" s="17">
        <v>-10</v>
      </c>
    </row>
    <row r="480" spans="1:2" x14ac:dyDescent="0.25">
      <c r="A480" s="14">
        <v>713.05319799999995</v>
      </c>
      <c r="B480" s="17">
        <v>1.0894367369969684</v>
      </c>
    </row>
    <row r="481" spans="1:2" x14ac:dyDescent="0.25">
      <c r="A481" s="14">
        <v>713.05419799999993</v>
      </c>
      <c r="B481" s="17">
        <v>-10</v>
      </c>
    </row>
    <row r="482" spans="1:2" x14ac:dyDescent="0.25">
      <c r="A482" s="14">
        <v>719.04270100000008</v>
      </c>
      <c r="B482" s="17">
        <v>-10</v>
      </c>
    </row>
    <row r="483" spans="1:2" x14ac:dyDescent="0.25">
      <c r="A483" s="14">
        <v>719.04370100000006</v>
      </c>
      <c r="B483" s="17">
        <v>3.5176329433800508</v>
      </c>
    </row>
    <row r="484" spans="1:2" x14ac:dyDescent="0.25">
      <c r="A484" s="14">
        <v>719.04470100000003</v>
      </c>
      <c r="B484" s="17">
        <v>-10</v>
      </c>
    </row>
    <row r="485" spans="1:2" x14ac:dyDescent="0.25">
      <c r="A485" s="14">
        <v>719.04744400000004</v>
      </c>
      <c r="B485" s="17">
        <v>-10</v>
      </c>
    </row>
    <row r="486" spans="1:2" x14ac:dyDescent="0.25">
      <c r="A486" s="14">
        <v>719.04844400000002</v>
      </c>
      <c r="B486" s="17">
        <v>5.9783719654594938</v>
      </c>
    </row>
    <row r="487" spans="1:2" x14ac:dyDescent="0.25">
      <c r="A487" s="14">
        <v>719.04944399999999</v>
      </c>
      <c r="B487" s="17">
        <v>-10</v>
      </c>
    </row>
    <row r="488" spans="1:2" x14ac:dyDescent="0.25">
      <c r="A488" s="14">
        <v>720.04847000000007</v>
      </c>
      <c r="B488" s="17">
        <v>-10</v>
      </c>
    </row>
    <row r="489" spans="1:2" x14ac:dyDescent="0.25">
      <c r="A489" s="14">
        <v>720.04947000000004</v>
      </c>
      <c r="B489" s="17">
        <v>1.8731194787504648</v>
      </c>
    </row>
    <row r="490" spans="1:2" x14ac:dyDescent="0.25">
      <c r="A490" s="14">
        <v>720.05047000000002</v>
      </c>
      <c r="B490" s="17">
        <v>-10</v>
      </c>
    </row>
    <row r="491" spans="1:2" x14ac:dyDescent="0.25">
      <c r="A491" s="14">
        <v>721.05033100000003</v>
      </c>
      <c r="B491" s="17">
        <v>-10</v>
      </c>
    </row>
    <row r="492" spans="1:2" x14ac:dyDescent="0.25">
      <c r="A492" s="14">
        <v>721.051331</v>
      </c>
      <c r="B492" s="17">
        <v>0.37169330436112946</v>
      </c>
    </row>
    <row r="493" spans="1:2" x14ac:dyDescent="0.25">
      <c r="A493" s="14">
        <v>721.05233099999998</v>
      </c>
      <c r="B493" s="17">
        <v>-10</v>
      </c>
    </row>
    <row r="494" spans="1:2" x14ac:dyDescent="0.25">
      <c r="A494" s="14">
        <v>737.05912000000001</v>
      </c>
      <c r="B494" s="17">
        <v>-10</v>
      </c>
    </row>
    <row r="495" spans="1:2" x14ac:dyDescent="0.25">
      <c r="A495" s="14">
        <v>737.06011999999998</v>
      </c>
      <c r="B495" s="17">
        <v>5.3284399749571518</v>
      </c>
    </row>
    <row r="496" spans="1:2" x14ac:dyDescent="0.25">
      <c r="A496" s="14">
        <v>737.06111999999996</v>
      </c>
      <c r="B496" s="17">
        <v>-10</v>
      </c>
    </row>
    <row r="497" spans="1:2" x14ac:dyDescent="0.25">
      <c r="A497" s="14">
        <v>737.06431600000008</v>
      </c>
      <c r="B497" s="17">
        <v>-10</v>
      </c>
    </row>
    <row r="498" spans="1:2" x14ac:dyDescent="0.25">
      <c r="A498" s="14">
        <v>737.06531600000005</v>
      </c>
      <c r="B498" s="17">
        <v>8.4824935848393093</v>
      </c>
    </row>
    <row r="499" spans="1:2" x14ac:dyDescent="0.25">
      <c r="A499" s="14">
        <v>737.06631600000003</v>
      </c>
      <c r="B499" s="17">
        <v>-10</v>
      </c>
    </row>
    <row r="500" spans="1:2" x14ac:dyDescent="0.25">
      <c r="A500" s="14">
        <v>738.06495200000006</v>
      </c>
      <c r="B500" s="17">
        <v>-10</v>
      </c>
    </row>
    <row r="501" spans="1:2" x14ac:dyDescent="0.25">
      <c r="A501" s="14">
        <v>738.06595200000004</v>
      </c>
      <c r="B501" s="17">
        <v>3.1820106422882195</v>
      </c>
    </row>
    <row r="502" spans="1:2" x14ac:dyDescent="0.25">
      <c r="A502" s="14">
        <v>738.06695200000001</v>
      </c>
      <c r="B502" s="17">
        <v>-10</v>
      </c>
    </row>
    <row r="503" spans="1:2" x14ac:dyDescent="0.25">
      <c r="A503" s="14">
        <v>747.12253499999997</v>
      </c>
      <c r="B503" s="17">
        <v>-10</v>
      </c>
    </row>
    <row r="504" spans="1:2" x14ac:dyDescent="0.25">
      <c r="A504" s="14">
        <v>747.12353499999995</v>
      </c>
      <c r="B504" s="17">
        <v>0.58234272998339609</v>
      </c>
    </row>
    <row r="505" spans="1:2" x14ac:dyDescent="0.25">
      <c r="A505" s="14">
        <v>747.12453499999992</v>
      </c>
      <c r="B505" s="17">
        <v>-10</v>
      </c>
    </row>
    <row r="506" spans="1:2" x14ac:dyDescent="0.25">
      <c r="A506" s="14">
        <v>753.10764300000005</v>
      </c>
      <c r="B506" s="17">
        <v>-10</v>
      </c>
    </row>
    <row r="507" spans="1:2" x14ac:dyDescent="0.25">
      <c r="A507" s="14">
        <v>753.10864300000003</v>
      </c>
      <c r="B507" s="17">
        <v>0.6782549620180226</v>
      </c>
    </row>
    <row r="508" spans="1:2" x14ac:dyDescent="0.25">
      <c r="A508" s="14">
        <v>753.10964300000001</v>
      </c>
      <c r="B508" s="17">
        <v>-10</v>
      </c>
    </row>
    <row r="509" spans="1:2" x14ac:dyDescent="0.25">
      <c r="A509" s="14">
        <v>753.11246400000005</v>
      </c>
      <c r="B509" s="17">
        <v>-10</v>
      </c>
    </row>
    <row r="510" spans="1:2" x14ac:dyDescent="0.25">
      <c r="A510" s="14">
        <v>753.11346400000002</v>
      </c>
      <c r="B510" s="17">
        <v>0.77075750321345771</v>
      </c>
    </row>
    <row r="511" spans="1:2" x14ac:dyDescent="0.25">
      <c r="A511" s="14">
        <v>753.114464</v>
      </c>
      <c r="B511" s="17">
        <v>-10</v>
      </c>
    </row>
    <row r="512" spans="1:2" x14ac:dyDescent="0.25">
      <c r="A512" s="14">
        <v>771.12902800000006</v>
      </c>
      <c r="B512" s="17">
        <v>-10</v>
      </c>
    </row>
    <row r="513" spans="1:2" x14ac:dyDescent="0.25">
      <c r="A513" s="14">
        <v>771.13002800000004</v>
      </c>
      <c r="B513" s="17">
        <v>3.4012472788123285</v>
      </c>
    </row>
    <row r="514" spans="1:2" x14ac:dyDescent="0.25">
      <c r="A514" s="14">
        <v>771.13102800000001</v>
      </c>
      <c r="B514" s="17">
        <v>-10</v>
      </c>
    </row>
    <row r="515" spans="1:2" x14ac:dyDescent="0.25">
      <c r="A515" s="14">
        <v>772.13468599999999</v>
      </c>
      <c r="B515" s="17">
        <v>-10</v>
      </c>
    </row>
    <row r="516" spans="1:2" x14ac:dyDescent="0.25">
      <c r="A516" s="14">
        <v>772.13568599999996</v>
      </c>
      <c r="B516" s="17">
        <v>0.86180938444498389</v>
      </c>
    </row>
    <row r="517" spans="1:2" x14ac:dyDescent="0.25">
      <c r="A517" s="14">
        <v>772.13668599999994</v>
      </c>
      <c r="B517" s="17">
        <v>-10</v>
      </c>
    </row>
    <row r="518" spans="1:2" x14ac:dyDescent="0.25">
      <c r="A518" s="14">
        <v>815.05838700000004</v>
      </c>
      <c r="B518" s="17">
        <v>-10</v>
      </c>
    </row>
    <row r="519" spans="1:2" x14ac:dyDescent="0.25">
      <c r="A519" s="14">
        <v>815.05938700000002</v>
      </c>
      <c r="B519" s="17">
        <v>0.7303530205419515</v>
      </c>
    </row>
    <row r="520" spans="1:2" x14ac:dyDescent="0.25">
      <c r="A520" s="14">
        <v>815.06038699999999</v>
      </c>
      <c r="B520" s="17">
        <v>-10</v>
      </c>
    </row>
    <row r="521" spans="1:2" x14ac:dyDescent="0.25">
      <c r="A521" s="14">
        <v>815.06925100000001</v>
      </c>
      <c r="B521" s="17">
        <v>-10</v>
      </c>
    </row>
    <row r="522" spans="1:2" x14ac:dyDescent="0.25">
      <c r="A522" s="14">
        <v>815.07025099999998</v>
      </c>
      <c r="B522" s="17">
        <v>0.79932205272681511</v>
      </c>
    </row>
    <row r="523" spans="1:2" x14ac:dyDescent="0.25">
      <c r="A523" s="14">
        <v>815.07125099999996</v>
      </c>
      <c r="B523" s="17">
        <v>-10</v>
      </c>
    </row>
    <row r="524" spans="1:2" x14ac:dyDescent="0.25">
      <c r="A524" s="14">
        <v>827.08549900000003</v>
      </c>
      <c r="B524" s="17">
        <v>-10</v>
      </c>
    </row>
    <row r="525" spans="1:2" x14ac:dyDescent="0.25">
      <c r="A525" s="14">
        <v>827.086499</v>
      </c>
      <c r="B525" s="17">
        <v>1.4058709397202445</v>
      </c>
    </row>
    <row r="526" spans="1:2" x14ac:dyDescent="0.25">
      <c r="A526" s="14">
        <v>827.08749899999998</v>
      </c>
      <c r="B526" s="17">
        <v>-10</v>
      </c>
    </row>
    <row r="527" spans="1:2" x14ac:dyDescent="0.25">
      <c r="A527" s="14">
        <v>833.07298100000003</v>
      </c>
      <c r="B527" s="17">
        <v>-10</v>
      </c>
    </row>
    <row r="528" spans="1:2" x14ac:dyDescent="0.25">
      <c r="A528" s="14">
        <v>833.073981</v>
      </c>
      <c r="B528" s="17">
        <v>1.6318657907389587</v>
      </c>
    </row>
    <row r="529" spans="1:2" x14ac:dyDescent="0.25">
      <c r="A529" s="14">
        <v>833.07498099999998</v>
      </c>
      <c r="B529" s="17">
        <v>-10</v>
      </c>
    </row>
    <row r="530" spans="1:2" x14ac:dyDescent="0.25">
      <c r="A530" s="14">
        <v>833.07834600000001</v>
      </c>
      <c r="B530" s="17">
        <v>-10</v>
      </c>
    </row>
    <row r="531" spans="1:2" x14ac:dyDescent="0.25">
      <c r="A531" s="14">
        <v>833.07934599999999</v>
      </c>
      <c r="B531" s="17">
        <v>1.5848284269872317</v>
      </c>
    </row>
    <row r="532" spans="1:2" x14ac:dyDescent="0.25">
      <c r="A532" s="14">
        <v>833.08034599999996</v>
      </c>
      <c r="B532" s="17">
        <v>-10</v>
      </c>
    </row>
    <row r="533" spans="1:2" x14ac:dyDescent="0.25">
      <c r="A533" s="14">
        <v>834.06858</v>
      </c>
      <c r="B533" s="17">
        <v>-10</v>
      </c>
    </row>
    <row r="534" spans="1:2" x14ac:dyDescent="0.25">
      <c r="A534" s="14">
        <v>834.06957999999997</v>
      </c>
      <c r="B534" s="17">
        <v>0.42604777886191991</v>
      </c>
    </row>
    <row r="535" spans="1:2" x14ac:dyDescent="0.25">
      <c r="A535" s="14">
        <v>834.07057999999995</v>
      </c>
      <c r="B535" s="17">
        <v>-10</v>
      </c>
    </row>
    <row r="536" spans="1:2" x14ac:dyDescent="0.25">
      <c r="A536" s="14">
        <v>834.08121400000005</v>
      </c>
      <c r="B536" s="17">
        <v>-10</v>
      </c>
    </row>
    <row r="537" spans="1:2" x14ac:dyDescent="0.25">
      <c r="A537" s="14">
        <v>834.08221400000002</v>
      </c>
      <c r="B537" s="17">
        <v>0.42998193613387703</v>
      </c>
    </row>
    <row r="538" spans="1:2" x14ac:dyDescent="0.25">
      <c r="A538" s="14">
        <v>834.083214</v>
      </c>
      <c r="B538" s="17">
        <v>-10</v>
      </c>
    </row>
    <row r="539" spans="1:2" x14ac:dyDescent="0.25">
      <c r="A539" s="14">
        <v>846.13932</v>
      </c>
      <c r="B539" s="17">
        <v>-10</v>
      </c>
    </row>
    <row r="540" spans="1:2" x14ac:dyDescent="0.25">
      <c r="A540" s="14">
        <v>846.14031999999997</v>
      </c>
      <c r="B540" s="17">
        <v>0.76488390056121436</v>
      </c>
    </row>
    <row r="541" spans="1:2" x14ac:dyDescent="0.25">
      <c r="A541" s="14">
        <v>846.14131999999995</v>
      </c>
      <c r="B541" s="17">
        <v>-10</v>
      </c>
    </row>
    <row r="542" spans="1:2" x14ac:dyDescent="0.25">
      <c r="A542" s="14">
        <v>851.09000300000002</v>
      </c>
      <c r="B542" s="17">
        <v>-10</v>
      </c>
    </row>
    <row r="543" spans="1:2" x14ac:dyDescent="0.25">
      <c r="A543" s="14">
        <v>851.091003</v>
      </c>
      <c r="B543" s="17">
        <v>1.0901983458944566</v>
      </c>
    </row>
    <row r="544" spans="1:2" x14ac:dyDescent="0.25">
      <c r="A544" s="14">
        <v>851.09200299999998</v>
      </c>
      <c r="B544" s="17">
        <v>-10</v>
      </c>
    </row>
    <row r="545" spans="1:2" x14ac:dyDescent="0.25">
      <c r="A545" s="14">
        <v>851.09704499999998</v>
      </c>
      <c r="B545" s="17">
        <v>-10</v>
      </c>
    </row>
    <row r="546" spans="1:2" x14ac:dyDescent="0.25">
      <c r="A546" s="14">
        <v>851.09804499999996</v>
      </c>
      <c r="B546" s="17">
        <v>1.469229553759261</v>
      </c>
    </row>
    <row r="547" spans="1:2" x14ac:dyDescent="0.25">
      <c r="A547" s="14">
        <v>851.09904499999993</v>
      </c>
      <c r="B547" s="17">
        <v>-10</v>
      </c>
    </row>
    <row r="548" spans="1:2" x14ac:dyDescent="0.25">
      <c r="A548" s="14">
        <v>864.14804800000002</v>
      </c>
      <c r="B548" s="17">
        <v>-10</v>
      </c>
    </row>
    <row r="549" spans="1:2" x14ac:dyDescent="0.25">
      <c r="A549" s="14">
        <v>864.14904799999999</v>
      </c>
      <c r="B549" s="17">
        <v>1.1922178693666428</v>
      </c>
    </row>
    <row r="550" spans="1:2" x14ac:dyDescent="0.25">
      <c r="A550" s="14">
        <v>864.15004799999997</v>
      </c>
      <c r="B550" s="17">
        <v>-10</v>
      </c>
    </row>
    <row r="551" spans="1:2" x14ac:dyDescent="0.25">
      <c r="A551" s="14">
        <v>864.15563500000007</v>
      </c>
      <c r="B551" s="17">
        <v>-10</v>
      </c>
    </row>
    <row r="552" spans="1:2" x14ac:dyDescent="0.25">
      <c r="A552" s="14">
        <v>864.15663500000005</v>
      </c>
      <c r="B552" s="17">
        <v>1.9473087015126795</v>
      </c>
    </row>
    <row r="553" spans="1:2" x14ac:dyDescent="0.25">
      <c r="A553" s="14">
        <v>864.15763500000003</v>
      </c>
      <c r="B553" s="17">
        <v>-10</v>
      </c>
    </row>
    <row r="554" spans="1:2" x14ac:dyDescent="0.25">
      <c r="A554" s="14">
        <v>865.16025500000001</v>
      </c>
      <c r="B554" s="17">
        <v>-10</v>
      </c>
    </row>
    <row r="555" spans="1:2" x14ac:dyDescent="0.25">
      <c r="A555" s="14">
        <v>865.16125499999998</v>
      </c>
      <c r="B555" s="17">
        <v>0.4096099000369352</v>
      </c>
    </row>
    <row r="556" spans="1:2" x14ac:dyDescent="0.25">
      <c r="A556" s="14">
        <v>865.16225499999996</v>
      </c>
      <c r="B556" s="17">
        <v>-10</v>
      </c>
    </row>
    <row r="557" spans="1:2" x14ac:dyDescent="0.25">
      <c r="A557" s="14">
        <v>882.16464900000005</v>
      </c>
      <c r="B557" s="17">
        <v>-10</v>
      </c>
    </row>
    <row r="558" spans="1:2" x14ac:dyDescent="0.25">
      <c r="A558" s="14">
        <v>882.16564900000003</v>
      </c>
      <c r="B558" s="17">
        <v>1.1244660433175442</v>
      </c>
    </row>
    <row r="559" spans="1:2" x14ac:dyDescent="0.25">
      <c r="A559" s="14">
        <v>882.16664900000001</v>
      </c>
      <c r="B559" s="17">
        <v>-10</v>
      </c>
    </row>
    <row r="560" spans="1:2" x14ac:dyDescent="0.25">
      <c r="A560" s="14">
        <v>882.17268100000001</v>
      </c>
      <c r="B560" s="17">
        <v>-10</v>
      </c>
    </row>
    <row r="561" spans="1:2" x14ac:dyDescent="0.25">
      <c r="A561" s="14">
        <v>882.17368099999999</v>
      </c>
      <c r="B561" s="17">
        <v>2.4598708094835988</v>
      </c>
    </row>
    <row r="562" spans="1:2" x14ac:dyDescent="0.25">
      <c r="A562" s="14">
        <v>882.17468099999996</v>
      </c>
      <c r="B562" s="17">
        <v>-10</v>
      </c>
    </row>
    <row r="563" spans="1:2" x14ac:dyDescent="0.25">
      <c r="A563" s="14">
        <v>883.17136300000004</v>
      </c>
      <c r="B563" s="17">
        <v>-10</v>
      </c>
    </row>
    <row r="564" spans="1:2" x14ac:dyDescent="0.25">
      <c r="A564" s="14">
        <v>883.17236300000002</v>
      </c>
      <c r="B564" s="17">
        <v>0.54592894903302081</v>
      </c>
    </row>
    <row r="565" spans="1:2" x14ac:dyDescent="0.25">
      <c r="A565" s="14">
        <v>883.17336299999999</v>
      </c>
      <c r="B565" s="17">
        <v>-10</v>
      </c>
    </row>
    <row r="566" spans="1:2" x14ac:dyDescent="0.25">
      <c r="A566" s="14">
        <v>883.17612400000007</v>
      </c>
      <c r="B566" s="17">
        <v>-10</v>
      </c>
    </row>
    <row r="567" spans="1:2" x14ac:dyDescent="0.25">
      <c r="A567" s="14">
        <v>883.17712400000005</v>
      </c>
      <c r="B567" s="17">
        <v>0.52380218400762435</v>
      </c>
    </row>
    <row r="568" spans="1:2" x14ac:dyDescent="0.25">
      <c r="A568" s="14">
        <v>883.17812400000003</v>
      </c>
      <c r="B568" s="17">
        <v>-10</v>
      </c>
    </row>
    <row r="569" spans="1:2" x14ac:dyDescent="0.25">
      <c r="A569" s="14">
        <v>895.03403400000002</v>
      </c>
      <c r="B569" s="17">
        <v>-10</v>
      </c>
    </row>
    <row r="570" spans="1:2" x14ac:dyDescent="0.25">
      <c r="A570" s="14">
        <v>895.035034</v>
      </c>
      <c r="B570" s="17">
        <v>0.37653115467212439</v>
      </c>
    </row>
    <row r="571" spans="1:2" x14ac:dyDescent="0.25">
      <c r="A571" s="14">
        <v>895.03603399999997</v>
      </c>
      <c r="B571" s="17">
        <v>-10</v>
      </c>
    </row>
    <row r="572" spans="1:2" x14ac:dyDescent="0.25">
      <c r="A572" s="14">
        <v>896.88175100000001</v>
      </c>
      <c r="B572" s="17">
        <v>-10</v>
      </c>
    </row>
    <row r="573" spans="1:2" x14ac:dyDescent="0.25">
      <c r="A573" s="14">
        <v>896.88275099999998</v>
      </c>
      <c r="B573" s="17">
        <v>0.29298271668838377</v>
      </c>
    </row>
    <row r="574" spans="1:2" x14ac:dyDescent="0.25">
      <c r="A574" s="14">
        <v>896.88375099999996</v>
      </c>
      <c r="B574" s="17">
        <v>-10</v>
      </c>
    </row>
    <row r="575" spans="1:2" x14ac:dyDescent="0.25">
      <c r="A575" s="14">
        <v>900.17581900000005</v>
      </c>
      <c r="B575" s="17">
        <v>-10</v>
      </c>
    </row>
    <row r="576" spans="1:2" x14ac:dyDescent="0.25">
      <c r="A576" s="14">
        <v>900.17681900000002</v>
      </c>
      <c r="B576" s="17">
        <v>0.39236105411635397</v>
      </c>
    </row>
    <row r="577" spans="1:2" x14ac:dyDescent="0.25">
      <c r="A577" s="14">
        <v>900.177819</v>
      </c>
      <c r="B577" s="17">
        <v>-10</v>
      </c>
    </row>
    <row r="578" spans="1:2" x14ac:dyDescent="0.25">
      <c r="A578" s="14">
        <v>900.18710199999998</v>
      </c>
      <c r="B578" s="17">
        <v>-10</v>
      </c>
    </row>
    <row r="579" spans="1:2" x14ac:dyDescent="0.25">
      <c r="A579" s="14">
        <v>900.18810199999996</v>
      </c>
      <c r="B579" s="17">
        <v>1.1248237035297357</v>
      </c>
    </row>
    <row r="580" spans="1:2" x14ac:dyDescent="0.25">
      <c r="A580" s="14">
        <v>900.18910199999993</v>
      </c>
      <c r="B580" s="17">
        <v>-10</v>
      </c>
    </row>
    <row r="581" spans="1:2" x14ac:dyDescent="0.25">
      <c r="A581" s="14">
        <v>913.04397200000005</v>
      </c>
      <c r="B581" s="17">
        <v>-10</v>
      </c>
    </row>
    <row r="582" spans="1:2" x14ac:dyDescent="0.25">
      <c r="A582" s="14">
        <v>913.04497200000003</v>
      </c>
      <c r="B582" s="17">
        <v>0.80795660081304232</v>
      </c>
    </row>
    <row r="583" spans="1:2" x14ac:dyDescent="0.25">
      <c r="A583" s="14">
        <v>913.04597200000001</v>
      </c>
      <c r="B583" s="17">
        <v>-10</v>
      </c>
    </row>
    <row r="584" spans="1:2" x14ac:dyDescent="0.25">
      <c r="A584" s="14">
        <v>926.09976900000004</v>
      </c>
      <c r="B584" s="17">
        <v>-10</v>
      </c>
    </row>
    <row r="585" spans="1:2" x14ac:dyDescent="0.25">
      <c r="A585" s="14">
        <v>926.10076900000001</v>
      </c>
      <c r="B585" s="17">
        <v>0.86225884223325389</v>
      </c>
    </row>
    <row r="586" spans="1:2" x14ac:dyDescent="0.25">
      <c r="A586" s="14">
        <v>926.10176899999999</v>
      </c>
      <c r="B586" s="17">
        <v>-10</v>
      </c>
    </row>
    <row r="587" spans="1:2" x14ac:dyDescent="0.25">
      <c r="A587" s="14">
        <v>926.10833200000002</v>
      </c>
      <c r="B587" s="17">
        <v>-10</v>
      </c>
    </row>
    <row r="588" spans="1:2" x14ac:dyDescent="0.25">
      <c r="A588" s="14">
        <v>926.10933199999999</v>
      </c>
      <c r="B588" s="17">
        <v>2.2924332933722389</v>
      </c>
    </row>
    <row r="589" spans="1:2" x14ac:dyDescent="0.25">
      <c r="A589" s="14">
        <v>926.11033199999997</v>
      </c>
      <c r="B589" s="17">
        <v>-10</v>
      </c>
    </row>
    <row r="590" spans="1:2" x14ac:dyDescent="0.25">
      <c r="A590" s="14">
        <v>927.11063300000001</v>
      </c>
      <c r="B590" s="17">
        <v>-10</v>
      </c>
    </row>
    <row r="591" spans="1:2" x14ac:dyDescent="0.25">
      <c r="A591" s="14">
        <v>927.11163299999998</v>
      </c>
      <c r="B591" s="17">
        <v>0.42233327980269064</v>
      </c>
    </row>
    <row r="592" spans="1:2" x14ac:dyDescent="0.25">
      <c r="A592" s="14">
        <v>927.11263299999996</v>
      </c>
      <c r="B592" s="17">
        <v>-10</v>
      </c>
    </row>
    <row r="593" spans="1:2" x14ac:dyDescent="0.25">
      <c r="A593" s="14">
        <v>935.11399000000006</v>
      </c>
      <c r="B593" s="17">
        <v>-10</v>
      </c>
    </row>
    <row r="594" spans="1:2" x14ac:dyDescent="0.25">
      <c r="A594" s="14">
        <v>935.11499000000003</v>
      </c>
      <c r="B594" s="17">
        <v>0.34910468612397411</v>
      </c>
    </row>
    <row r="595" spans="1:2" x14ac:dyDescent="0.25">
      <c r="A595" s="14">
        <v>935.11599000000001</v>
      </c>
      <c r="B595" s="17">
        <v>-10</v>
      </c>
    </row>
    <row r="596" spans="1:2" x14ac:dyDescent="0.25">
      <c r="A596" s="14">
        <v>935.12009399999999</v>
      </c>
      <c r="B596" s="17">
        <v>-10</v>
      </c>
    </row>
    <row r="597" spans="1:2" x14ac:dyDescent="0.25">
      <c r="A597" s="14">
        <v>935.12109399999997</v>
      </c>
      <c r="B597" s="17">
        <v>0.41263771861389353</v>
      </c>
    </row>
    <row r="598" spans="1:2" x14ac:dyDescent="0.25">
      <c r="A598" s="14">
        <v>935.12209399999995</v>
      </c>
      <c r="B598" s="17">
        <v>-10</v>
      </c>
    </row>
    <row r="599" spans="1:2" x14ac:dyDescent="0.25">
      <c r="A599" s="14">
        <v>944.11368500000003</v>
      </c>
      <c r="B599" s="17">
        <v>-10</v>
      </c>
    </row>
    <row r="600" spans="1:2" x14ac:dyDescent="0.25">
      <c r="A600" s="14">
        <v>944.11468500000001</v>
      </c>
      <c r="B600" s="17">
        <v>2.735034960685264</v>
      </c>
    </row>
    <row r="601" spans="1:2" x14ac:dyDescent="0.25">
      <c r="A601" s="14">
        <v>944.11568499999998</v>
      </c>
      <c r="B601" s="17">
        <v>-10</v>
      </c>
    </row>
    <row r="602" spans="1:2" x14ac:dyDescent="0.25">
      <c r="A602" s="14">
        <v>944.12105500000007</v>
      </c>
      <c r="B602" s="17">
        <v>-10</v>
      </c>
    </row>
    <row r="603" spans="1:2" x14ac:dyDescent="0.25">
      <c r="A603" s="14">
        <v>944.12205500000005</v>
      </c>
      <c r="B603" s="17">
        <v>4.7133318197733605</v>
      </c>
    </row>
    <row r="604" spans="1:2" x14ac:dyDescent="0.25">
      <c r="A604" s="14">
        <v>944.12305500000002</v>
      </c>
      <c r="B604" s="17">
        <v>-10</v>
      </c>
    </row>
    <row r="605" spans="1:2" x14ac:dyDescent="0.25">
      <c r="A605" s="14">
        <v>945.11769100000004</v>
      </c>
      <c r="B605" s="17">
        <v>-10</v>
      </c>
    </row>
    <row r="606" spans="1:2" x14ac:dyDescent="0.25">
      <c r="A606" s="14">
        <v>945.11869100000001</v>
      </c>
      <c r="B606" s="17">
        <v>1.8068146584126734</v>
      </c>
    </row>
    <row r="607" spans="1:2" x14ac:dyDescent="0.25">
      <c r="A607" s="14">
        <v>945.11969099999999</v>
      </c>
      <c r="B607" s="17">
        <v>-10</v>
      </c>
    </row>
    <row r="608" spans="1:2" x14ac:dyDescent="0.25">
      <c r="A608" s="14">
        <v>945.12845600000003</v>
      </c>
      <c r="B608" s="17">
        <v>-10</v>
      </c>
    </row>
    <row r="609" spans="1:2" x14ac:dyDescent="0.25">
      <c r="A609" s="14">
        <v>945.129456</v>
      </c>
      <c r="B609" s="17">
        <v>0.8058013062005237</v>
      </c>
    </row>
    <row r="610" spans="1:2" x14ac:dyDescent="0.25">
      <c r="A610" s="14">
        <v>945.13045599999998</v>
      </c>
      <c r="B610" s="17">
        <v>-10</v>
      </c>
    </row>
    <row r="611" spans="1:2" x14ac:dyDescent="0.25">
      <c r="A611" s="14">
        <v>947.10440800000003</v>
      </c>
      <c r="B611" s="17">
        <v>-10</v>
      </c>
    </row>
    <row r="612" spans="1:2" x14ac:dyDescent="0.25">
      <c r="A612" s="14">
        <v>947.10540800000001</v>
      </c>
      <c r="B612" s="17">
        <v>0.30271939538228104</v>
      </c>
    </row>
    <row r="613" spans="1:2" x14ac:dyDescent="0.25">
      <c r="A613" s="14">
        <v>947.10640799999999</v>
      </c>
      <c r="B613" s="17">
        <v>-10</v>
      </c>
    </row>
    <row r="614" spans="1:2" x14ac:dyDescent="0.25">
      <c r="A614" s="14">
        <v>953.12290100000007</v>
      </c>
      <c r="B614" s="17">
        <v>-10</v>
      </c>
    </row>
    <row r="615" spans="1:2" x14ac:dyDescent="0.25">
      <c r="A615" s="14">
        <v>953.12390100000005</v>
      </c>
      <c r="B615" s="17">
        <v>1.4720922814940229</v>
      </c>
    </row>
    <row r="616" spans="1:2" x14ac:dyDescent="0.25">
      <c r="A616" s="14">
        <v>953.12490100000002</v>
      </c>
      <c r="B616" s="17">
        <v>-10</v>
      </c>
    </row>
    <row r="617" spans="1:2" x14ac:dyDescent="0.25">
      <c r="A617" s="14">
        <v>953.13039700000002</v>
      </c>
      <c r="B617" s="17">
        <v>-10</v>
      </c>
    </row>
    <row r="618" spans="1:2" x14ac:dyDescent="0.25">
      <c r="A618" s="14">
        <v>953.13139699999999</v>
      </c>
      <c r="B618" s="17">
        <v>1.7953410139345691</v>
      </c>
    </row>
    <row r="619" spans="1:2" x14ac:dyDescent="0.25">
      <c r="A619" s="14">
        <v>953.13239699999997</v>
      </c>
      <c r="B619" s="17">
        <v>-10</v>
      </c>
    </row>
    <row r="620" spans="1:2" x14ac:dyDescent="0.25">
      <c r="A620" s="14">
        <v>954.12021600000003</v>
      </c>
      <c r="B620" s="17">
        <v>-10</v>
      </c>
    </row>
    <row r="621" spans="1:2" x14ac:dyDescent="0.25">
      <c r="A621" s="14">
        <v>954.121216</v>
      </c>
      <c r="B621" s="17">
        <v>0.35351562116366453</v>
      </c>
    </row>
    <row r="622" spans="1:2" x14ac:dyDescent="0.25">
      <c r="A622" s="14">
        <v>954.12221599999998</v>
      </c>
      <c r="B622" s="17">
        <v>-10</v>
      </c>
    </row>
    <row r="623" spans="1:2" x14ac:dyDescent="0.25">
      <c r="A623" s="14">
        <v>962.13285000000008</v>
      </c>
      <c r="B623" s="17">
        <v>-10</v>
      </c>
    </row>
    <row r="624" spans="1:2" x14ac:dyDescent="0.25">
      <c r="A624" s="14">
        <v>962.13385000000005</v>
      </c>
      <c r="B624" s="17">
        <v>4.7475347702586834</v>
      </c>
    </row>
    <row r="625" spans="1:2" x14ac:dyDescent="0.25">
      <c r="A625" s="14">
        <v>962.13485000000003</v>
      </c>
      <c r="B625" s="17">
        <v>-10</v>
      </c>
    </row>
    <row r="626" spans="1:2" x14ac:dyDescent="0.25">
      <c r="A626" s="14">
        <v>962.14060800000004</v>
      </c>
      <c r="B626" s="17">
        <v>-10</v>
      </c>
    </row>
    <row r="627" spans="1:2" x14ac:dyDescent="0.25">
      <c r="A627" s="14">
        <v>962.14160800000002</v>
      </c>
      <c r="B627" s="17">
        <v>7.7059269126351433</v>
      </c>
    </row>
    <row r="628" spans="1:2" x14ac:dyDescent="0.25">
      <c r="A628" s="14">
        <v>962.142608</v>
      </c>
      <c r="B628" s="17">
        <v>-10</v>
      </c>
    </row>
    <row r="629" spans="1:2" x14ac:dyDescent="0.25">
      <c r="A629" s="14">
        <v>963.13516900000002</v>
      </c>
      <c r="B629" s="17">
        <v>-10</v>
      </c>
    </row>
    <row r="630" spans="1:2" x14ac:dyDescent="0.25">
      <c r="A630" s="14">
        <v>963.136169</v>
      </c>
      <c r="B630" s="17">
        <v>1.7252251557931693</v>
      </c>
    </row>
    <row r="631" spans="1:2" x14ac:dyDescent="0.25">
      <c r="A631" s="14">
        <v>963.13716899999997</v>
      </c>
      <c r="B631" s="17">
        <v>-10</v>
      </c>
    </row>
    <row r="632" spans="1:2" x14ac:dyDescent="0.25">
      <c r="A632" s="14">
        <v>963.14429200000006</v>
      </c>
      <c r="B632" s="17">
        <v>-10</v>
      </c>
    </row>
    <row r="633" spans="1:2" x14ac:dyDescent="0.25">
      <c r="A633" s="14">
        <v>963.14529200000004</v>
      </c>
      <c r="B633" s="17">
        <v>2.8850973633636321</v>
      </c>
    </row>
    <row r="634" spans="1:2" x14ac:dyDescent="0.25">
      <c r="A634" s="14">
        <v>963.14629200000002</v>
      </c>
      <c r="B634" s="17">
        <v>-10</v>
      </c>
    </row>
    <row r="635" spans="1:2" x14ac:dyDescent="0.25">
      <c r="A635" s="14">
        <v>964.14340900000002</v>
      </c>
      <c r="B635" s="17">
        <v>-10</v>
      </c>
    </row>
    <row r="636" spans="1:2" x14ac:dyDescent="0.25">
      <c r="A636" s="14">
        <v>964.144409</v>
      </c>
      <c r="B636" s="17">
        <v>0.59677773836320058</v>
      </c>
    </row>
    <row r="637" spans="1:2" x14ac:dyDescent="0.25">
      <c r="A637" s="14">
        <v>964.14540899999997</v>
      </c>
      <c r="B637" s="17">
        <v>-10</v>
      </c>
    </row>
    <row r="638" spans="1:2" x14ac:dyDescent="0.25">
      <c r="A638" s="14">
        <v>964.15140500000007</v>
      </c>
      <c r="B638" s="17">
        <v>-10</v>
      </c>
    </row>
    <row r="639" spans="1:2" x14ac:dyDescent="0.25">
      <c r="A639" s="14">
        <v>964.15240500000004</v>
      </c>
      <c r="B639" s="17">
        <v>0.37194510204067782</v>
      </c>
    </row>
    <row r="640" spans="1:2" x14ac:dyDescent="0.25">
      <c r="A640" s="14">
        <v>964.15340500000002</v>
      </c>
      <c r="B640" s="17">
        <v>-10</v>
      </c>
    </row>
    <row r="641" spans="1:2" x14ac:dyDescent="0.25">
      <c r="A641" s="14">
        <v>993.104286</v>
      </c>
      <c r="B641" s="17">
        <v>-10</v>
      </c>
    </row>
    <row r="642" spans="1:2" x14ac:dyDescent="0.25">
      <c r="A642" s="14">
        <v>993.10528599999998</v>
      </c>
      <c r="B642" s="17">
        <v>0.48931420946023396</v>
      </c>
    </row>
    <row r="643" spans="1:2" x14ac:dyDescent="0.25">
      <c r="A643" s="14">
        <v>993.10628599999995</v>
      </c>
      <c r="B643" s="17">
        <v>-10</v>
      </c>
    </row>
    <row r="644" spans="1:2" x14ac:dyDescent="0.25">
      <c r="A644" s="14">
        <v>1006.068763</v>
      </c>
      <c r="B644" s="17">
        <v>-10</v>
      </c>
    </row>
    <row r="645" spans="1:2" x14ac:dyDescent="0.25">
      <c r="A645" s="14">
        <v>1006.069763</v>
      </c>
      <c r="B645" s="17">
        <v>0.36613807249738889</v>
      </c>
    </row>
    <row r="646" spans="1:2" x14ac:dyDescent="0.25">
      <c r="A646" s="14">
        <v>1006.0707629999999</v>
      </c>
      <c r="B646" s="17">
        <v>-10</v>
      </c>
    </row>
    <row r="647" spans="1:2" x14ac:dyDescent="0.25">
      <c r="A647" s="14">
        <v>1006.074163</v>
      </c>
      <c r="B647" s="17">
        <v>-10</v>
      </c>
    </row>
    <row r="648" spans="1:2" x14ac:dyDescent="0.25">
      <c r="A648" s="14">
        <v>1006.075163</v>
      </c>
      <c r="B648" s="17">
        <v>0.68708847107341164</v>
      </c>
    </row>
    <row r="649" spans="1:2" x14ac:dyDescent="0.25">
      <c r="A649" s="14">
        <v>1006.076163</v>
      </c>
      <c r="B649" s="17">
        <v>-10</v>
      </c>
    </row>
    <row r="650" spans="1:2" x14ac:dyDescent="0.25">
      <c r="A650" s="14">
        <v>1014.063697</v>
      </c>
      <c r="B650" s="17">
        <v>-10</v>
      </c>
    </row>
    <row r="651" spans="1:2" x14ac:dyDescent="0.25">
      <c r="A651" s="14">
        <v>1014.064697</v>
      </c>
      <c r="B651" s="17">
        <v>0.32211929904540115</v>
      </c>
    </row>
    <row r="652" spans="1:2" x14ac:dyDescent="0.25">
      <c r="A652" s="14">
        <v>1014.065697</v>
      </c>
      <c r="B652" s="17">
        <v>-10</v>
      </c>
    </row>
    <row r="653" spans="1:2" x14ac:dyDescent="0.25">
      <c r="A653" s="14">
        <v>1015.077674</v>
      </c>
      <c r="B653" s="17">
        <v>-10</v>
      </c>
    </row>
    <row r="654" spans="1:2" x14ac:dyDescent="0.25">
      <c r="A654" s="14">
        <v>1015.078674</v>
      </c>
      <c r="B654" s="17">
        <v>0.44452047657681404</v>
      </c>
    </row>
    <row r="655" spans="1:2" x14ac:dyDescent="0.25">
      <c r="A655" s="14">
        <v>1015.079674</v>
      </c>
      <c r="B655" s="17">
        <v>-10</v>
      </c>
    </row>
    <row r="656" spans="1:2" x14ac:dyDescent="0.25">
      <c r="A656" s="14">
        <v>1024.0792000000001</v>
      </c>
      <c r="B656" s="17">
        <v>-10</v>
      </c>
    </row>
    <row r="657" spans="1:2" x14ac:dyDescent="0.25">
      <c r="A657" s="14">
        <v>1024.0802000000001</v>
      </c>
      <c r="B657" s="17">
        <v>1.7240726182761112</v>
      </c>
    </row>
    <row r="658" spans="1:2" x14ac:dyDescent="0.25">
      <c r="A658" s="14">
        <v>1024.0812000000001</v>
      </c>
      <c r="B658" s="17">
        <v>-10</v>
      </c>
    </row>
    <row r="659" spans="1:2" x14ac:dyDescent="0.25">
      <c r="A659" s="14">
        <v>1024.0872320000001</v>
      </c>
      <c r="B659" s="17">
        <v>-10</v>
      </c>
    </row>
    <row r="660" spans="1:2" x14ac:dyDescent="0.25">
      <c r="A660" s="14">
        <v>1024.0882320000001</v>
      </c>
      <c r="B660" s="17">
        <v>2.955674881784478</v>
      </c>
    </row>
    <row r="661" spans="1:2" x14ac:dyDescent="0.25">
      <c r="A661" s="14">
        <v>1024.089232</v>
      </c>
      <c r="B661" s="17">
        <v>-10</v>
      </c>
    </row>
    <row r="662" spans="1:2" x14ac:dyDescent="0.25">
      <c r="A662" s="14">
        <v>1025.08628</v>
      </c>
      <c r="B662" s="17">
        <v>-10</v>
      </c>
    </row>
    <row r="663" spans="1:2" x14ac:dyDescent="0.25">
      <c r="A663" s="14">
        <v>1025.08728</v>
      </c>
      <c r="B663" s="17">
        <v>0.41731634628132924</v>
      </c>
    </row>
    <row r="664" spans="1:2" x14ac:dyDescent="0.25">
      <c r="A664" s="14">
        <v>1025.0882799999999</v>
      </c>
      <c r="B664" s="17">
        <v>-10</v>
      </c>
    </row>
    <row r="665" spans="1:2" x14ac:dyDescent="0.25">
      <c r="A665" s="14">
        <v>1025.094703</v>
      </c>
      <c r="B665" s="17">
        <v>-10</v>
      </c>
    </row>
    <row r="666" spans="1:2" x14ac:dyDescent="0.25">
      <c r="A666" s="14">
        <v>1025.095703</v>
      </c>
      <c r="B666" s="17">
        <v>0.65895991229090478</v>
      </c>
    </row>
    <row r="667" spans="1:2" x14ac:dyDescent="0.25">
      <c r="A667" s="14">
        <v>1025.0967029999999</v>
      </c>
      <c r="B667" s="17">
        <v>-10</v>
      </c>
    </row>
    <row r="668" spans="1:2" x14ac:dyDescent="0.25">
      <c r="A668" s="14">
        <v>1042.0986090000001</v>
      </c>
      <c r="B668" s="17">
        <v>-10</v>
      </c>
    </row>
    <row r="669" spans="1:2" x14ac:dyDescent="0.25">
      <c r="A669" s="14">
        <v>1042.0996090000001</v>
      </c>
      <c r="B669" s="17">
        <v>0.74133578027089786</v>
      </c>
    </row>
    <row r="670" spans="1:2" x14ac:dyDescent="0.25">
      <c r="A670" s="14">
        <v>1042.1006090000001</v>
      </c>
      <c r="B670" s="17">
        <v>-10</v>
      </c>
    </row>
    <row r="671" spans="1:2" x14ac:dyDescent="0.25">
      <c r="A671" s="14">
        <v>1042.105323</v>
      </c>
      <c r="B671" s="17">
        <v>-10</v>
      </c>
    </row>
    <row r="672" spans="1:2" x14ac:dyDescent="0.25">
      <c r="A672" s="14">
        <v>1042.106323</v>
      </c>
      <c r="B672" s="17">
        <v>0.53513833078458561</v>
      </c>
    </row>
    <row r="673" spans="1:2" x14ac:dyDescent="0.25">
      <c r="A673" s="14">
        <v>1042.107323</v>
      </c>
      <c r="B673" s="17">
        <v>-10</v>
      </c>
    </row>
    <row r="674" spans="1:2" x14ac:dyDescent="0.25">
      <c r="A674" s="14">
        <v>1043.1163100000001</v>
      </c>
      <c r="B674" s="17">
        <v>-10</v>
      </c>
    </row>
    <row r="675" spans="1:2" x14ac:dyDescent="0.25">
      <c r="A675" s="14">
        <v>1043.1173100000001</v>
      </c>
      <c r="B675" s="17">
        <v>0.33898710556006628</v>
      </c>
    </row>
    <row r="676" spans="1:2" x14ac:dyDescent="0.25">
      <c r="A676" s="14">
        <v>1043.1183100000001</v>
      </c>
      <c r="B676" s="17">
        <v>-10</v>
      </c>
    </row>
    <row r="677" spans="1:2" x14ac:dyDescent="0.25">
      <c r="A677" s="14">
        <v>1058.130836</v>
      </c>
      <c r="B677" s="17">
        <v>-10</v>
      </c>
    </row>
    <row r="678" spans="1:2" x14ac:dyDescent="0.25">
      <c r="A678" s="14">
        <v>1058.131836</v>
      </c>
      <c r="B678" s="17">
        <v>0.36476529415022479</v>
      </c>
    </row>
    <row r="679" spans="1:2" x14ac:dyDescent="0.25">
      <c r="A679" s="14">
        <v>1058.132836</v>
      </c>
      <c r="B679" s="17">
        <v>-10</v>
      </c>
    </row>
    <row r="680" spans="1:2" x14ac:dyDescent="0.25">
      <c r="A680" s="14">
        <v>1062.138404</v>
      </c>
      <c r="B680" s="17">
        <v>-10</v>
      </c>
    </row>
    <row r="681" spans="1:2" x14ac:dyDescent="0.25">
      <c r="A681" s="14">
        <v>1062.139404</v>
      </c>
      <c r="B681" s="17">
        <v>0.4028269672837469</v>
      </c>
    </row>
    <row r="682" spans="1:2" x14ac:dyDescent="0.25">
      <c r="A682" s="14">
        <v>1062.140404</v>
      </c>
      <c r="B682" s="17">
        <v>-10</v>
      </c>
    </row>
    <row r="683" spans="1:2" x14ac:dyDescent="0.25">
      <c r="A683" s="14">
        <v>1109.1672129999999</v>
      </c>
      <c r="B683" s="17">
        <v>-10</v>
      </c>
    </row>
    <row r="684" spans="1:2" x14ac:dyDescent="0.25">
      <c r="A684" s="14">
        <v>1109.1682129999999</v>
      </c>
      <c r="B684" s="17">
        <v>0.33100313478090021</v>
      </c>
    </row>
    <row r="685" spans="1:2" x14ac:dyDescent="0.25">
      <c r="A685" s="14">
        <v>1109.1692129999999</v>
      </c>
      <c r="B685" s="17">
        <v>-10</v>
      </c>
    </row>
    <row r="686" spans="1:2" x14ac:dyDescent="0.25">
      <c r="A686" s="14">
        <v>1117.6562450000001</v>
      </c>
      <c r="B686" s="17">
        <v>-10</v>
      </c>
    </row>
    <row r="687" spans="1:2" x14ac:dyDescent="0.25">
      <c r="A687" s="14">
        <v>1117.6572450000001</v>
      </c>
      <c r="B687" s="17">
        <v>1.8213678502499946</v>
      </c>
    </row>
    <row r="688" spans="1:2" x14ac:dyDescent="0.25">
      <c r="A688" s="14">
        <v>1117.6582450000001</v>
      </c>
      <c r="B688" s="17">
        <v>-10</v>
      </c>
    </row>
    <row r="689" spans="1:2" x14ac:dyDescent="0.25">
      <c r="A689" s="14">
        <v>1118.1486580000001</v>
      </c>
      <c r="B689" s="17">
        <v>-10</v>
      </c>
    </row>
    <row r="690" spans="1:2" x14ac:dyDescent="0.25">
      <c r="A690" s="14">
        <v>1118.149658</v>
      </c>
      <c r="B690" s="17">
        <v>0.52172407187099767</v>
      </c>
    </row>
    <row r="691" spans="1:2" x14ac:dyDescent="0.25">
      <c r="A691" s="14">
        <v>1118.150658</v>
      </c>
      <c r="B691" s="17">
        <v>-10</v>
      </c>
    </row>
    <row r="692" spans="1:2" x14ac:dyDescent="0.25">
      <c r="A692" s="14">
        <v>1118.1619640000001</v>
      </c>
      <c r="B692" s="17">
        <v>-10</v>
      </c>
    </row>
    <row r="693" spans="1:2" x14ac:dyDescent="0.25">
      <c r="A693" s="14">
        <v>1118.1629640000001</v>
      </c>
      <c r="B693" s="17">
        <v>0.46370457112234104</v>
      </c>
    </row>
    <row r="694" spans="1:2" x14ac:dyDescent="0.25">
      <c r="A694" s="14">
        <v>1118.1639640000001</v>
      </c>
      <c r="B694" s="17">
        <v>-10</v>
      </c>
    </row>
    <row r="695" spans="1:2" x14ac:dyDescent="0.25">
      <c r="A695" s="14">
        <v>1138.109596</v>
      </c>
      <c r="B695" s="17">
        <v>-10</v>
      </c>
    </row>
    <row r="696" spans="1:2" x14ac:dyDescent="0.25">
      <c r="A696" s="14">
        <v>1138.110596</v>
      </c>
      <c r="B696" s="17">
        <v>0.52146870016812563</v>
      </c>
    </row>
    <row r="697" spans="1:2" x14ac:dyDescent="0.25">
      <c r="A697" s="14">
        <v>1138.111596</v>
      </c>
      <c r="B697" s="17">
        <v>-10</v>
      </c>
    </row>
    <row r="698" spans="1:2" x14ac:dyDescent="0.25">
      <c r="A698" s="14">
        <v>1138.1194829999999</v>
      </c>
      <c r="B698" s="17">
        <v>-10</v>
      </c>
    </row>
    <row r="699" spans="1:2" x14ac:dyDescent="0.25">
      <c r="A699" s="14">
        <v>1138.1204829999999</v>
      </c>
      <c r="B699" s="17">
        <v>0.9904713052801446</v>
      </c>
    </row>
    <row r="700" spans="1:2" x14ac:dyDescent="0.25">
      <c r="A700" s="14">
        <v>1138.1214829999999</v>
      </c>
      <c r="B700" s="17">
        <v>-10</v>
      </c>
    </row>
    <row r="701" spans="1:2" x14ac:dyDescent="0.25">
      <c r="A701" s="14">
        <v>1139.1142340000001</v>
      </c>
      <c r="B701" s="17">
        <v>-10</v>
      </c>
    </row>
    <row r="702" spans="1:2" x14ac:dyDescent="0.25">
      <c r="A702" s="14">
        <v>1139.1152340000001</v>
      </c>
      <c r="B702" s="17">
        <v>0.48106942475882153</v>
      </c>
    </row>
    <row r="703" spans="1:2" x14ac:dyDescent="0.25">
      <c r="A703" s="14">
        <v>1139.1162340000001</v>
      </c>
      <c r="B703" s="17">
        <v>-10</v>
      </c>
    </row>
    <row r="704" spans="1:2" x14ac:dyDescent="0.25">
      <c r="A704" s="14">
        <v>1148.143043</v>
      </c>
      <c r="B704" s="17">
        <v>-10</v>
      </c>
    </row>
    <row r="705" spans="1:2" x14ac:dyDescent="0.25">
      <c r="A705" s="14">
        <v>1148.144043</v>
      </c>
      <c r="B705" s="17">
        <v>0.37769643909331901</v>
      </c>
    </row>
    <row r="706" spans="1:2" x14ac:dyDescent="0.25">
      <c r="A706" s="14">
        <v>1148.145043</v>
      </c>
      <c r="B706" s="17">
        <v>-10</v>
      </c>
    </row>
    <row r="707" spans="1:2" x14ac:dyDescent="0.25">
      <c r="A707" s="14">
        <v>1157.6333360000001</v>
      </c>
      <c r="B707" s="17">
        <v>-10</v>
      </c>
    </row>
    <row r="708" spans="1:2" x14ac:dyDescent="0.25">
      <c r="A708" s="14">
        <v>1157.6343360000001</v>
      </c>
      <c r="B708" s="17">
        <v>0.6262611366083003</v>
      </c>
    </row>
    <row r="709" spans="1:2" x14ac:dyDescent="0.25">
      <c r="A709" s="14">
        <v>1157.6353360000001</v>
      </c>
      <c r="B709" s="17">
        <v>-10</v>
      </c>
    </row>
    <row r="710" spans="1:2" x14ac:dyDescent="0.25">
      <c r="A710" s="14">
        <v>1169.1878429999999</v>
      </c>
      <c r="B710" s="17">
        <v>-10</v>
      </c>
    </row>
    <row r="711" spans="1:2" x14ac:dyDescent="0.25">
      <c r="A711" s="14">
        <v>1169.1888429999999</v>
      </c>
      <c r="B711" s="17">
        <v>0.41222720449932726</v>
      </c>
    </row>
    <row r="712" spans="1:2" x14ac:dyDescent="0.25">
      <c r="A712" s="14">
        <v>1169.1898429999999</v>
      </c>
      <c r="B712" s="17">
        <v>-10</v>
      </c>
    </row>
    <row r="713" spans="1:2" x14ac:dyDescent="0.25">
      <c r="A713" s="14">
        <v>1171.121803</v>
      </c>
      <c r="B713" s="17">
        <v>-10</v>
      </c>
    </row>
    <row r="714" spans="1:2" x14ac:dyDescent="0.25">
      <c r="A714" s="14">
        <v>1171.122803</v>
      </c>
      <c r="B714" s="17">
        <v>0.53500728198923631</v>
      </c>
    </row>
    <row r="715" spans="1:2" x14ac:dyDescent="0.25">
      <c r="A715" s="14">
        <v>1171.123803</v>
      </c>
      <c r="B715" s="17">
        <v>-10</v>
      </c>
    </row>
    <row r="716" spans="1:2" x14ac:dyDescent="0.25">
      <c r="A716" s="14">
        <v>1176.178443</v>
      </c>
      <c r="B716" s="17">
        <v>-10</v>
      </c>
    </row>
    <row r="717" spans="1:2" x14ac:dyDescent="0.25">
      <c r="A717" s="14">
        <v>1176.179443</v>
      </c>
      <c r="B717" s="17">
        <v>0.33291825349789023</v>
      </c>
    </row>
    <row r="718" spans="1:2" x14ac:dyDescent="0.25">
      <c r="A718" s="14">
        <v>1176.180443</v>
      </c>
      <c r="B718" s="17">
        <v>-10</v>
      </c>
    </row>
    <row r="719" spans="1:2" x14ac:dyDescent="0.25">
      <c r="A719" s="14">
        <v>1249.1514460000001</v>
      </c>
      <c r="B719" s="17">
        <v>-10</v>
      </c>
    </row>
    <row r="720" spans="1:2" x14ac:dyDescent="0.25">
      <c r="A720" s="14">
        <v>1249.1524460000001</v>
      </c>
      <c r="B720" s="17">
        <v>0.89643750234947861</v>
      </c>
    </row>
    <row r="721" spans="1:2" x14ac:dyDescent="0.25">
      <c r="A721" s="14">
        <v>1249.153446</v>
      </c>
      <c r="B721" s="17">
        <v>-10</v>
      </c>
    </row>
    <row r="722" spans="1:2" x14ac:dyDescent="0.25">
      <c r="A722" s="14">
        <v>1264.174293</v>
      </c>
      <c r="B722" s="17">
        <v>-10</v>
      </c>
    </row>
    <row r="723" spans="1:2" x14ac:dyDescent="0.25">
      <c r="A723" s="14">
        <v>1264.175293</v>
      </c>
      <c r="B723" s="17">
        <v>0.47134844808080917</v>
      </c>
    </row>
    <row r="724" spans="1:2" x14ac:dyDescent="0.25">
      <c r="A724" s="14">
        <v>1264.176293</v>
      </c>
      <c r="B724" s="17">
        <v>-10</v>
      </c>
    </row>
    <row r="725" spans="1:2" x14ac:dyDescent="0.25">
      <c r="A725" s="14">
        <v>1273.1551280000001</v>
      </c>
      <c r="B725" s="17">
        <v>-10</v>
      </c>
    </row>
    <row r="726" spans="1:2" x14ac:dyDescent="0.25">
      <c r="A726" s="14">
        <v>1273.1561280000001</v>
      </c>
      <c r="B726" s="17">
        <v>0.84630349094094326</v>
      </c>
    </row>
    <row r="727" spans="1:2" x14ac:dyDescent="0.25">
      <c r="A727" s="14">
        <v>1273.1571280000001</v>
      </c>
      <c r="B727" s="17">
        <v>-10</v>
      </c>
    </row>
    <row r="728" spans="1:2" x14ac:dyDescent="0.25">
      <c r="A728" s="14">
        <v>1273.169776</v>
      </c>
      <c r="B728" s="17">
        <v>-10</v>
      </c>
    </row>
    <row r="729" spans="1:2" x14ac:dyDescent="0.25">
      <c r="A729" s="14">
        <v>1273.1707759999999</v>
      </c>
      <c r="B729" s="17">
        <v>0.72495767225820518</v>
      </c>
    </row>
    <row r="730" spans="1:2" x14ac:dyDescent="0.25">
      <c r="A730" s="14">
        <v>1273.1717759999999</v>
      </c>
      <c r="B730" s="17">
        <v>-10</v>
      </c>
    </row>
    <row r="731" spans="1:2" x14ac:dyDescent="0.25">
      <c r="A731" s="14">
        <v>1274.1813730000001</v>
      </c>
      <c r="B731" s="17">
        <v>-10</v>
      </c>
    </row>
    <row r="732" spans="1:2" x14ac:dyDescent="0.25">
      <c r="A732" s="14">
        <v>1274.1823730000001</v>
      </c>
      <c r="B732" s="17">
        <v>0.42752412747663443</v>
      </c>
    </row>
    <row r="733" spans="1:2" x14ac:dyDescent="0.25">
      <c r="A733" s="14">
        <v>1274.1833730000001</v>
      </c>
      <c r="B733" s="17">
        <v>-10</v>
      </c>
    </row>
    <row r="734" spans="1:2" x14ac:dyDescent="0.25">
      <c r="A734" s="14">
        <v>1282.1727060000001</v>
      </c>
      <c r="B734" s="17">
        <v>-10</v>
      </c>
    </row>
    <row r="735" spans="1:2" x14ac:dyDescent="0.25">
      <c r="A735" s="14">
        <v>1282.173706</v>
      </c>
      <c r="B735" s="17">
        <v>2.7090884147751519</v>
      </c>
    </row>
    <row r="736" spans="1:2" x14ac:dyDescent="0.25">
      <c r="A736" s="14">
        <v>1282.174706</v>
      </c>
      <c r="B736" s="17">
        <v>-10</v>
      </c>
    </row>
    <row r="737" spans="1:2" x14ac:dyDescent="0.25">
      <c r="A737" s="14">
        <v>1282.1841180000001</v>
      </c>
      <c r="B737" s="17">
        <v>-10</v>
      </c>
    </row>
    <row r="738" spans="1:2" x14ac:dyDescent="0.25">
      <c r="A738" s="14">
        <v>1282.1851180000001</v>
      </c>
      <c r="B738" s="17">
        <v>4.6867549850124783</v>
      </c>
    </row>
    <row r="739" spans="1:2" x14ac:dyDescent="0.25">
      <c r="A739" s="14">
        <v>1282.1861180000001</v>
      </c>
      <c r="B739" s="17">
        <v>-10</v>
      </c>
    </row>
    <row r="740" spans="1:2" x14ac:dyDescent="0.25">
      <c r="A740" s="14">
        <v>1282.6729500000001</v>
      </c>
      <c r="B740" s="17">
        <v>-10</v>
      </c>
    </row>
    <row r="741" spans="1:2" x14ac:dyDescent="0.25">
      <c r="A741" s="14">
        <v>1282.6739500000001</v>
      </c>
      <c r="B741" s="17">
        <v>1.3740499754935602</v>
      </c>
    </row>
    <row r="742" spans="1:2" x14ac:dyDescent="0.25">
      <c r="A742" s="14">
        <v>1282.6749500000001</v>
      </c>
      <c r="B742" s="17">
        <v>-10</v>
      </c>
    </row>
    <row r="743" spans="1:2" x14ac:dyDescent="0.25">
      <c r="A743" s="14">
        <v>1282.682699</v>
      </c>
      <c r="B743" s="17">
        <v>-10</v>
      </c>
    </row>
    <row r="744" spans="1:2" x14ac:dyDescent="0.25">
      <c r="A744" s="14">
        <v>1282.6836989999999</v>
      </c>
      <c r="B744" s="17">
        <v>2.1318803777015916</v>
      </c>
    </row>
    <row r="745" spans="1:2" x14ac:dyDescent="0.25">
      <c r="A745" s="14">
        <v>1282.6846989999999</v>
      </c>
      <c r="B745" s="17">
        <v>-10</v>
      </c>
    </row>
    <row r="746" spans="1:2" x14ac:dyDescent="0.25">
      <c r="A746" s="14">
        <v>1283.1749030000001</v>
      </c>
      <c r="B746" s="17">
        <v>-10</v>
      </c>
    </row>
    <row r="747" spans="1:2" x14ac:dyDescent="0.25">
      <c r="A747" s="14">
        <v>1283.1759030000001</v>
      </c>
      <c r="B747" s="17">
        <v>1.5357865213470279</v>
      </c>
    </row>
    <row r="748" spans="1:2" x14ac:dyDescent="0.25">
      <c r="A748" s="14">
        <v>1283.176903</v>
      </c>
      <c r="B748" s="17">
        <v>-10</v>
      </c>
    </row>
    <row r="749" spans="1:2" x14ac:dyDescent="0.25">
      <c r="A749" s="14">
        <v>1283.187981</v>
      </c>
      <c r="B749" s="17">
        <v>-10</v>
      </c>
    </row>
    <row r="750" spans="1:2" x14ac:dyDescent="0.25">
      <c r="A750" s="14">
        <v>1283.188981</v>
      </c>
      <c r="B750" s="17">
        <v>2.8354020074441175</v>
      </c>
    </row>
    <row r="751" spans="1:2" x14ac:dyDescent="0.25">
      <c r="A751" s="14">
        <v>1283.189981</v>
      </c>
      <c r="B751" s="17">
        <v>-10</v>
      </c>
    </row>
    <row r="752" spans="1:2" x14ac:dyDescent="0.25">
      <c r="A752" s="14">
        <v>1284.1779550000001</v>
      </c>
      <c r="B752" s="17">
        <v>-10</v>
      </c>
    </row>
    <row r="753" spans="1:2" x14ac:dyDescent="0.25">
      <c r="A753" s="14">
        <v>1284.1789550000001</v>
      </c>
      <c r="B753" s="17">
        <v>0.47552744409753761</v>
      </c>
    </row>
    <row r="754" spans="1:2" x14ac:dyDescent="0.25">
      <c r="A754" s="14">
        <v>1284.1799550000001</v>
      </c>
      <c r="B754" s="17">
        <v>-10</v>
      </c>
    </row>
    <row r="755" spans="1:2" x14ac:dyDescent="0.25">
      <c r="A755" s="14">
        <v>1284.1935800000001</v>
      </c>
      <c r="B755" s="17">
        <v>-10</v>
      </c>
    </row>
    <row r="756" spans="1:2" x14ac:dyDescent="0.25">
      <c r="A756" s="14">
        <v>1284.1945800000001</v>
      </c>
      <c r="B756" s="17">
        <v>0.41444666152201104</v>
      </c>
    </row>
    <row r="757" spans="1:2" x14ac:dyDescent="0.25">
      <c r="A757" s="14">
        <v>1284.1955800000001</v>
      </c>
      <c r="B757" s="17">
        <v>-10</v>
      </c>
    </row>
    <row r="758" spans="1:2" x14ac:dyDescent="0.25">
      <c r="A758" s="14">
        <v>1291.1950449999999</v>
      </c>
      <c r="B758" s="17">
        <v>-10</v>
      </c>
    </row>
    <row r="759" spans="1:2" x14ac:dyDescent="0.25">
      <c r="A759" s="14">
        <v>1291.1960449999999</v>
      </c>
      <c r="B759" s="17">
        <v>0.34254121674098092</v>
      </c>
    </row>
    <row r="760" spans="1:2" x14ac:dyDescent="0.25">
      <c r="A760" s="14">
        <v>1291.1970449999999</v>
      </c>
      <c r="B760" s="17">
        <v>-10</v>
      </c>
    </row>
    <row r="761" spans="1:2" x14ac:dyDescent="0.25">
      <c r="A761" s="14">
        <v>1322.658668</v>
      </c>
      <c r="B761" s="17">
        <v>-10</v>
      </c>
    </row>
    <row r="762" spans="1:2" x14ac:dyDescent="0.25">
      <c r="A762" s="14">
        <v>1322.659668</v>
      </c>
      <c r="B762" s="17">
        <v>0.36154988041852248</v>
      </c>
    </row>
    <row r="763" spans="1:2" x14ac:dyDescent="0.25">
      <c r="A763" s="14">
        <v>1322.660668</v>
      </c>
      <c r="B763" s="17">
        <v>-10</v>
      </c>
    </row>
    <row r="764" spans="1:2" x14ac:dyDescent="0.25">
      <c r="A764" s="14">
        <v>1344.1438969999999</v>
      </c>
      <c r="B764" s="17">
        <v>-10</v>
      </c>
    </row>
    <row r="765" spans="1:2" x14ac:dyDescent="0.25">
      <c r="A765" s="14">
        <v>1344.1448969999999</v>
      </c>
      <c r="B765" s="17">
        <v>0.38849374311494134</v>
      </c>
    </row>
    <row r="766" spans="1:2" x14ac:dyDescent="0.25">
      <c r="A766" s="14">
        <v>1344.1458969999999</v>
      </c>
      <c r="B766" s="17">
        <v>-10</v>
      </c>
    </row>
    <row r="767" spans="1:2" x14ac:dyDescent="0.25">
      <c r="A767" s="14">
        <v>1353.1344980000001</v>
      </c>
      <c r="B767" s="17">
        <v>-10</v>
      </c>
    </row>
    <row r="768" spans="1:2" x14ac:dyDescent="0.25">
      <c r="A768" s="14">
        <v>1353.1354980000001</v>
      </c>
      <c r="B768" s="17">
        <v>0.56069472553503796</v>
      </c>
    </row>
    <row r="769" spans="1:2" x14ac:dyDescent="0.25">
      <c r="A769" s="14">
        <v>1353.1364980000001</v>
      </c>
      <c r="B769" s="17">
        <v>-10</v>
      </c>
    </row>
    <row r="770" spans="1:2" x14ac:dyDescent="0.25">
      <c r="A770" s="14">
        <v>1380.8620370000001</v>
      </c>
      <c r="B770" s="17">
        <v>-10</v>
      </c>
    </row>
    <row r="771" spans="1:2" x14ac:dyDescent="0.25">
      <c r="A771" s="14">
        <v>1380.8630370000001</v>
      </c>
      <c r="B771" s="17">
        <v>1.7677575748933132</v>
      </c>
    </row>
    <row r="772" spans="1:2" x14ac:dyDescent="0.25">
      <c r="A772" s="14">
        <v>1380.8640370000001</v>
      </c>
      <c r="B772" s="17">
        <v>-10</v>
      </c>
    </row>
    <row r="773" spans="1:2" x14ac:dyDescent="0.25">
      <c r="A773" s="14">
        <v>1381.1810070000001</v>
      </c>
      <c r="B773" s="17">
        <v>-10</v>
      </c>
    </row>
    <row r="774" spans="1:2" x14ac:dyDescent="0.25">
      <c r="A774" s="14">
        <v>1381.1820070000001</v>
      </c>
      <c r="B774" s="17">
        <v>1.7813616792018774</v>
      </c>
    </row>
    <row r="775" spans="1:2" x14ac:dyDescent="0.25">
      <c r="A775" s="14">
        <v>1381.1830070000001</v>
      </c>
      <c r="B775" s="17">
        <v>-10</v>
      </c>
    </row>
    <row r="776" spans="1:2" x14ac:dyDescent="0.25">
      <c r="A776" s="14">
        <v>1381.1981049999999</v>
      </c>
      <c r="B776" s="17">
        <v>-10</v>
      </c>
    </row>
    <row r="777" spans="1:2" x14ac:dyDescent="0.25">
      <c r="A777" s="14">
        <v>1381.1991049999999</v>
      </c>
      <c r="B777" s="17">
        <v>3.0152171724386276</v>
      </c>
    </row>
    <row r="778" spans="1:2" x14ac:dyDescent="0.25">
      <c r="A778" s="14">
        <v>1381.2001049999999</v>
      </c>
      <c r="B778" s="17">
        <v>-10</v>
      </c>
    </row>
    <row r="779" spans="1:2" x14ac:dyDescent="0.25">
      <c r="A779" s="14">
        <v>1381.514015</v>
      </c>
      <c r="B779" s="17">
        <v>-10</v>
      </c>
    </row>
    <row r="780" spans="1:2" x14ac:dyDescent="0.25">
      <c r="A780" s="14">
        <v>1381.5150149999999</v>
      </c>
      <c r="B780" s="17">
        <v>1.6029189410738842</v>
      </c>
    </row>
    <row r="781" spans="1:2" x14ac:dyDescent="0.25">
      <c r="A781" s="14">
        <v>1381.5160149999999</v>
      </c>
      <c r="B781" s="17">
        <v>-10</v>
      </c>
    </row>
    <row r="782" spans="1:2" x14ac:dyDescent="0.25">
      <c r="A782" s="14">
        <v>1381.5315680000001</v>
      </c>
      <c r="B782" s="17">
        <v>-10</v>
      </c>
    </row>
    <row r="783" spans="1:2" x14ac:dyDescent="0.25">
      <c r="A783" s="14">
        <v>1381.5325680000001</v>
      </c>
      <c r="B783" s="17">
        <v>2.5589374045896256</v>
      </c>
    </row>
    <row r="784" spans="1:2" x14ac:dyDescent="0.25">
      <c r="A784" s="14">
        <v>1381.5335680000001</v>
      </c>
      <c r="B784" s="17">
        <v>-10</v>
      </c>
    </row>
    <row r="785" spans="1:2" x14ac:dyDescent="0.25">
      <c r="A785" s="14">
        <v>1381.8475109999999</v>
      </c>
      <c r="B785" s="17">
        <v>-10</v>
      </c>
    </row>
    <row r="786" spans="1:2" x14ac:dyDescent="0.25">
      <c r="A786" s="14">
        <v>1381.8485109999999</v>
      </c>
      <c r="B786" s="17">
        <v>0.78944115235416945</v>
      </c>
    </row>
    <row r="787" spans="1:2" x14ac:dyDescent="0.25">
      <c r="A787" s="14">
        <v>1381.8495109999999</v>
      </c>
      <c r="B787" s="17">
        <v>-10</v>
      </c>
    </row>
    <row r="788" spans="1:2" x14ac:dyDescent="0.25">
      <c r="A788" s="14">
        <v>1381.869972</v>
      </c>
      <c r="B788" s="17">
        <v>-10</v>
      </c>
    </row>
    <row r="789" spans="1:2" x14ac:dyDescent="0.25">
      <c r="A789" s="14">
        <v>1381.8709719999999</v>
      </c>
      <c r="B789" s="17">
        <v>0.76855922672023036</v>
      </c>
    </row>
    <row r="790" spans="1:2" x14ac:dyDescent="0.25">
      <c r="A790" s="14">
        <v>1381.8719719999999</v>
      </c>
      <c r="B790" s="17">
        <v>-10</v>
      </c>
    </row>
    <row r="791" spans="1:2" x14ac:dyDescent="0.25">
      <c r="A791" s="14">
        <v>1382.199562</v>
      </c>
      <c r="B791" s="17">
        <v>-10</v>
      </c>
    </row>
    <row r="792" spans="1:2" x14ac:dyDescent="0.25">
      <c r="A792" s="14">
        <v>1382.200562</v>
      </c>
      <c r="B792" s="17">
        <v>0.56744948061957445</v>
      </c>
    </row>
    <row r="793" spans="1:2" x14ac:dyDescent="0.25">
      <c r="A793" s="14">
        <v>1382.201562</v>
      </c>
      <c r="B793" s="17">
        <v>-10</v>
      </c>
    </row>
    <row r="794" spans="1:2" x14ac:dyDescent="0.25">
      <c r="A794" s="14">
        <v>1401.1637949999999</v>
      </c>
      <c r="B794" s="17">
        <v>-10</v>
      </c>
    </row>
    <row r="795" spans="1:2" x14ac:dyDescent="0.25">
      <c r="A795" s="14">
        <v>1401.1647949999999</v>
      </c>
      <c r="B795" s="17">
        <v>0.37499449083215847</v>
      </c>
    </row>
    <row r="796" spans="1:2" x14ac:dyDescent="0.25">
      <c r="A796" s="14">
        <v>1401.1657949999999</v>
      </c>
      <c r="B796" s="17">
        <v>-10</v>
      </c>
    </row>
    <row r="797" spans="1:2" x14ac:dyDescent="0.25">
      <c r="A797" s="14">
        <v>1408.1725839999999</v>
      </c>
      <c r="B797" s="17">
        <v>-10</v>
      </c>
    </row>
    <row r="798" spans="1:2" x14ac:dyDescent="0.25">
      <c r="A798" s="14">
        <v>1408.1735839999999</v>
      </c>
      <c r="B798" s="17">
        <v>0.42093765139299427</v>
      </c>
    </row>
    <row r="799" spans="1:2" x14ac:dyDescent="0.25">
      <c r="A799" s="14">
        <v>1408.1745839999999</v>
      </c>
      <c r="B799" s="17">
        <v>-10</v>
      </c>
    </row>
    <row r="800" spans="1:2" x14ac:dyDescent="0.25">
      <c r="A800" s="14">
        <v>1408.5225600000001</v>
      </c>
      <c r="B800" s="17">
        <v>-10</v>
      </c>
    </row>
    <row r="801" spans="1:2" x14ac:dyDescent="0.25">
      <c r="A801" s="14">
        <v>1408.5235600000001</v>
      </c>
      <c r="B801" s="17">
        <v>0.34709015569035589</v>
      </c>
    </row>
    <row r="802" spans="1:2" x14ac:dyDescent="0.25">
      <c r="A802" s="14">
        <v>1408.5245600000001</v>
      </c>
      <c r="B802" s="17">
        <v>-10</v>
      </c>
    </row>
    <row r="803" spans="1:2" x14ac:dyDescent="0.25">
      <c r="A803" s="14">
        <v>1408.858375</v>
      </c>
      <c r="B803" s="17">
        <v>-10</v>
      </c>
    </row>
    <row r="804" spans="1:2" x14ac:dyDescent="0.25">
      <c r="A804" s="14">
        <v>1408.859375</v>
      </c>
      <c r="B804" s="17">
        <v>0.8358780343422153</v>
      </c>
    </row>
    <row r="805" spans="1:2" x14ac:dyDescent="0.25">
      <c r="A805" s="14">
        <v>1408.860375</v>
      </c>
      <c r="B805" s="17">
        <v>-10</v>
      </c>
    </row>
    <row r="806" spans="1:2" x14ac:dyDescent="0.25">
      <c r="A806" s="14">
        <v>1422.5389170000001</v>
      </c>
      <c r="B806" s="17">
        <v>-10</v>
      </c>
    </row>
    <row r="807" spans="1:2" x14ac:dyDescent="0.25">
      <c r="A807" s="14">
        <v>1422.5399170000001</v>
      </c>
      <c r="B807" s="17">
        <v>0.56880317585984175</v>
      </c>
    </row>
    <row r="808" spans="1:2" x14ac:dyDescent="0.25">
      <c r="A808" s="14">
        <v>1422.540917</v>
      </c>
      <c r="B808" s="17">
        <v>-10</v>
      </c>
    </row>
    <row r="809" spans="1:2" x14ac:dyDescent="0.25">
      <c r="A809" s="14">
        <v>1434.6904059999999</v>
      </c>
      <c r="B809" s="17">
        <v>-10</v>
      </c>
    </row>
    <row r="810" spans="1:2" x14ac:dyDescent="0.25">
      <c r="A810" s="14">
        <v>1434.6914059999999</v>
      </c>
      <c r="B810" s="17">
        <v>1.1054815897798231</v>
      </c>
    </row>
    <row r="811" spans="1:2" x14ac:dyDescent="0.25">
      <c r="A811" s="14">
        <v>1434.6924059999999</v>
      </c>
      <c r="B811" s="17">
        <v>-10</v>
      </c>
    </row>
    <row r="812" spans="1:2" x14ac:dyDescent="0.25">
      <c r="A812" s="14">
        <v>1434.7092050000001</v>
      </c>
      <c r="B812" s="17">
        <v>-10</v>
      </c>
    </row>
    <row r="813" spans="1:2" x14ac:dyDescent="0.25">
      <c r="A813" s="14">
        <v>1434.7102050000001</v>
      </c>
      <c r="B813" s="17">
        <v>0.89860216277512173</v>
      </c>
    </row>
    <row r="814" spans="1:2" x14ac:dyDescent="0.25">
      <c r="A814" s="14">
        <v>1434.7112050000001</v>
      </c>
      <c r="B814" s="17">
        <v>-10</v>
      </c>
    </row>
    <row r="815" spans="1:2" x14ac:dyDescent="0.25">
      <c r="A815" s="14">
        <v>1435.1907719999999</v>
      </c>
      <c r="B815" s="17">
        <v>-10</v>
      </c>
    </row>
    <row r="816" spans="1:2" x14ac:dyDescent="0.25">
      <c r="A816" s="14">
        <v>1435.1917719999999</v>
      </c>
      <c r="B816" s="17">
        <v>1.3101569102970783</v>
      </c>
    </row>
    <row r="817" spans="1:2" x14ac:dyDescent="0.25">
      <c r="A817" s="14">
        <v>1435.1927719999999</v>
      </c>
      <c r="B817" s="17">
        <v>-10</v>
      </c>
    </row>
    <row r="818" spans="1:2" x14ac:dyDescent="0.25">
      <c r="A818" s="14">
        <v>1435.205919</v>
      </c>
      <c r="B818" s="17">
        <v>-10</v>
      </c>
    </row>
    <row r="819" spans="1:2" x14ac:dyDescent="0.25">
      <c r="A819" s="14">
        <v>1435.206919</v>
      </c>
      <c r="B819" s="17">
        <v>1.9491416616283059</v>
      </c>
    </row>
    <row r="820" spans="1:2" x14ac:dyDescent="0.25">
      <c r="A820" s="14">
        <v>1435.2079189999999</v>
      </c>
      <c r="B820" s="17">
        <v>-10</v>
      </c>
    </row>
    <row r="821" spans="1:2" x14ac:dyDescent="0.25">
      <c r="A821" s="14">
        <v>1435.7005380000001</v>
      </c>
      <c r="B821" s="17">
        <v>-10</v>
      </c>
    </row>
    <row r="822" spans="1:2" x14ac:dyDescent="0.25">
      <c r="A822" s="14">
        <v>1435.701538</v>
      </c>
      <c r="B822" s="17">
        <v>0.53810346355214245</v>
      </c>
    </row>
    <row r="823" spans="1:2" x14ac:dyDescent="0.25">
      <c r="A823" s="14">
        <v>1435.702538</v>
      </c>
      <c r="B823" s="17">
        <v>-10</v>
      </c>
    </row>
    <row r="824" spans="1:2" x14ac:dyDescent="0.25">
      <c r="A824" s="14">
        <v>1435.710808</v>
      </c>
      <c r="B824" s="17">
        <v>-10</v>
      </c>
    </row>
    <row r="825" spans="1:2" x14ac:dyDescent="0.25">
      <c r="A825" s="14">
        <v>1435.711808</v>
      </c>
      <c r="B825" s="17">
        <v>1.6035572356604904</v>
      </c>
    </row>
    <row r="826" spans="1:2" x14ac:dyDescent="0.25">
      <c r="A826" s="14">
        <v>1435.712808</v>
      </c>
      <c r="B826" s="17">
        <v>-10</v>
      </c>
    </row>
    <row r="827" spans="1:2" x14ac:dyDescent="0.25">
      <c r="A827" s="14">
        <v>1436.2023690000001</v>
      </c>
      <c r="B827" s="17">
        <v>-10</v>
      </c>
    </row>
    <row r="828" spans="1:2" x14ac:dyDescent="0.25">
      <c r="A828" s="14">
        <v>1436.2033690000001</v>
      </c>
      <c r="B828" s="17">
        <v>0.60132955219504602</v>
      </c>
    </row>
    <row r="829" spans="1:2" x14ac:dyDescent="0.25">
      <c r="A829" s="14">
        <v>1436.204369</v>
      </c>
      <c r="B829" s="17">
        <v>-10</v>
      </c>
    </row>
    <row r="830" spans="1:2" x14ac:dyDescent="0.25">
      <c r="A830" s="14">
        <v>1445.5082770000001</v>
      </c>
      <c r="B830" s="17">
        <v>-10</v>
      </c>
    </row>
    <row r="831" spans="1:2" x14ac:dyDescent="0.25">
      <c r="A831" s="14">
        <v>1445.5092770000001</v>
      </c>
      <c r="B831" s="17">
        <v>2.2199244919450569</v>
      </c>
    </row>
    <row r="832" spans="1:2" x14ac:dyDescent="0.25">
      <c r="A832" s="14">
        <v>1445.5102770000001</v>
      </c>
      <c r="B832" s="17">
        <v>-10</v>
      </c>
    </row>
    <row r="833" spans="1:2" x14ac:dyDescent="0.25">
      <c r="A833" s="14">
        <v>1445.5266349999999</v>
      </c>
      <c r="B833" s="17">
        <v>-10</v>
      </c>
    </row>
    <row r="834" spans="1:2" x14ac:dyDescent="0.25">
      <c r="A834" s="14">
        <v>1445.5276349999999</v>
      </c>
      <c r="B834" s="17">
        <v>3.7682944846579081</v>
      </c>
    </row>
    <row r="835" spans="1:2" x14ac:dyDescent="0.25">
      <c r="A835" s="14">
        <v>1445.5286349999999</v>
      </c>
      <c r="B835" s="17">
        <v>-10</v>
      </c>
    </row>
    <row r="836" spans="1:2" x14ac:dyDescent="0.25">
      <c r="A836" s="14">
        <v>1445.8466559999999</v>
      </c>
      <c r="B836" s="17">
        <v>-10</v>
      </c>
    </row>
    <row r="837" spans="1:2" x14ac:dyDescent="0.25">
      <c r="A837" s="14">
        <v>1445.8476559999999</v>
      </c>
      <c r="B837" s="17">
        <v>4.7910299158648861</v>
      </c>
    </row>
    <row r="838" spans="1:2" x14ac:dyDescent="0.25">
      <c r="A838" s="14">
        <v>1445.8486559999999</v>
      </c>
      <c r="B838" s="17">
        <v>-10</v>
      </c>
    </row>
    <row r="839" spans="1:2" x14ac:dyDescent="0.25">
      <c r="A839" s="14">
        <v>1445.8607549999999</v>
      </c>
      <c r="B839" s="17">
        <v>-10</v>
      </c>
    </row>
    <row r="840" spans="1:2" x14ac:dyDescent="0.25">
      <c r="A840" s="14">
        <v>1445.8617549999999</v>
      </c>
      <c r="B840" s="17">
        <v>5.5867415460085637</v>
      </c>
    </row>
    <row r="841" spans="1:2" x14ac:dyDescent="0.25">
      <c r="A841" s="14">
        <v>1445.8627549999999</v>
      </c>
      <c r="B841" s="17">
        <v>-10</v>
      </c>
    </row>
    <row r="842" spans="1:2" x14ac:dyDescent="0.25">
      <c r="A842" s="14">
        <v>1446.1802740000001</v>
      </c>
      <c r="B842" s="17">
        <v>-10</v>
      </c>
    </row>
    <row r="843" spans="1:2" x14ac:dyDescent="0.25">
      <c r="A843" s="14">
        <v>1446.181274</v>
      </c>
      <c r="B843" s="17">
        <v>4.9281936645476279</v>
      </c>
    </row>
    <row r="844" spans="1:2" x14ac:dyDescent="0.25">
      <c r="A844" s="14">
        <v>1446.182274</v>
      </c>
      <c r="B844" s="17">
        <v>-10</v>
      </c>
    </row>
    <row r="845" spans="1:2" x14ac:dyDescent="0.25">
      <c r="A845" s="14">
        <v>1446.1960280000001</v>
      </c>
      <c r="B845" s="17">
        <v>-10</v>
      </c>
    </row>
    <row r="846" spans="1:2" x14ac:dyDescent="0.25">
      <c r="A846" s="14">
        <v>1446.197028</v>
      </c>
      <c r="B846" s="17">
        <v>5.744949902378873</v>
      </c>
    </row>
    <row r="847" spans="1:2" x14ac:dyDescent="0.25">
      <c r="A847" s="14">
        <v>1446.198028</v>
      </c>
      <c r="B847" s="17">
        <v>-10</v>
      </c>
    </row>
    <row r="848" spans="1:2" x14ac:dyDescent="0.25">
      <c r="A848" s="14">
        <v>1446.516822</v>
      </c>
      <c r="B848" s="17">
        <v>-10</v>
      </c>
    </row>
    <row r="849" spans="1:2" x14ac:dyDescent="0.25">
      <c r="A849" s="14">
        <v>1446.517822</v>
      </c>
      <c r="B849" s="17">
        <v>3.6110441136253564</v>
      </c>
    </row>
    <row r="850" spans="1:2" x14ac:dyDescent="0.25">
      <c r="A850" s="14">
        <v>1446.518822</v>
      </c>
      <c r="B850" s="17">
        <v>-10</v>
      </c>
    </row>
    <row r="851" spans="1:2" x14ac:dyDescent="0.25">
      <c r="A851" s="14">
        <v>1446.5308</v>
      </c>
      <c r="B851" s="17">
        <v>-10</v>
      </c>
    </row>
    <row r="852" spans="1:2" x14ac:dyDescent="0.25">
      <c r="A852" s="14">
        <v>1446.5318</v>
      </c>
      <c r="B852" s="17">
        <v>5.0819597620757548</v>
      </c>
    </row>
    <row r="853" spans="1:2" x14ac:dyDescent="0.25">
      <c r="A853" s="14">
        <v>1446.5328</v>
      </c>
      <c r="B853" s="17">
        <v>-10</v>
      </c>
    </row>
    <row r="854" spans="1:2" x14ac:dyDescent="0.25">
      <c r="A854" s="14">
        <v>1446.8506850000001</v>
      </c>
      <c r="B854" s="17">
        <v>-10</v>
      </c>
    </row>
    <row r="855" spans="1:2" x14ac:dyDescent="0.25">
      <c r="A855" s="14">
        <v>1446.8516850000001</v>
      </c>
      <c r="B855" s="17">
        <v>1.4147946704194609</v>
      </c>
    </row>
    <row r="856" spans="1:2" x14ac:dyDescent="0.25">
      <c r="A856" s="14">
        <v>1446.8526850000001</v>
      </c>
      <c r="B856" s="17">
        <v>-10</v>
      </c>
    </row>
    <row r="857" spans="1:2" x14ac:dyDescent="0.25">
      <c r="A857" s="14">
        <v>1446.8696050000001</v>
      </c>
      <c r="B857" s="17">
        <v>-10</v>
      </c>
    </row>
    <row r="858" spans="1:2" x14ac:dyDescent="0.25">
      <c r="A858" s="14">
        <v>1446.8706050000001</v>
      </c>
      <c r="B858" s="17">
        <v>0.99889793155091833</v>
      </c>
    </row>
    <row r="859" spans="1:2" x14ac:dyDescent="0.25">
      <c r="A859" s="14">
        <v>1446.871605</v>
      </c>
      <c r="B859" s="17">
        <v>-10</v>
      </c>
    </row>
    <row r="860" spans="1:2" x14ac:dyDescent="0.25">
      <c r="A860" s="14">
        <v>1453.5102300000001</v>
      </c>
      <c r="B860" s="17">
        <v>-10</v>
      </c>
    </row>
    <row r="861" spans="1:2" x14ac:dyDescent="0.25">
      <c r="A861" s="14">
        <v>1453.5112300000001</v>
      </c>
      <c r="B861" s="17">
        <v>1.2138621431535623</v>
      </c>
    </row>
    <row r="862" spans="1:2" x14ac:dyDescent="0.25">
      <c r="A862" s="14">
        <v>1453.51223</v>
      </c>
      <c r="B862" s="17">
        <v>-10</v>
      </c>
    </row>
    <row r="863" spans="1:2" x14ac:dyDescent="0.25">
      <c r="A863" s="14">
        <v>1453.528916</v>
      </c>
      <c r="B863" s="17">
        <v>-10</v>
      </c>
    </row>
    <row r="864" spans="1:2" x14ac:dyDescent="0.25">
      <c r="A864" s="14">
        <v>1453.529916</v>
      </c>
      <c r="B864" s="17">
        <v>1.9742486769095458</v>
      </c>
    </row>
    <row r="865" spans="1:2" x14ac:dyDescent="0.25">
      <c r="A865" s="14">
        <v>1453.5309159999999</v>
      </c>
      <c r="B865" s="17">
        <v>-10</v>
      </c>
    </row>
    <row r="866" spans="1:2" x14ac:dyDescent="0.25">
      <c r="A866" s="14">
        <v>1453.8475109999999</v>
      </c>
      <c r="B866" s="17">
        <v>-10</v>
      </c>
    </row>
    <row r="867" spans="1:2" x14ac:dyDescent="0.25">
      <c r="A867" s="14">
        <v>1453.8485109999999</v>
      </c>
      <c r="B867" s="17">
        <v>2.5053562352689589</v>
      </c>
    </row>
    <row r="868" spans="1:2" x14ac:dyDescent="0.25">
      <c r="A868" s="14">
        <v>1453.8495109999999</v>
      </c>
      <c r="B868" s="17">
        <v>-10</v>
      </c>
    </row>
    <row r="869" spans="1:2" x14ac:dyDescent="0.25">
      <c r="A869" s="14">
        <v>1453.8668250000001</v>
      </c>
      <c r="B869" s="17">
        <v>-10</v>
      </c>
    </row>
    <row r="870" spans="1:2" x14ac:dyDescent="0.25">
      <c r="A870" s="14">
        <v>1453.867825</v>
      </c>
      <c r="B870" s="17">
        <v>3.2970795342756549</v>
      </c>
    </row>
    <row r="871" spans="1:2" x14ac:dyDescent="0.25">
      <c r="A871" s="14">
        <v>1453.868825</v>
      </c>
      <c r="B871" s="17">
        <v>-10</v>
      </c>
    </row>
    <row r="872" spans="1:2" x14ac:dyDescent="0.25">
      <c r="A872" s="14">
        <v>1454.1844249999999</v>
      </c>
      <c r="B872" s="17">
        <v>-10</v>
      </c>
    </row>
    <row r="873" spans="1:2" x14ac:dyDescent="0.25">
      <c r="A873" s="14">
        <v>1454.1854249999999</v>
      </c>
      <c r="B873" s="17">
        <v>2.3627884334257807</v>
      </c>
    </row>
    <row r="874" spans="1:2" x14ac:dyDescent="0.25">
      <c r="A874" s="14">
        <v>1454.1864249999999</v>
      </c>
      <c r="B874" s="17">
        <v>-10</v>
      </c>
    </row>
    <row r="875" spans="1:2" x14ac:dyDescent="0.25">
      <c r="A875" s="14">
        <v>1454.201155</v>
      </c>
      <c r="B875" s="17">
        <v>-10</v>
      </c>
    </row>
    <row r="876" spans="1:2" x14ac:dyDescent="0.25">
      <c r="A876" s="14">
        <v>1454.2021549999999</v>
      </c>
      <c r="B876" s="17">
        <v>4.0096278422529315</v>
      </c>
    </row>
    <row r="877" spans="1:2" x14ac:dyDescent="0.25">
      <c r="A877" s="14">
        <v>1454.2031549999999</v>
      </c>
      <c r="B877" s="17">
        <v>-10</v>
      </c>
    </row>
    <row r="878" spans="1:2" x14ac:dyDescent="0.25">
      <c r="A878" s="14">
        <v>1454.514625</v>
      </c>
      <c r="B878" s="17">
        <v>-10</v>
      </c>
    </row>
    <row r="879" spans="1:2" x14ac:dyDescent="0.25">
      <c r="A879" s="14">
        <v>1454.515625</v>
      </c>
      <c r="B879" s="17">
        <v>1.2653384610652965</v>
      </c>
    </row>
    <row r="880" spans="1:2" x14ac:dyDescent="0.25">
      <c r="A880" s="14">
        <v>1454.516625</v>
      </c>
      <c r="B880" s="17">
        <v>-10</v>
      </c>
    </row>
    <row r="881" spans="1:2" x14ac:dyDescent="0.25">
      <c r="A881" s="14">
        <v>1454.53449</v>
      </c>
      <c r="B881" s="17">
        <v>-10</v>
      </c>
    </row>
    <row r="882" spans="1:2" x14ac:dyDescent="0.25">
      <c r="A882" s="14">
        <v>1454.53549</v>
      </c>
      <c r="B882" s="17">
        <v>2.5810213787564038</v>
      </c>
    </row>
    <row r="883" spans="1:2" x14ac:dyDescent="0.25">
      <c r="A883" s="14">
        <v>1454.53649</v>
      </c>
      <c r="B883" s="17">
        <v>-10</v>
      </c>
    </row>
    <row r="884" spans="1:2" x14ac:dyDescent="0.25">
      <c r="A884" s="14">
        <v>1454.8501960000001</v>
      </c>
      <c r="B884" s="17">
        <v>-10</v>
      </c>
    </row>
    <row r="885" spans="1:2" x14ac:dyDescent="0.25">
      <c r="A885" s="14">
        <v>1454.8511960000001</v>
      </c>
      <c r="B885" s="17">
        <v>0.66275695963656367</v>
      </c>
    </row>
    <row r="886" spans="1:2" x14ac:dyDescent="0.25">
      <c r="A886" s="14">
        <v>1454.852196</v>
      </c>
      <c r="B886" s="17">
        <v>-10</v>
      </c>
    </row>
    <row r="887" spans="1:2" x14ac:dyDescent="0.25">
      <c r="A887" s="14">
        <v>1454.8620370000001</v>
      </c>
      <c r="B887" s="17">
        <v>-10</v>
      </c>
    </row>
    <row r="888" spans="1:2" x14ac:dyDescent="0.25">
      <c r="A888" s="14">
        <v>1454.8630370000001</v>
      </c>
      <c r="B888" s="17">
        <v>0.65670738170337539</v>
      </c>
    </row>
    <row r="889" spans="1:2" x14ac:dyDescent="0.25">
      <c r="A889" s="14">
        <v>1454.8640370000001</v>
      </c>
      <c r="B889" s="17">
        <v>-10</v>
      </c>
    </row>
    <row r="890" spans="1:2" x14ac:dyDescent="0.25">
      <c r="A890" s="14">
        <v>1466.2072519999999</v>
      </c>
      <c r="B890" s="17">
        <v>-10</v>
      </c>
    </row>
    <row r="891" spans="1:2" x14ac:dyDescent="0.25">
      <c r="A891" s="14">
        <v>1466.2082519999999</v>
      </c>
      <c r="B891" s="17">
        <v>0.31089789732831741</v>
      </c>
    </row>
    <row r="892" spans="1:2" x14ac:dyDescent="0.25">
      <c r="A892" s="14">
        <v>1466.2092519999999</v>
      </c>
      <c r="B892" s="17">
        <v>-10</v>
      </c>
    </row>
    <row r="893" spans="1:2" x14ac:dyDescent="0.25">
      <c r="A893" s="14">
        <v>1466.9404059999999</v>
      </c>
      <c r="B893" s="17">
        <v>-10</v>
      </c>
    </row>
    <row r="894" spans="1:2" x14ac:dyDescent="0.25">
      <c r="A894" s="14">
        <v>1466.9414059999999</v>
      </c>
      <c r="B894" s="17">
        <v>0.32081453220353723</v>
      </c>
    </row>
    <row r="895" spans="1:2" x14ac:dyDescent="0.25">
      <c r="A895" s="14">
        <v>1466.9424059999999</v>
      </c>
      <c r="B895" s="17">
        <v>-10</v>
      </c>
    </row>
    <row r="896" spans="1:2" x14ac:dyDescent="0.25">
      <c r="A896" s="14">
        <v>1484.526466</v>
      </c>
      <c r="B896" s="17">
        <v>-10</v>
      </c>
    </row>
    <row r="897" spans="1:2" x14ac:dyDescent="0.25">
      <c r="A897" s="14">
        <v>1484.527466</v>
      </c>
      <c r="B897" s="17">
        <v>1.054446838533778</v>
      </c>
    </row>
    <row r="898" spans="1:2" x14ac:dyDescent="0.25">
      <c r="A898" s="14">
        <v>1484.528466</v>
      </c>
      <c r="B898" s="17">
        <v>-10</v>
      </c>
    </row>
    <row r="899" spans="1:2" x14ac:dyDescent="0.25">
      <c r="A899" s="14">
        <v>1484.5483160000001</v>
      </c>
      <c r="B899" s="17">
        <v>-10</v>
      </c>
    </row>
    <row r="900" spans="1:2" x14ac:dyDescent="0.25">
      <c r="A900" s="14">
        <v>1484.5493160000001</v>
      </c>
      <c r="B900" s="17">
        <v>0.4189724772472635</v>
      </c>
    </row>
    <row r="901" spans="1:2" x14ac:dyDescent="0.25">
      <c r="A901" s="14">
        <v>1484.5503160000001</v>
      </c>
      <c r="B901" s="17">
        <v>-10</v>
      </c>
    </row>
    <row r="902" spans="1:2" x14ac:dyDescent="0.25">
      <c r="A902" s="14">
        <v>1484.8578870000001</v>
      </c>
      <c r="B902" s="17">
        <v>-10</v>
      </c>
    </row>
    <row r="903" spans="1:2" x14ac:dyDescent="0.25">
      <c r="A903" s="14">
        <v>1484.8588870000001</v>
      </c>
      <c r="B903" s="17">
        <v>2.4682925398581785</v>
      </c>
    </row>
    <row r="904" spans="1:2" x14ac:dyDescent="0.25">
      <c r="A904" s="14">
        <v>1484.8598870000001</v>
      </c>
      <c r="B904" s="17">
        <v>-10</v>
      </c>
    </row>
    <row r="905" spans="1:2" x14ac:dyDescent="0.25">
      <c r="A905" s="14">
        <v>1484.875284</v>
      </c>
      <c r="B905" s="17">
        <v>-10</v>
      </c>
    </row>
    <row r="906" spans="1:2" x14ac:dyDescent="0.25">
      <c r="A906" s="14">
        <v>1484.8762839999999</v>
      </c>
      <c r="B906" s="17">
        <v>3.4253840260353554</v>
      </c>
    </row>
    <row r="907" spans="1:2" x14ac:dyDescent="0.25">
      <c r="A907" s="14">
        <v>1484.8772839999999</v>
      </c>
      <c r="B907" s="17">
        <v>-10</v>
      </c>
    </row>
    <row r="908" spans="1:2" x14ac:dyDescent="0.25">
      <c r="A908" s="14">
        <v>1485.193458</v>
      </c>
      <c r="B908" s="17">
        <v>-10</v>
      </c>
    </row>
    <row r="909" spans="1:2" x14ac:dyDescent="0.25">
      <c r="A909" s="14">
        <v>1485.1944579999999</v>
      </c>
      <c r="B909" s="17">
        <v>1.8577877725605971</v>
      </c>
    </row>
    <row r="910" spans="1:2" x14ac:dyDescent="0.25">
      <c r="A910" s="14">
        <v>1485.1954579999999</v>
      </c>
      <c r="B910" s="17">
        <v>-10</v>
      </c>
    </row>
    <row r="911" spans="1:2" x14ac:dyDescent="0.25">
      <c r="A911" s="14">
        <v>1485.2108660000001</v>
      </c>
      <c r="B911" s="17">
        <v>-10</v>
      </c>
    </row>
    <row r="912" spans="1:2" x14ac:dyDescent="0.25">
      <c r="A912" s="14">
        <v>1485.2118660000001</v>
      </c>
      <c r="B912" s="17">
        <v>4.8780341975352384</v>
      </c>
    </row>
    <row r="913" spans="1:2" x14ac:dyDescent="0.25">
      <c r="A913" s="14">
        <v>1485.2128660000001</v>
      </c>
      <c r="B913" s="17">
        <v>-10</v>
      </c>
    </row>
    <row r="914" spans="1:2" x14ac:dyDescent="0.25">
      <c r="A914" s="14">
        <v>1485.530006</v>
      </c>
      <c r="B914" s="17">
        <v>-10</v>
      </c>
    </row>
    <row r="915" spans="1:2" x14ac:dyDescent="0.25">
      <c r="A915" s="14">
        <v>1485.5310059999999</v>
      </c>
      <c r="B915" s="17">
        <v>1.8410983673074335</v>
      </c>
    </row>
    <row r="916" spans="1:2" x14ac:dyDescent="0.25">
      <c r="A916" s="14">
        <v>1485.5320059999999</v>
      </c>
      <c r="B916" s="17">
        <v>-10</v>
      </c>
    </row>
    <row r="917" spans="1:2" x14ac:dyDescent="0.25">
      <c r="A917" s="14">
        <v>1485.5443270000001</v>
      </c>
      <c r="B917" s="17">
        <v>-10</v>
      </c>
    </row>
    <row r="918" spans="1:2" x14ac:dyDescent="0.25">
      <c r="A918" s="14">
        <v>1485.545327</v>
      </c>
      <c r="B918" s="17">
        <v>2.1949039485439972</v>
      </c>
    </row>
    <row r="919" spans="1:2" x14ac:dyDescent="0.25">
      <c r="A919" s="14">
        <v>1485.546327</v>
      </c>
      <c r="B919" s="17">
        <v>-10</v>
      </c>
    </row>
    <row r="920" spans="1:2" x14ac:dyDescent="0.25">
      <c r="A920" s="14">
        <v>1485.865577</v>
      </c>
      <c r="B920" s="17">
        <v>-10</v>
      </c>
    </row>
    <row r="921" spans="1:2" x14ac:dyDescent="0.25">
      <c r="A921" s="14">
        <v>1485.866577</v>
      </c>
      <c r="B921" s="17">
        <v>1.5898220825565765</v>
      </c>
    </row>
    <row r="922" spans="1:2" x14ac:dyDescent="0.25">
      <c r="A922" s="14">
        <v>1485.867577</v>
      </c>
      <c r="B922" s="17">
        <v>-10</v>
      </c>
    </row>
    <row r="923" spans="1:2" x14ac:dyDescent="0.25">
      <c r="A923" s="14">
        <v>1485.8826670000001</v>
      </c>
      <c r="B923" s="17">
        <v>-10</v>
      </c>
    </row>
    <row r="924" spans="1:2" x14ac:dyDescent="0.25">
      <c r="A924" s="14">
        <v>1485.8836670000001</v>
      </c>
      <c r="B924" s="17">
        <v>0.59827860848374426</v>
      </c>
    </row>
    <row r="925" spans="1:2" x14ac:dyDescent="0.25">
      <c r="A925" s="14">
        <v>1485.884667</v>
      </c>
      <c r="B925" s="17">
        <v>-10</v>
      </c>
    </row>
    <row r="926" spans="1:2" x14ac:dyDescent="0.25">
      <c r="A926" s="14">
        <v>1490.320289</v>
      </c>
      <c r="B926" s="17">
        <v>-10</v>
      </c>
    </row>
    <row r="927" spans="1:2" x14ac:dyDescent="0.25">
      <c r="A927" s="14">
        <v>1490.321289</v>
      </c>
      <c r="B927" s="17">
        <v>0.47268476986189495</v>
      </c>
    </row>
    <row r="928" spans="1:2" x14ac:dyDescent="0.25">
      <c r="A928" s="14">
        <v>1490.322289</v>
      </c>
      <c r="B928" s="17">
        <v>-10</v>
      </c>
    </row>
    <row r="929" spans="1:2" x14ac:dyDescent="0.25">
      <c r="A929" s="14">
        <v>1490.529029</v>
      </c>
      <c r="B929" s="17">
        <v>-10</v>
      </c>
    </row>
    <row r="930" spans="1:2" x14ac:dyDescent="0.25">
      <c r="A930" s="14">
        <v>1490.530029</v>
      </c>
      <c r="B930" s="17">
        <v>27.859467634277312</v>
      </c>
    </row>
    <row r="931" spans="1:2" x14ac:dyDescent="0.25">
      <c r="A931" s="14">
        <v>1490.531029</v>
      </c>
      <c r="B931" s="17">
        <v>-10</v>
      </c>
    </row>
    <row r="932" spans="1:2" x14ac:dyDescent="0.25">
      <c r="A932" s="14">
        <v>1490.5454589999999</v>
      </c>
      <c r="B932" s="17">
        <v>-10</v>
      </c>
    </row>
    <row r="933" spans="1:2" x14ac:dyDescent="0.25">
      <c r="A933" s="14">
        <v>1490.5464589999999</v>
      </c>
      <c r="B933" s="17">
        <v>40.601501702449639</v>
      </c>
    </row>
    <row r="934" spans="1:2" x14ac:dyDescent="0.25">
      <c r="A934" s="14">
        <v>1490.5474589999999</v>
      </c>
      <c r="B934" s="17">
        <v>-10</v>
      </c>
    </row>
    <row r="935" spans="1:2" x14ac:dyDescent="0.25">
      <c r="A935" s="14">
        <v>1490.8632580000001</v>
      </c>
      <c r="B935" s="17">
        <v>-10</v>
      </c>
    </row>
    <row r="936" spans="1:2" x14ac:dyDescent="0.25">
      <c r="A936" s="14">
        <v>1490.8642580000001</v>
      </c>
      <c r="B936" s="17">
        <v>58.049897259240147</v>
      </c>
    </row>
    <row r="937" spans="1:2" x14ac:dyDescent="0.25">
      <c r="A937" s="14">
        <v>1490.865258</v>
      </c>
      <c r="B937" s="17">
        <v>-10</v>
      </c>
    </row>
    <row r="938" spans="1:2" x14ac:dyDescent="0.25">
      <c r="A938" s="14">
        <v>1490.879805</v>
      </c>
      <c r="B938" s="17">
        <v>-10</v>
      </c>
    </row>
    <row r="939" spans="1:2" x14ac:dyDescent="0.25">
      <c r="A939" s="14">
        <v>1490.880805</v>
      </c>
      <c r="B939" s="17">
        <v>92.674581381189654</v>
      </c>
    </row>
    <row r="940" spans="1:2" x14ac:dyDescent="0.25">
      <c r="A940" s="14">
        <v>1490.881805</v>
      </c>
      <c r="B940" s="17">
        <v>-10</v>
      </c>
    </row>
    <row r="941" spans="1:2" x14ac:dyDescent="0.25">
      <c r="A941" s="14">
        <v>1491.1988289999999</v>
      </c>
      <c r="B941" s="17">
        <v>-10</v>
      </c>
    </row>
    <row r="942" spans="1:2" x14ac:dyDescent="0.25">
      <c r="A942" s="14">
        <v>1491.1998289999999</v>
      </c>
      <c r="B942" s="17">
        <v>60.613965893509103</v>
      </c>
    </row>
    <row r="943" spans="1:2" x14ac:dyDescent="0.25">
      <c r="A943" s="14">
        <v>1491.2008289999999</v>
      </c>
      <c r="B943" s="17">
        <v>-10</v>
      </c>
    </row>
    <row r="944" spans="1:2" x14ac:dyDescent="0.25">
      <c r="A944" s="14">
        <v>1491.214373</v>
      </c>
      <c r="B944" s="17">
        <v>-10</v>
      </c>
    </row>
    <row r="945" spans="1:2" x14ac:dyDescent="0.25">
      <c r="A945" s="14">
        <v>1491.215373</v>
      </c>
      <c r="B945" s="17">
        <v>100</v>
      </c>
    </row>
    <row r="946" spans="1:2" x14ac:dyDescent="0.25">
      <c r="A946" s="14">
        <v>1491.216373</v>
      </c>
      <c r="B946" s="17">
        <v>-10</v>
      </c>
    </row>
    <row r="947" spans="1:2" x14ac:dyDescent="0.25">
      <c r="A947" s="14">
        <v>1491.5331800000001</v>
      </c>
      <c r="B947" s="17">
        <v>-10</v>
      </c>
    </row>
    <row r="948" spans="1:2" x14ac:dyDescent="0.25">
      <c r="A948" s="14">
        <v>1491.5341800000001</v>
      </c>
      <c r="B948" s="17">
        <v>44.008524958254135</v>
      </c>
    </row>
    <row r="949" spans="1:2" x14ac:dyDescent="0.25">
      <c r="A949" s="14">
        <v>1491.5351800000001</v>
      </c>
      <c r="B949" s="17">
        <v>-10</v>
      </c>
    </row>
    <row r="950" spans="1:2" x14ac:dyDescent="0.25">
      <c r="A950" s="14">
        <v>1491.5490669999999</v>
      </c>
      <c r="B950" s="17">
        <v>-10</v>
      </c>
    </row>
    <row r="951" spans="1:2" x14ac:dyDescent="0.25">
      <c r="A951" s="14">
        <v>1491.5500669999999</v>
      </c>
      <c r="B951" s="17">
        <v>66.253798616162342</v>
      </c>
    </row>
    <row r="952" spans="1:2" x14ac:dyDescent="0.25">
      <c r="A952" s="14">
        <v>1491.5510669999999</v>
      </c>
      <c r="B952" s="17">
        <v>-10</v>
      </c>
    </row>
    <row r="953" spans="1:2" x14ac:dyDescent="0.25">
      <c r="A953" s="14">
        <v>1491.8674080000001</v>
      </c>
      <c r="B953" s="17">
        <v>-10</v>
      </c>
    </row>
    <row r="954" spans="1:2" x14ac:dyDescent="0.25">
      <c r="A954" s="14">
        <v>1491.868408</v>
      </c>
      <c r="B954" s="17">
        <v>17.646327274092904</v>
      </c>
    </row>
    <row r="955" spans="1:2" x14ac:dyDescent="0.25">
      <c r="A955" s="14">
        <v>1491.869408</v>
      </c>
      <c r="B955" s="17">
        <v>-10</v>
      </c>
    </row>
    <row r="956" spans="1:2" x14ac:dyDescent="0.25">
      <c r="A956" s="14">
        <v>1491.8836759999999</v>
      </c>
      <c r="B956" s="17">
        <v>-10</v>
      </c>
    </row>
    <row r="957" spans="1:2" x14ac:dyDescent="0.25">
      <c r="A957" s="14">
        <v>1491.8846759999999</v>
      </c>
      <c r="B957" s="17">
        <v>26.125993768278761</v>
      </c>
    </row>
    <row r="958" spans="1:2" x14ac:dyDescent="0.25">
      <c r="A958" s="14">
        <v>1491.8856759999999</v>
      </c>
      <c r="B958" s="17">
        <v>-10</v>
      </c>
    </row>
    <row r="959" spans="1:2" x14ac:dyDescent="0.25">
      <c r="A959" s="14">
        <v>1492.095558</v>
      </c>
      <c r="B959" s="17">
        <v>-10</v>
      </c>
    </row>
    <row r="960" spans="1:2" x14ac:dyDescent="0.25">
      <c r="A960" s="14">
        <v>1492.096558</v>
      </c>
      <c r="B960" s="17">
        <v>0.45666051499111893</v>
      </c>
    </row>
    <row r="961" spans="1:2" x14ac:dyDescent="0.25">
      <c r="A961" s="14">
        <v>1492.0975579999999</v>
      </c>
      <c r="B961" s="17">
        <v>-10</v>
      </c>
    </row>
    <row r="962" spans="1:2" x14ac:dyDescent="0.25">
      <c r="A962" s="14">
        <v>1595.208351</v>
      </c>
      <c r="B962" s="17">
        <v>-10</v>
      </c>
    </row>
    <row r="963" spans="1:2" x14ac:dyDescent="0.25">
      <c r="A963" s="14">
        <v>1595.209351</v>
      </c>
      <c r="B963" s="17">
        <v>0.6910707601816527</v>
      </c>
    </row>
    <row r="964" spans="1:2" x14ac:dyDescent="0.25">
      <c r="A964" s="14">
        <v>1595.2103509999999</v>
      </c>
      <c r="B964" s="17">
        <v>-10</v>
      </c>
    </row>
    <row r="965" spans="1:2" x14ac:dyDescent="0.25">
      <c r="A965" s="14">
        <v>1595.2256460000001</v>
      </c>
      <c r="B965" s="17">
        <v>-10</v>
      </c>
    </row>
    <row r="966" spans="1:2" x14ac:dyDescent="0.25">
      <c r="A966" s="14">
        <v>1595.2266460000001</v>
      </c>
      <c r="B966" s="17">
        <v>1.1394479383929421</v>
      </c>
    </row>
    <row r="967" spans="1:2" x14ac:dyDescent="0.25">
      <c r="A967" s="14">
        <v>1595.227646</v>
      </c>
      <c r="B967" s="17">
        <v>-10</v>
      </c>
    </row>
    <row r="968" spans="1:2" x14ac:dyDescent="0.25">
      <c r="A968" s="14">
        <v>1595.713111</v>
      </c>
      <c r="B968" s="17">
        <v>-10</v>
      </c>
    </row>
    <row r="969" spans="1:2" x14ac:dyDescent="0.25">
      <c r="A969" s="14">
        <v>1595.714111</v>
      </c>
      <c r="B969" s="17">
        <v>0.51999192557414797</v>
      </c>
    </row>
    <row r="970" spans="1:2" x14ac:dyDescent="0.25">
      <c r="A970" s="14">
        <v>1595.715111</v>
      </c>
      <c r="B970" s="17">
        <v>-10</v>
      </c>
    </row>
    <row r="971" spans="1:2" x14ac:dyDescent="0.25">
      <c r="A971" s="14">
        <v>1595.732154</v>
      </c>
      <c r="B971" s="17">
        <v>-10</v>
      </c>
    </row>
    <row r="972" spans="1:2" x14ac:dyDescent="0.25">
      <c r="A972" s="14">
        <v>1595.733154</v>
      </c>
      <c r="B972" s="17">
        <v>0.617108773478518</v>
      </c>
    </row>
    <row r="973" spans="1:2" x14ac:dyDescent="0.25">
      <c r="A973" s="14">
        <v>1595.734154</v>
      </c>
      <c r="B973" s="17">
        <v>-10</v>
      </c>
    </row>
    <row r="974" spans="1:2" x14ac:dyDescent="0.25">
      <c r="A974" s="14">
        <v>1602.204688</v>
      </c>
      <c r="B974" s="17">
        <v>-10</v>
      </c>
    </row>
    <row r="975" spans="1:2" x14ac:dyDescent="0.25">
      <c r="A975" s="14">
        <v>1602.205688</v>
      </c>
      <c r="B975" s="17">
        <v>1.2900269163814944</v>
      </c>
    </row>
    <row r="976" spans="1:2" x14ac:dyDescent="0.25">
      <c r="A976" s="14">
        <v>1602.206688</v>
      </c>
      <c r="B976" s="17">
        <v>-10</v>
      </c>
    </row>
    <row r="977" spans="1:2" x14ac:dyDescent="0.25">
      <c r="A977" s="14">
        <v>1602.227633</v>
      </c>
      <c r="B977" s="17">
        <v>-10</v>
      </c>
    </row>
    <row r="978" spans="1:2" x14ac:dyDescent="0.25">
      <c r="A978" s="14">
        <v>1602.2286329999999</v>
      </c>
      <c r="B978" s="17">
        <v>2.0315263892128823</v>
      </c>
    </row>
    <row r="979" spans="1:2" x14ac:dyDescent="0.25">
      <c r="A979" s="14">
        <v>1602.2296329999999</v>
      </c>
      <c r="B979" s="17">
        <v>-10</v>
      </c>
    </row>
    <row r="980" spans="1:2" x14ac:dyDescent="0.25">
      <c r="A980" s="14">
        <v>1603.2323980000001</v>
      </c>
      <c r="B980" s="17">
        <v>-10</v>
      </c>
    </row>
    <row r="981" spans="1:2" x14ac:dyDescent="0.25">
      <c r="A981" s="14">
        <v>1603.2333980000001</v>
      </c>
      <c r="B981" s="17">
        <v>1.0432753585299712</v>
      </c>
    </row>
    <row r="982" spans="1:2" x14ac:dyDescent="0.25">
      <c r="A982" s="14">
        <v>1603.2343980000001</v>
      </c>
      <c r="B982" s="17">
        <v>-10</v>
      </c>
    </row>
    <row r="983" spans="1:2" x14ac:dyDescent="0.25">
      <c r="A983" s="14">
        <v>1682.19065</v>
      </c>
      <c r="B983" s="17">
        <v>-10</v>
      </c>
    </row>
    <row r="984" spans="1:2" x14ac:dyDescent="0.25">
      <c r="A984" s="14">
        <v>1682.19165</v>
      </c>
      <c r="B984" s="17">
        <v>0.53474192174122293</v>
      </c>
    </row>
    <row r="985" spans="1:2" x14ac:dyDescent="0.25">
      <c r="A985" s="14">
        <v>1682.19265</v>
      </c>
      <c r="B985" s="17">
        <v>-10</v>
      </c>
    </row>
    <row r="986" spans="1:2" x14ac:dyDescent="0.25">
      <c r="A986" s="14">
        <v>1702.142677</v>
      </c>
      <c r="B986" s="17">
        <v>-10</v>
      </c>
    </row>
    <row r="987" spans="1:2" x14ac:dyDescent="0.25">
      <c r="A987" s="14">
        <v>1702.143677</v>
      </c>
      <c r="B987" s="17">
        <v>0.33728220092362232</v>
      </c>
    </row>
    <row r="988" spans="1:2" x14ac:dyDescent="0.25">
      <c r="A988" s="14">
        <v>1702.144677</v>
      </c>
      <c r="B988" s="17">
        <v>-10</v>
      </c>
    </row>
    <row r="989" spans="1:2" x14ac:dyDescent="0.25">
      <c r="A989" s="14">
        <v>1754.7248480000001</v>
      </c>
      <c r="B989" s="17">
        <v>-10</v>
      </c>
    </row>
    <row r="990" spans="1:2" x14ac:dyDescent="0.25">
      <c r="A990" s="14">
        <v>1754.725848</v>
      </c>
      <c r="B990" s="17">
        <v>0.88343931820352783</v>
      </c>
    </row>
    <row r="991" spans="1:2" x14ac:dyDescent="0.25">
      <c r="A991" s="14">
        <v>1754.726848</v>
      </c>
      <c r="B991" s="17">
        <v>-10</v>
      </c>
    </row>
    <row r="992" spans="1:2" x14ac:dyDescent="0.25">
      <c r="A992" s="14">
        <v>1754.7350839999999</v>
      </c>
      <c r="B992" s="17">
        <v>-10</v>
      </c>
    </row>
    <row r="993" spans="1:2" x14ac:dyDescent="0.25">
      <c r="A993" s="14">
        <v>1754.7360839999999</v>
      </c>
      <c r="B993" s="17">
        <v>0.75644157418477664</v>
      </c>
    </row>
    <row r="994" spans="1:2" x14ac:dyDescent="0.25">
      <c r="A994" s="14">
        <v>1754.7370839999999</v>
      </c>
      <c r="B994" s="17">
        <v>-10</v>
      </c>
    </row>
    <row r="995" spans="1:2" x14ac:dyDescent="0.25">
      <c r="A995" s="14">
        <v>1755.224952</v>
      </c>
      <c r="B995" s="17">
        <v>-10</v>
      </c>
    </row>
    <row r="996" spans="1:2" x14ac:dyDescent="0.25">
      <c r="A996" s="14">
        <v>1755.225952</v>
      </c>
      <c r="B996" s="17">
        <v>1.3585557037735394</v>
      </c>
    </row>
    <row r="997" spans="1:2" x14ac:dyDescent="0.25">
      <c r="A997" s="14">
        <v>1755.226952</v>
      </c>
      <c r="B997" s="17">
        <v>-10</v>
      </c>
    </row>
    <row r="998" spans="1:2" x14ac:dyDescent="0.25">
      <c r="A998" s="14">
        <v>1755.2436709999999</v>
      </c>
      <c r="B998" s="17">
        <v>-10</v>
      </c>
    </row>
    <row r="999" spans="1:2" x14ac:dyDescent="0.25">
      <c r="A999" s="14">
        <v>1755.2446709999999</v>
      </c>
      <c r="B999" s="17">
        <v>1.6620192371728608</v>
      </c>
    </row>
    <row r="1000" spans="1:2" x14ac:dyDescent="0.25">
      <c r="A1000" s="14">
        <v>1755.2456709999999</v>
      </c>
      <c r="B1000" s="17">
        <v>-10</v>
      </c>
    </row>
    <row r="1001" spans="1:2" x14ac:dyDescent="0.25">
      <c r="A1001" s="14">
        <v>1755.751082</v>
      </c>
      <c r="B1001" s="17">
        <v>-10</v>
      </c>
    </row>
    <row r="1002" spans="1:2" x14ac:dyDescent="0.25">
      <c r="A1002" s="14">
        <v>1755.752082</v>
      </c>
      <c r="B1002" s="17">
        <v>1.4739365119130214</v>
      </c>
    </row>
    <row r="1003" spans="1:2" x14ac:dyDescent="0.25">
      <c r="A1003" s="14">
        <v>1755.7530819999999</v>
      </c>
      <c r="B1003" s="17">
        <v>-10</v>
      </c>
    </row>
    <row r="1004" spans="1:2" x14ac:dyDescent="0.25">
      <c r="A1004" s="14">
        <v>1756.212745</v>
      </c>
      <c r="B1004" s="17">
        <v>-10</v>
      </c>
    </row>
    <row r="1005" spans="1:2" x14ac:dyDescent="0.25">
      <c r="A1005" s="14">
        <v>1756.213745</v>
      </c>
      <c r="B1005" s="17">
        <v>0.4577702635597804</v>
      </c>
    </row>
    <row r="1006" spans="1:2" x14ac:dyDescent="0.25">
      <c r="A1006" s="14">
        <v>1756.214745</v>
      </c>
      <c r="B1006" s="17">
        <v>-10</v>
      </c>
    </row>
    <row r="1007" spans="1:2" x14ac:dyDescent="0.25">
      <c r="A1007" s="14">
        <v>1756.2358160000001</v>
      </c>
      <c r="B1007" s="17">
        <v>-10</v>
      </c>
    </row>
    <row r="1008" spans="1:2" x14ac:dyDescent="0.25">
      <c r="A1008" s="14">
        <v>1756.2368160000001</v>
      </c>
      <c r="B1008" s="17">
        <v>0.6422901727620155</v>
      </c>
    </row>
    <row r="1009" spans="1:2" x14ac:dyDescent="0.25">
      <c r="A1009" s="14">
        <v>1756.2378160000001</v>
      </c>
      <c r="B1009" s="17">
        <v>-10</v>
      </c>
    </row>
    <row r="1010" spans="1:2" x14ac:dyDescent="0.25">
      <c r="A1010" s="14">
        <v>1907.23838</v>
      </c>
      <c r="B1010" s="17">
        <v>-10</v>
      </c>
    </row>
    <row r="1011" spans="1:2" x14ac:dyDescent="0.25">
      <c r="A1011" s="14">
        <v>1907.23938</v>
      </c>
      <c r="B1011" s="17">
        <v>1.1019922656513115</v>
      </c>
    </row>
    <row r="1012" spans="1:2" x14ac:dyDescent="0.25">
      <c r="A1012" s="14">
        <v>1907.24038</v>
      </c>
      <c r="B1012" s="17">
        <v>-10</v>
      </c>
    </row>
    <row r="1013" spans="1:2" x14ac:dyDescent="0.25">
      <c r="A1013" s="14">
        <v>1907.2648570000001</v>
      </c>
      <c r="B1013" s="17">
        <v>-10</v>
      </c>
    </row>
    <row r="1014" spans="1:2" x14ac:dyDescent="0.25">
      <c r="A1014" s="14">
        <v>1907.2658570000001</v>
      </c>
      <c r="B1014" s="17">
        <v>1.4216529212729323</v>
      </c>
    </row>
    <row r="1015" spans="1:2" x14ac:dyDescent="0.25">
      <c r="A1015" s="14">
        <v>1907.2668570000001</v>
      </c>
      <c r="B1015" s="17">
        <v>-10</v>
      </c>
    </row>
    <row r="1016" spans="1:2" x14ac:dyDescent="0.25">
      <c r="A1016" s="14">
        <v>1907.73838</v>
      </c>
      <c r="B1016" s="17">
        <v>-10</v>
      </c>
    </row>
    <row r="1017" spans="1:2" x14ac:dyDescent="0.25">
      <c r="A1017" s="14">
        <v>1907.73938</v>
      </c>
      <c r="B1017" s="17">
        <v>1.4166843717370148</v>
      </c>
    </row>
    <row r="1018" spans="1:2" x14ac:dyDescent="0.25">
      <c r="A1018" s="14">
        <v>1907.74038</v>
      </c>
      <c r="B1018" s="17">
        <v>-10</v>
      </c>
    </row>
    <row r="1019" spans="1:2" x14ac:dyDescent="0.25">
      <c r="A1019" s="14">
        <v>1907.769888</v>
      </c>
      <c r="B1019" s="17">
        <v>-10</v>
      </c>
    </row>
    <row r="1020" spans="1:2" x14ac:dyDescent="0.25">
      <c r="A1020" s="14">
        <v>1907.770888</v>
      </c>
      <c r="B1020" s="17">
        <v>1.5900891524523051</v>
      </c>
    </row>
    <row r="1021" spans="1:2" x14ac:dyDescent="0.25">
      <c r="A1021" s="14">
        <v>1907.771888</v>
      </c>
      <c r="B1021" s="17">
        <v>-10</v>
      </c>
    </row>
    <row r="1022" spans="1:2" x14ac:dyDescent="0.25">
      <c r="A1022" s="14">
        <v>1908.2551040000001</v>
      </c>
      <c r="B1022" s="17">
        <v>-10</v>
      </c>
    </row>
    <row r="1023" spans="1:2" x14ac:dyDescent="0.25">
      <c r="A1023" s="14">
        <v>1908.2561040000001</v>
      </c>
      <c r="B1023" s="17">
        <v>1.0125698162280528</v>
      </c>
    </row>
    <row r="1024" spans="1:2" x14ac:dyDescent="0.25">
      <c r="A1024" s="14">
        <v>1908.257104</v>
      </c>
      <c r="B1024" s="17">
        <v>-10</v>
      </c>
    </row>
    <row r="1025" spans="1:2" x14ac:dyDescent="0.25">
      <c r="A1025" s="14">
        <v>1908.268043</v>
      </c>
      <c r="B1025" s="17">
        <v>-10</v>
      </c>
    </row>
    <row r="1026" spans="1:2" x14ac:dyDescent="0.25">
      <c r="A1026" s="14">
        <v>1908.269043</v>
      </c>
      <c r="B1026" s="17">
        <v>1.2081845673711622</v>
      </c>
    </row>
    <row r="1027" spans="1:2" x14ac:dyDescent="0.25">
      <c r="A1027" s="14">
        <v>1908.270043</v>
      </c>
      <c r="B1027" s="17">
        <v>-10</v>
      </c>
    </row>
    <row r="1028" spans="1:2" x14ac:dyDescent="0.25">
      <c r="A1028" s="14">
        <v>1908.2785410000001</v>
      </c>
      <c r="B1028" s="17">
        <v>-10</v>
      </c>
    </row>
    <row r="1029" spans="1:2" x14ac:dyDescent="0.25">
      <c r="A1029" s="14">
        <v>1908.2795410000001</v>
      </c>
      <c r="B1029" s="17">
        <v>0.72593376840041635</v>
      </c>
    </row>
    <row r="1030" spans="1:2" x14ac:dyDescent="0.25">
      <c r="A1030" s="14">
        <v>1908.2805410000001</v>
      </c>
      <c r="B1030" s="17">
        <v>-10</v>
      </c>
    </row>
    <row r="1031" spans="1:2" x14ac:dyDescent="0.25">
      <c r="A1031" s="14">
        <v>1908.7537609999999</v>
      </c>
      <c r="B1031" s="17">
        <v>-10</v>
      </c>
    </row>
    <row r="1032" spans="1:2" x14ac:dyDescent="0.25">
      <c r="A1032" s="14">
        <v>1908.7547609999999</v>
      </c>
      <c r="B1032" s="17">
        <v>0.4615911714748332</v>
      </c>
    </row>
    <row r="1033" spans="1:2" x14ac:dyDescent="0.25">
      <c r="A1033" s="14">
        <v>1908.7557609999999</v>
      </c>
      <c r="B1033" s="17">
        <v>-10</v>
      </c>
    </row>
    <row r="1034" spans="1:2" x14ac:dyDescent="0.25">
      <c r="A1034" s="14">
        <v>1909.2504650000001</v>
      </c>
      <c r="B1034" s="17">
        <v>-10</v>
      </c>
    </row>
    <row r="1035" spans="1:2" x14ac:dyDescent="0.25">
      <c r="A1035" s="14">
        <v>1909.2514650000001</v>
      </c>
      <c r="B1035" s="17">
        <v>0.34332804819537233</v>
      </c>
    </row>
    <row r="1036" spans="1:2" x14ac:dyDescent="0.25">
      <c r="A1036" s="14">
        <v>1909.252465</v>
      </c>
      <c r="B1036" s="17">
        <v>-10</v>
      </c>
    </row>
    <row r="1037" spans="1:2" x14ac:dyDescent="0.25">
      <c r="A1037" s="14">
        <v>1909.2670660000001</v>
      </c>
      <c r="B1037" s="17">
        <v>-10</v>
      </c>
    </row>
    <row r="1038" spans="1:2" x14ac:dyDescent="0.25">
      <c r="A1038" s="14">
        <v>1909.2680660000001</v>
      </c>
      <c r="B1038" s="17">
        <v>0.53781466871399797</v>
      </c>
    </row>
    <row r="1039" spans="1:2" x14ac:dyDescent="0.25">
      <c r="A1039" s="14">
        <v>1909.2690660000001</v>
      </c>
      <c r="B1039" s="17">
        <v>-10</v>
      </c>
    </row>
    <row r="1040" spans="1:2" x14ac:dyDescent="0.25">
      <c r="A1040" s="14">
        <v>1909.2869640000001</v>
      </c>
      <c r="B1040" s="17">
        <v>-10</v>
      </c>
    </row>
    <row r="1041" spans="1:2" x14ac:dyDescent="0.25">
      <c r="A1041" s="14">
        <v>1909.2879640000001</v>
      </c>
      <c r="B1041" s="17">
        <v>0.33379944413460139</v>
      </c>
    </row>
    <row r="1042" spans="1:2" x14ac:dyDescent="0.25">
      <c r="A1042" s="14">
        <v>1909.2889640000001</v>
      </c>
      <c r="B1042" s="17">
        <v>-10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31D73-6B5D-475F-84C0-B16E4FB6080B}">
  <sheetPr codeName="Sheet2"/>
  <dimension ref="A1:AA17"/>
  <sheetViews>
    <sheetView workbookViewId="0">
      <selection sqref="A1:XFD1048576"/>
    </sheetView>
  </sheetViews>
  <sheetFormatPr defaultColWidth="11.28515625" defaultRowHeight="15" x14ac:dyDescent="0.25"/>
  <cols>
    <col min="1" max="15" width="11.28515625" style="32"/>
    <col min="16" max="20" width="11.28515625" style="44"/>
    <col min="21" max="23" width="11.28515625" style="32"/>
    <col min="24" max="27" width="11.28515625" style="44"/>
    <col min="28" max="16384" width="11.28515625" style="32"/>
  </cols>
  <sheetData>
    <row r="1" spans="1:27" s="48" customFormat="1" x14ac:dyDescent="0.25">
      <c r="A1" s="48" t="s">
        <v>169</v>
      </c>
      <c r="P1" s="49" t="s">
        <v>170</v>
      </c>
      <c r="Q1" s="49"/>
      <c r="R1" s="49"/>
      <c r="S1" s="49"/>
      <c r="T1" s="49"/>
      <c r="X1" s="49"/>
      <c r="Y1" s="49"/>
      <c r="Z1" s="49"/>
      <c r="AA1" s="49"/>
    </row>
    <row r="2" spans="1:27" s="46" customFormat="1" ht="30" x14ac:dyDescent="0.25">
      <c r="A2" s="46" t="s">
        <v>167</v>
      </c>
      <c r="I2" s="46" t="s">
        <v>168</v>
      </c>
      <c r="P2" s="47" t="s">
        <v>167</v>
      </c>
      <c r="Q2" s="47"/>
      <c r="R2" s="47"/>
      <c r="S2" s="47"/>
      <c r="T2" s="47"/>
      <c r="X2" s="47" t="s">
        <v>168</v>
      </c>
      <c r="Y2" s="47"/>
      <c r="Z2" s="47"/>
      <c r="AA2" s="47"/>
    </row>
    <row r="3" spans="1:27" s="46" customFormat="1" x14ac:dyDescent="0.25">
      <c r="A3" s="46" t="s">
        <v>46</v>
      </c>
      <c r="B3" s="46" t="s">
        <v>64</v>
      </c>
      <c r="C3" s="46" t="s">
        <v>47</v>
      </c>
      <c r="D3" s="46" t="s">
        <v>48</v>
      </c>
      <c r="E3" s="46" t="s">
        <v>49</v>
      </c>
      <c r="F3" s="46" t="s">
        <v>171</v>
      </c>
      <c r="G3" s="46" t="s">
        <v>172</v>
      </c>
      <c r="H3" s="46" t="s">
        <v>173</v>
      </c>
      <c r="I3" s="46" t="s">
        <v>24</v>
      </c>
      <c r="J3" s="46" t="s">
        <v>17</v>
      </c>
      <c r="K3" s="46" t="s">
        <v>18</v>
      </c>
      <c r="L3" s="46" t="s">
        <v>45</v>
      </c>
      <c r="P3" s="47" t="s">
        <v>46</v>
      </c>
      <c r="Q3" s="47" t="s">
        <v>64</v>
      </c>
      <c r="R3" s="47" t="s">
        <v>47</v>
      </c>
      <c r="S3" s="47" t="s">
        <v>48</v>
      </c>
      <c r="T3" s="47" t="s">
        <v>49</v>
      </c>
      <c r="U3" s="46" t="s">
        <v>171</v>
      </c>
      <c r="V3" s="46" t="s">
        <v>172</v>
      </c>
      <c r="W3" s="46" t="s">
        <v>173</v>
      </c>
      <c r="X3" s="47" t="s">
        <v>24</v>
      </c>
      <c r="Y3" s="47" t="s">
        <v>17</v>
      </c>
      <c r="Z3" s="47" t="s">
        <v>18</v>
      </c>
      <c r="AA3" s="47" t="s">
        <v>45</v>
      </c>
    </row>
    <row r="4" spans="1:27" ht="17.25" x14ac:dyDescent="0.25">
      <c r="A4" s="33"/>
      <c r="B4" s="33"/>
      <c r="C4" s="33"/>
      <c r="D4" s="62" t="s">
        <v>777</v>
      </c>
      <c r="E4" s="45" t="s">
        <v>778</v>
      </c>
      <c r="F4" s="32">
        <v>1</v>
      </c>
      <c r="G4" s="32" t="s">
        <v>0</v>
      </c>
      <c r="H4" s="32">
        <v>14</v>
      </c>
      <c r="I4" s="33"/>
      <c r="J4" s="33"/>
      <c r="K4" s="33"/>
      <c r="L4" s="33"/>
      <c r="S4" s="44">
        <v>16.29342948228771</v>
      </c>
      <c r="T4" s="44">
        <v>7.41016943579515</v>
      </c>
      <c r="U4" s="32">
        <v>1</v>
      </c>
      <c r="V4" s="32" t="s">
        <v>0</v>
      </c>
      <c r="W4" s="32">
        <v>14</v>
      </c>
    </row>
    <row r="5" spans="1:27" ht="34.5" x14ac:dyDescent="0.25">
      <c r="A5" s="33"/>
      <c r="B5" s="50" t="s">
        <v>808</v>
      </c>
      <c r="C5" s="52" t="s">
        <v>809</v>
      </c>
      <c r="D5" s="62" t="s">
        <v>810</v>
      </c>
      <c r="E5" s="45" t="s">
        <v>811</v>
      </c>
      <c r="F5" s="32">
        <v>2</v>
      </c>
      <c r="G5" s="32" t="s">
        <v>0</v>
      </c>
      <c r="H5" s="32">
        <v>13</v>
      </c>
      <c r="I5" s="33"/>
      <c r="J5" s="33"/>
      <c r="K5" s="33"/>
      <c r="L5" s="33"/>
      <c r="Q5" s="44">
        <v>2.9551929731633795</v>
      </c>
      <c r="R5" s="44">
        <v>1.838203032101728</v>
      </c>
      <c r="S5" s="44">
        <v>19.320080931461696</v>
      </c>
      <c r="T5" s="44">
        <v>6.2060432339902132</v>
      </c>
      <c r="U5" s="32">
        <v>2</v>
      </c>
      <c r="V5" s="32" t="s">
        <v>0</v>
      </c>
      <c r="W5" s="32">
        <v>13</v>
      </c>
    </row>
    <row r="6" spans="1:27" ht="34.5" x14ac:dyDescent="0.25">
      <c r="A6" s="50" t="s">
        <v>779</v>
      </c>
      <c r="B6" s="50" t="s">
        <v>780</v>
      </c>
      <c r="C6" s="52" t="s">
        <v>812</v>
      </c>
      <c r="D6" s="55" t="s">
        <v>813</v>
      </c>
      <c r="E6" s="33"/>
      <c r="F6" s="32">
        <v>3</v>
      </c>
      <c r="G6" s="32" t="s">
        <v>2</v>
      </c>
      <c r="H6" s="32">
        <v>12</v>
      </c>
      <c r="I6" s="33"/>
      <c r="J6" s="33"/>
      <c r="K6" s="33"/>
      <c r="L6" s="33"/>
      <c r="P6" s="44">
        <v>2.4598708094835988</v>
      </c>
      <c r="Q6" s="44">
        <v>3.4012472788123285</v>
      </c>
      <c r="R6" s="44">
        <v>1.5171847576460897</v>
      </c>
      <c r="S6" s="44">
        <v>12.453461682893828</v>
      </c>
      <c r="U6" s="32">
        <v>3</v>
      </c>
      <c r="V6" s="32" t="s">
        <v>2</v>
      </c>
      <c r="W6" s="32">
        <v>12</v>
      </c>
    </row>
    <row r="7" spans="1:27" ht="17.25" x14ac:dyDescent="0.25">
      <c r="A7" s="33"/>
      <c r="B7" s="33"/>
      <c r="C7" s="33"/>
      <c r="D7" s="33"/>
      <c r="E7" s="33"/>
      <c r="F7" s="32">
        <v>4</v>
      </c>
      <c r="G7" s="32" t="s">
        <v>8</v>
      </c>
      <c r="H7" s="32">
        <v>11</v>
      </c>
      <c r="I7" s="33"/>
      <c r="J7" s="33"/>
      <c r="K7" s="33"/>
      <c r="L7" s="33"/>
      <c r="U7" s="32">
        <v>4</v>
      </c>
      <c r="V7" s="32" t="s">
        <v>8</v>
      </c>
      <c r="W7" s="32">
        <v>11</v>
      </c>
    </row>
    <row r="8" spans="1:27" ht="34.5" x14ac:dyDescent="0.25">
      <c r="A8" s="33"/>
      <c r="B8" s="33"/>
      <c r="C8" s="33"/>
      <c r="D8" s="50" t="s">
        <v>814</v>
      </c>
      <c r="E8" s="33"/>
      <c r="F8" s="32">
        <v>5</v>
      </c>
      <c r="G8" s="32" t="s">
        <v>8</v>
      </c>
      <c r="H8" s="32">
        <v>10</v>
      </c>
      <c r="I8" s="33"/>
      <c r="J8" s="33"/>
      <c r="K8" s="33"/>
      <c r="L8" s="33"/>
      <c r="S8" s="44">
        <v>3.3215533055943767</v>
      </c>
      <c r="U8" s="32">
        <v>5</v>
      </c>
      <c r="V8" s="32" t="s">
        <v>8</v>
      </c>
      <c r="W8" s="32">
        <v>10</v>
      </c>
    </row>
    <row r="9" spans="1:27" ht="17.25" x14ac:dyDescent="0.25">
      <c r="A9" s="33"/>
      <c r="B9" s="33"/>
      <c r="C9" s="33"/>
      <c r="D9" s="33"/>
      <c r="E9" s="33"/>
      <c r="F9" s="32">
        <v>6</v>
      </c>
      <c r="G9" s="32" t="s">
        <v>2</v>
      </c>
      <c r="H9" s="32">
        <v>9</v>
      </c>
      <c r="I9" s="33"/>
      <c r="J9" s="33"/>
      <c r="K9" s="33"/>
      <c r="L9" s="33"/>
      <c r="U9" s="32">
        <v>6</v>
      </c>
      <c r="V9" s="32" t="s">
        <v>2</v>
      </c>
      <c r="W9" s="32">
        <v>9</v>
      </c>
    </row>
    <row r="10" spans="1:27" ht="17.25" x14ac:dyDescent="0.25">
      <c r="A10" s="33"/>
      <c r="B10" s="33"/>
      <c r="C10" s="33"/>
      <c r="D10" s="52" t="s">
        <v>815</v>
      </c>
      <c r="E10" s="33"/>
      <c r="F10" s="32">
        <v>7</v>
      </c>
      <c r="G10" s="32" t="s">
        <v>0</v>
      </c>
      <c r="H10" s="32">
        <v>8</v>
      </c>
      <c r="I10" s="33"/>
      <c r="J10" s="33"/>
      <c r="K10" s="33"/>
      <c r="L10" s="33"/>
      <c r="S10" s="44">
        <v>1.8213678502499946</v>
      </c>
      <c r="U10" s="32">
        <v>7</v>
      </c>
      <c r="V10" s="32" t="s">
        <v>0</v>
      </c>
      <c r="W10" s="32">
        <v>8</v>
      </c>
    </row>
    <row r="11" spans="1:27" ht="17.25" x14ac:dyDescent="0.25">
      <c r="A11" s="33"/>
      <c r="B11" s="33"/>
      <c r="C11" s="33"/>
      <c r="D11" s="45" t="s">
        <v>816</v>
      </c>
      <c r="E11" s="33"/>
      <c r="F11" s="32">
        <v>8</v>
      </c>
      <c r="G11" s="32" t="s">
        <v>0</v>
      </c>
      <c r="H11" s="32">
        <v>7</v>
      </c>
      <c r="I11" s="33"/>
      <c r="J11" s="33"/>
      <c r="K11" s="33"/>
      <c r="L11" s="33"/>
      <c r="S11" s="44">
        <v>4.6867549850124783</v>
      </c>
      <c r="U11" s="32">
        <v>8</v>
      </c>
      <c r="V11" s="32" t="s">
        <v>0</v>
      </c>
      <c r="W11" s="32">
        <v>7</v>
      </c>
    </row>
    <row r="12" spans="1:27" ht="17.25" x14ac:dyDescent="0.25">
      <c r="A12" s="33"/>
      <c r="B12" s="33"/>
      <c r="C12" s="33"/>
      <c r="D12" s="51" t="s">
        <v>817</v>
      </c>
      <c r="E12" s="33"/>
      <c r="F12" s="32">
        <v>9</v>
      </c>
      <c r="G12" s="32" t="s">
        <v>2</v>
      </c>
      <c r="H12" s="32">
        <v>6</v>
      </c>
      <c r="I12" s="33"/>
      <c r="J12" s="33"/>
      <c r="K12" s="33"/>
      <c r="L12" s="33"/>
      <c r="S12" s="44">
        <v>0.89860216277512173</v>
      </c>
      <c r="U12" s="32">
        <v>9</v>
      </c>
      <c r="V12" s="32" t="s">
        <v>2</v>
      </c>
      <c r="W12" s="32">
        <v>6</v>
      </c>
    </row>
    <row r="13" spans="1:27" ht="17.25" x14ac:dyDescent="0.25">
      <c r="A13" s="33"/>
      <c r="B13" s="33"/>
      <c r="C13" s="33"/>
      <c r="D13" s="33"/>
      <c r="E13" s="33"/>
      <c r="F13" s="32">
        <v>10</v>
      </c>
      <c r="G13" s="32" t="s">
        <v>8</v>
      </c>
      <c r="H13" s="32">
        <v>5</v>
      </c>
      <c r="I13" s="51" t="s">
        <v>818</v>
      </c>
      <c r="J13" s="33"/>
      <c r="K13" s="33"/>
      <c r="L13" s="33"/>
      <c r="U13" s="32">
        <v>10</v>
      </c>
      <c r="V13" s="32" t="s">
        <v>8</v>
      </c>
      <c r="W13" s="32">
        <v>5</v>
      </c>
      <c r="X13" s="44">
        <v>0.53474192174122293</v>
      </c>
    </row>
    <row r="14" spans="1:27" ht="34.5" x14ac:dyDescent="0.25">
      <c r="A14" s="33"/>
      <c r="B14" s="33"/>
      <c r="C14" s="33"/>
      <c r="D14" s="52" t="s">
        <v>819</v>
      </c>
      <c r="E14" s="33"/>
      <c r="F14" s="32">
        <v>11</v>
      </c>
      <c r="G14" s="32" t="s">
        <v>8</v>
      </c>
      <c r="H14" s="32">
        <v>4</v>
      </c>
      <c r="I14" s="33"/>
      <c r="J14" s="57" t="s">
        <v>820</v>
      </c>
      <c r="K14" s="33"/>
      <c r="L14" s="57" t="s">
        <v>821</v>
      </c>
      <c r="S14" s="44">
        <v>1.6398808923883044</v>
      </c>
      <c r="U14" s="32">
        <v>11</v>
      </c>
      <c r="V14" s="32" t="s">
        <v>8</v>
      </c>
      <c r="W14" s="32">
        <v>4</v>
      </c>
      <c r="Y14" s="44">
        <v>0.38849374311494134</v>
      </c>
      <c r="AA14" s="44">
        <v>0.47134844808080917</v>
      </c>
    </row>
    <row r="15" spans="1:27" ht="34.5" x14ac:dyDescent="0.25">
      <c r="A15" s="33"/>
      <c r="B15" s="33"/>
      <c r="C15" s="33"/>
      <c r="D15" s="50" t="s">
        <v>822</v>
      </c>
      <c r="E15" s="33"/>
      <c r="F15" s="32">
        <v>12</v>
      </c>
      <c r="G15" s="32" t="s">
        <v>2</v>
      </c>
      <c r="H15" s="32">
        <v>3</v>
      </c>
      <c r="I15" s="52" t="s">
        <v>823</v>
      </c>
      <c r="J15" s="33"/>
      <c r="K15" s="33"/>
      <c r="L15" s="33"/>
      <c r="S15" s="44">
        <v>2.5236451869242438</v>
      </c>
      <c r="U15" s="32">
        <v>12</v>
      </c>
      <c r="V15" s="32" t="s">
        <v>2</v>
      </c>
      <c r="W15" s="32">
        <v>3</v>
      </c>
      <c r="X15" s="44">
        <v>1.2764741110554834</v>
      </c>
    </row>
    <row r="16" spans="1:27" ht="34.5" x14ac:dyDescent="0.25">
      <c r="A16" s="33"/>
      <c r="B16" s="33"/>
      <c r="C16" s="33"/>
      <c r="D16" s="52" t="s">
        <v>824</v>
      </c>
      <c r="E16" s="33"/>
      <c r="F16" s="32">
        <v>13</v>
      </c>
      <c r="G16" s="32" t="s">
        <v>0</v>
      </c>
      <c r="H16" s="32">
        <v>2</v>
      </c>
      <c r="I16" s="55" t="s">
        <v>825</v>
      </c>
      <c r="J16" s="45" t="s">
        <v>826</v>
      </c>
      <c r="K16" s="33"/>
      <c r="L16" s="45" t="s">
        <v>827</v>
      </c>
      <c r="S16" s="44">
        <v>1.7677575748933132</v>
      </c>
      <c r="U16" s="32">
        <v>13</v>
      </c>
      <c r="V16" s="32" t="s">
        <v>0</v>
      </c>
      <c r="W16" s="32">
        <v>2</v>
      </c>
      <c r="X16" s="44">
        <v>13.81093355979646</v>
      </c>
      <c r="Y16" s="44">
        <v>5.9783719654594938</v>
      </c>
      <c r="AA16" s="44">
        <v>7.110769047334772</v>
      </c>
    </row>
    <row r="17" spans="1:27" ht="64.5" x14ac:dyDescent="0.25">
      <c r="A17" s="33"/>
      <c r="B17" s="33"/>
      <c r="C17" s="33"/>
      <c r="D17" s="33"/>
      <c r="E17" s="56" t="s">
        <v>828</v>
      </c>
      <c r="F17" s="32">
        <v>14</v>
      </c>
      <c r="G17" s="32" t="s">
        <v>0</v>
      </c>
      <c r="H17" s="32">
        <v>1</v>
      </c>
      <c r="I17" s="62" t="s">
        <v>781</v>
      </c>
      <c r="J17" s="45" t="s">
        <v>782</v>
      </c>
      <c r="K17" s="33"/>
      <c r="L17" s="55" t="s">
        <v>783</v>
      </c>
      <c r="T17" s="44">
        <v>69.934388652507991</v>
      </c>
      <c r="U17" s="32">
        <v>14</v>
      </c>
      <c r="V17" s="32" t="s">
        <v>0</v>
      </c>
      <c r="W17" s="32">
        <v>1</v>
      </c>
      <c r="X17" s="44">
        <v>23.59041335491602</v>
      </c>
      <c r="Y17" s="44">
        <v>4.4630797458090106</v>
      </c>
      <c r="AA17" s="44">
        <v>10.142162470922031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Input Oligonucleotide</vt:lpstr>
      <vt:lpstr>Spectrum Input</vt:lpstr>
      <vt:lpstr>Theoretical Masses</vt:lpstr>
      <vt:lpstr>Theoretical Masses 1 Column</vt:lpstr>
      <vt:lpstr>Observed Masses</vt:lpstr>
      <vt:lpstr>Plot</vt:lpstr>
      <vt:lpstr>Matched Theory</vt:lpstr>
      <vt:lpstr>Spectrum Match Plot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Gau, Brian</dc:creator>
  <cp:lastModifiedBy>Gau, Brian</cp:lastModifiedBy>
  <dcterms:created xsi:type="dcterms:W3CDTF">2020-08-11T00:26:18Z</dcterms:created>
  <dcterms:modified xsi:type="dcterms:W3CDTF">2023-01-05T23:11:17Z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da22f8-c169-4ff2-bd8c-c9797308d5a4_Enabled">
    <vt:lpwstr>true</vt:lpwstr>
  </property>
  <property fmtid="{D5CDD505-2E9C-101B-9397-08002B2CF9AE}" pid="3" name="MSIP_Label_98da22f8-c169-4ff2-bd8c-c9797308d5a4_SetDate">
    <vt:lpwstr>2022-11-21T15:35:27Z</vt:lpwstr>
  </property>
  <property fmtid="{D5CDD505-2E9C-101B-9397-08002B2CF9AE}" pid="4" name="MSIP_Label_98da22f8-c169-4ff2-bd8c-c9797308d5a4_Method">
    <vt:lpwstr>Privileged</vt:lpwstr>
  </property>
  <property fmtid="{D5CDD505-2E9C-101B-9397-08002B2CF9AE}" pid="5" name="MSIP_Label_98da22f8-c169-4ff2-bd8c-c9797308d5a4_Name">
    <vt:lpwstr>98da22f8-c169-4ff2-bd8c-c9797308d5a4</vt:lpwstr>
  </property>
  <property fmtid="{D5CDD505-2E9C-101B-9397-08002B2CF9AE}" pid="6" name="MSIP_Label_98da22f8-c169-4ff2-bd8c-c9797308d5a4_SiteId">
    <vt:lpwstr>7a916015-20ae-4ad1-9170-eefd915e9272</vt:lpwstr>
  </property>
  <property fmtid="{D5CDD505-2E9C-101B-9397-08002B2CF9AE}" pid="7" name="MSIP_Label_98da22f8-c169-4ff2-bd8c-c9797308d5a4_ActionId">
    <vt:lpwstr>9ae24998-d6d3-42ef-ae66-6ae9d109cde3</vt:lpwstr>
  </property>
  <property fmtid="{D5CDD505-2E9C-101B-9397-08002B2CF9AE}" pid="8" name="MSIP_Label_98da22f8-c169-4ff2-bd8c-c9797308d5a4_ContentBits">
    <vt:lpwstr>0</vt:lpwstr>
  </property>
</Properties>
</file>